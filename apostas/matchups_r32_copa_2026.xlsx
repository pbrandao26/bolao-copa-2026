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/>
  <mc:AlternateContent xmlns:mc="http://schemas.openxmlformats.org/markup-compatibility/2006">
    <mc:Choice Requires="x15">
      <x15ac:absPath xmlns:x15ac="http://schemas.microsoft.com/office/spreadsheetml/2010/11/ac" url="C:\Users\pedro\Downloads\"/>
    </mc:Choice>
  </mc:AlternateContent>
  <xr:revisionPtr revIDLastSave="0" documentId="8_{468B45B4-C15D-42E4-8181-1F2CEB5C702C}" xr6:coauthVersionLast="45" xr6:coauthVersionMax="45" xr10:uidLastSave="{00000000-0000-0000-0000-000000000000}"/>
  <bookViews>
    <workbookView xWindow="-108" yWindow="-108" windowWidth="23256" windowHeight="12456" xr2:uid="{00000000-000D-0000-FFFF-FFFF00000000}"/>
  </bookViews>
  <sheets>
    <sheet name="R32 Matchups Certo" sheetId="3" r:id="rId1"/>
    <sheet name="cERTO X ERRADO" sheetId="4" r:id="rId2"/>
    <sheet name="Planilha3" sheetId="5" r:id="rId3"/>
    <sheet name="R32 Matchups" sheetId="1" r:id="rId4"/>
    <sheet name="Fonte" sheetId="2" r:id="rId5"/>
  </sheets>
  <definedNames>
    <definedName name="_xlnm._FilterDatabase" localSheetId="1" hidden="1">'cERTO X ERRADO'!$U$1:$AB$496</definedName>
    <definedName name="_xlnm._FilterDatabase" localSheetId="2" hidden="1">Planilha3!$A$1:$I$496</definedName>
  </definedNames>
  <calcPr calcId="181029"/>
  <fileRecoveryPr repairLoad="1"/>
</workbook>
</file>

<file path=xl/calcChain.xml><?xml version="1.0" encoding="utf-8"?>
<calcChain xmlns="http://schemas.openxmlformats.org/spreadsheetml/2006/main">
  <c r="AE2" i="4" l="1"/>
  <c r="U3" i="4"/>
  <c r="V3" i="4"/>
  <c r="W3" i="4"/>
  <c r="X3" i="4"/>
  <c r="Y3" i="4"/>
  <c r="Z3" i="4"/>
  <c r="AA3" i="4"/>
  <c r="AB3" i="4"/>
  <c r="U4" i="4"/>
  <c r="V4" i="4"/>
  <c r="W4" i="4"/>
  <c r="X4" i="4"/>
  <c r="Y4" i="4"/>
  <c r="Z4" i="4"/>
  <c r="AA4" i="4"/>
  <c r="AB4" i="4"/>
  <c r="U5" i="4"/>
  <c r="V5" i="4"/>
  <c r="W5" i="4"/>
  <c r="X5" i="4"/>
  <c r="Y5" i="4"/>
  <c r="Z5" i="4"/>
  <c r="AA5" i="4"/>
  <c r="AB5" i="4"/>
  <c r="U6" i="4"/>
  <c r="V6" i="4"/>
  <c r="W6" i="4"/>
  <c r="X6" i="4"/>
  <c r="Y6" i="4"/>
  <c r="Z6" i="4"/>
  <c r="AA6" i="4"/>
  <c r="AB6" i="4"/>
  <c r="U7" i="4"/>
  <c r="V7" i="4"/>
  <c r="W7" i="4"/>
  <c r="X7" i="4"/>
  <c r="Y7" i="4"/>
  <c r="Z7" i="4"/>
  <c r="AA7" i="4"/>
  <c r="AB7" i="4"/>
  <c r="U8" i="4"/>
  <c r="V8" i="4"/>
  <c r="W8" i="4"/>
  <c r="X8" i="4"/>
  <c r="Y8" i="4"/>
  <c r="Z8" i="4"/>
  <c r="AA8" i="4"/>
  <c r="AB8" i="4"/>
  <c r="U9" i="4"/>
  <c r="V9" i="4"/>
  <c r="W9" i="4"/>
  <c r="X9" i="4"/>
  <c r="Y9" i="4"/>
  <c r="Z9" i="4"/>
  <c r="AA9" i="4"/>
  <c r="AB9" i="4"/>
  <c r="U10" i="4"/>
  <c r="V10" i="4"/>
  <c r="W10" i="4"/>
  <c r="X10" i="4"/>
  <c r="Y10" i="4"/>
  <c r="Z10" i="4"/>
  <c r="AA10" i="4"/>
  <c r="AB10" i="4"/>
  <c r="U11" i="4"/>
  <c r="V11" i="4"/>
  <c r="W11" i="4"/>
  <c r="X11" i="4"/>
  <c r="Y11" i="4"/>
  <c r="Z11" i="4"/>
  <c r="AA11" i="4"/>
  <c r="AB11" i="4"/>
  <c r="U12" i="4"/>
  <c r="V12" i="4"/>
  <c r="W12" i="4"/>
  <c r="X12" i="4"/>
  <c r="Y12" i="4"/>
  <c r="Z12" i="4"/>
  <c r="AA12" i="4"/>
  <c r="AB12" i="4"/>
  <c r="U13" i="4"/>
  <c r="V13" i="4"/>
  <c r="W13" i="4"/>
  <c r="X13" i="4"/>
  <c r="Y13" i="4"/>
  <c r="Z13" i="4"/>
  <c r="AA13" i="4"/>
  <c r="AB13" i="4"/>
  <c r="U14" i="4"/>
  <c r="V14" i="4"/>
  <c r="W14" i="4"/>
  <c r="X14" i="4"/>
  <c r="Y14" i="4"/>
  <c r="Z14" i="4"/>
  <c r="AA14" i="4"/>
  <c r="AB14" i="4"/>
  <c r="U15" i="4"/>
  <c r="V15" i="4"/>
  <c r="W15" i="4"/>
  <c r="X15" i="4"/>
  <c r="Y15" i="4"/>
  <c r="Z15" i="4"/>
  <c r="AA15" i="4"/>
  <c r="AB15" i="4"/>
  <c r="U16" i="4"/>
  <c r="V16" i="4"/>
  <c r="W16" i="4"/>
  <c r="X16" i="4"/>
  <c r="Y16" i="4"/>
  <c r="Z16" i="4"/>
  <c r="AA16" i="4"/>
  <c r="AB16" i="4"/>
  <c r="U17" i="4"/>
  <c r="V17" i="4"/>
  <c r="W17" i="4"/>
  <c r="X17" i="4"/>
  <c r="Y17" i="4"/>
  <c r="Z17" i="4"/>
  <c r="AA17" i="4"/>
  <c r="AB17" i="4"/>
  <c r="U18" i="4"/>
  <c r="V18" i="4"/>
  <c r="W18" i="4"/>
  <c r="X18" i="4"/>
  <c r="Y18" i="4"/>
  <c r="Z18" i="4"/>
  <c r="AA18" i="4"/>
  <c r="AB18" i="4"/>
  <c r="U19" i="4"/>
  <c r="V19" i="4"/>
  <c r="W19" i="4"/>
  <c r="X19" i="4"/>
  <c r="Y19" i="4"/>
  <c r="Z19" i="4"/>
  <c r="AA19" i="4"/>
  <c r="AB19" i="4"/>
  <c r="U20" i="4"/>
  <c r="V20" i="4"/>
  <c r="W20" i="4"/>
  <c r="X20" i="4"/>
  <c r="Y20" i="4"/>
  <c r="Z20" i="4"/>
  <c r="AA20" i="4"/>
  <c r="AB20" i="4"/>
  <c r="U21" i="4"/>
  <c r="V21" i="4"/>
  <c r="W21" i="4"/>
  <c r="X21" i="4"/>
  <c r="Y21" i="4"/>
  <c r="Z21" i="4"/>
  <c r="AA21" i="4"/>
  <c r="AB21" i="4"/>
  <c r="U22" i="4"/>
  <c r="V22" i="4"/>
  <c r="W22" i="4"/>
  <c r="X22" i="4"/>
  <c r="Y22" i="4"/>
  <c r="Z22" i="4"/>
  <c r="AA22" i="4"/>
  <c r="AB22" i="4"/>
  <c r="U23" i="4"/>
  <c r="V23" i="4"/>
  <c r="W23" i="4"/>
  <c r="X23" i="4"/>
  <c r="Y23" i="4"/>
  <c r="Z23" i="4"/>
  <c r="AA23" i="4"/>
  <c r="AB23" i="4"/>
  <c r="U24" i="4"/>
  <c r="V24" i="4"/>
  <c r="W24" i="4"/>
  <c r="X24" i="4"/>
  <c r="Y24" i="4"/>
  <c r="Z24" i="4"/>
  <c r="AA24" i="4"/>
  <c r="AB24" i="4"/>
  <c r="U25" i="4"/>
  <c r="V25" i="4"/>
  <c r="W25" i="4"/>
  <c r="X25" i="4"/>
  <c r="Y25" i="4"/>
  <c r="Z25" i="4"/>
  <c r="AA25" i="4"/>
  <c r="AB25" i="4"/>
  <c r="U26" i="4"/>
  <c r="V26" i="4"/>
  <c r="W26" i="4"/>
  <c r="X26" i="4"/>
  <c r="Y26" i="4"/>
  <c r="Z26" i="4"/>
  <c r="AA26" i="4"/>
  <c r="AB26" i="4"/>
  <c r="U27" i="4"/>
  <c r="V27" i="4"/>
  <c r="W27" i="4"/>
  <c r="X27" i="4"/>
  <c r="Y27" i="4"/>
  <c r="Z27" i="4"/>
  <c r="AA27" i="4"/>
  <c r="AB27" i="4"/>
  <c r="U28" i="4"/>
  <c r="V28" i="4"/>
  <c r="W28" i="4"/>
  <c r="X28" i="4"/>
  <c r="Y28" i="4"/>
  <c r="Z28" i="4"/>
  <c r="AA28" i="4"/>
  <c r="AB28" i="4"/>
  <c r="U29" i="4"/>
  <c r="V29" i="4"/>
  <c r="W29" i="4"/>
  <c r="X29" i="4"/>
  <c r="Y29" i="4"/>
  <c r="Z29" i="4"/>
  <c r="AA29" i="4"/>
  <c r="AB29" i="4"/>
  <c r="U30" i="4"/>
  <c r="V30" i="4"/>
  <c r="W30" i="4"/>
  <c r="X30" i="4"/>
  <c r="Y30" i="4"/>
  <c r="Z30" i="4"/>
  <c r="AA30" i="4"/>
  <c r="AB30" i="4"/>
  <c r="U31" i="4"/>
  <c r="V31" i="4"/>
  <c r="W31" i="4"/>
  <c r="X31" i="4"/>
  <c r="Y31" i="4"/>
  <c r="Z31" i="4"/>
  <c r="AA31" i="4"/>
  <c r="AB31" i="4"/>
  <c r="U32" i="4"/>
  <c r="V32" i="4"/>
  <c r="W32" i="4"/>
  <c r="X32" i="4"/>
  <c r="Y32" i="4"/>
  <c r="Z32" i="4"/>
  <c r="AA32" i="4"/>
  <c r="AB32" i="4"/>
  <c r="U33" i="4"/>
  <c r="V33" i="4"/>
  <c r="W33" i="4"/>
  <c r="X33" i="4"/>
  <c r="Y33" i="4"/>
  <c r="Z33" i="4"/>
  <c r="AA33" i="4"/>
  <c r="AB33" i="4"/>
  <c r="U34" i="4"/>
  <c r="V34" i="4"/>
  <c r="W34" i="4"/>
  <c r="X34" i="4"/>
  <c r="Y34" i="4"/>
  <c r="Z34" i="4"/>
  <c r="AA34" i="4"/>
  <c r="AB34" i="4"/>
  <c r="U35" i="4"/>
  <c r="V35" i="4"/>
  <c r="W35" i="4"/>
  <c r="X35" i="4"/>
  <c r="Y35" i="4"/>
  <c r="Z35" i="4"/>
  <c r="AA35" i="4"/>
  <c r="AB35" i="4"/>
  <c r="U36" i="4"/>
  <c r="V36" i="4"/>
  <c r="W36" i="4"/>
  <c r="X36" i="4"/>
  <c r="Y36" i="4"/>
  <c r="Z36" i="4"/>
  <c r="AA36" i="4"/>
  <c r="AB36" i="4"/>
  <c r="U37" i="4"/>
  <c r="V37" i="4"/>
  <c r="W37" i="4"/>
  <c r="X37" i="4"/>
  <c r="Y37" i="4"/>
  <c r="Z37" i="4"/>
  <c r="AA37" i="4"/>
  <c r="AB37" i="4"/>
  <c r="U38" i="4"/>
  <c r="V38" i="4"/>
  <c r="W38" i="4"/>
  <c r="X38" i="4"/>
  <c r="Y38" i="4"/>
  <c r="Z38" i="4"/>
  <c r="AA38" i="4"/>
  <c r="AB38" i="4"/>
  <c r="U39" i="4"/>
  <c r="V39" i="4"/>
  <c r="W39" i="4"/>
  <c r="X39" i="4"/>
  <c r="Y39" i="4"/>
  <c r="Z39" i="4"/>
  <c r="AA39" i="4"/>
  <c r="AB39" i="4"/>
  <c r="U40" i="4"/>
  <c r="V40" i="4"/>
  <c r="W40" i="4"/>
  <c r="X40" i="4"/>
  <c r="Y40" i="4"/>
  <c r="Z40" i="4"/>
  <c r="AA40" i="4"/>
  <c r="AB40" i="4"/>
  <c r="U41" i="4"/>
  <c r="V41" i="4"/>
  <c r="W41" i="4"/>
  <c r="X41" i="4"/>
  <c r="Y41" i="4"/>
  <c r="Z41" i="4"/>
  <c r="AA41" i="4"/>
  <c r="AB41" i="4"/>
  <c r="U42" i="4"/>
  <c r="V42" i="4"/>
  <c r="W42" i="4"/>
  <c r="X42" i="4"/>
  <c r="Y42" i="4"/>
  <c r="Z42" i="4"/>
  <c r="AA42" i="4"/>
  <c r="AB42" i="4"/>
  <c r="U43" i="4"/>
  <c r="V43" i="4"/>
  <c r="W43" i="4"/>
  <c r="X43" i="4"/>
  <c r="Y43" i="4"/>
  <c r="Z43" i="4"/>
  <c r="AA43" i="4"/>
  <c r="AB43" i="4"/>
  <c r="U44" i="4"/>
  <c r="V44" i="4"/>
  <c r="W44" i="4"/>
  <c r="X44" i="4"/>
  <c r="Y44" i="4"/>
  <c r="Z44" i="4"/>
  <c r="AA44" i="4"/>
  <c r="AB44" i="4"/>
  <c r="U45" i="4"/>
  <c r="V45" i="4"/>
  <c r="W45" i="4"/>
  <c r="X45" i="4"/>
  <c r="Y45" i="4"/>
  <c r="Z45" i="4"/>
  <c r="AA45" i="4"/>
  <c r="AB45" i="4"/>
  <c r="U46" i="4"/>
  <c r="V46" i="4"/>
  <c r="W46" i="4"/>
  <c r="X46" i="4"/>
  <c r="Y46" i="4"/>
  <c r="Z46" i="4"/>
  <c r="AA46" i="4"/>
  <c r="AB46" i="4"/>
  <c r="U47" i="4"/>
  <c r="V47" i="4"/>
  <c r="W47" i="4"/>
  <c r="X47" i="4"/>
  <c r="Y47" i="4"/>
  <c r="Z47" i="4"/>
  <c r="AA47" i="4"/>
  <c r="AB47" i="4"/>
  <c r="U48" i="4"/>
  <c r="V48" i="4"/>
  <c r="W48" i="4"/>
  <c r="X48" i="4"/>
  <c r="Y48" i="4"/>
  <c r="Z48" i="4"/>
  <c r="AA48" i="4"/>
  <c r="AB48" i="4"/>
  <c r="U49" i="4"/>
  <c r="V49" i="4"/>
  <c r="W49" i="4"/>
  <c r="X49" i="4"/>
  <c r="Y49" i="4"/>
  <c r="Z49" i="4"/>
  <c r="AA49" i="4"/>
  <c r="AB49" i="4"/>
  <c r="U50" i="4"/>
  <c r="V50" i="4"/>
  <c r="W50" i="4"/>
  <c r="X50" i="4"/>
  <c r="Y50" i="4"/>
  <c r="Z50" i="4"/>
  <c r="AA50" i="4"/>
  <c r="AB50" i="4"/>
  <c r="U51" i="4"/>
  <c r="V51" i="4"/>
  <c r="W51" i="4"/>
  <c r="X51" i="4"/>
  <c r="Y51" i="4"/>
  <c r="Z51" i="4"/>
  <c r="AA51" i="4"/>
  <c r="AB51" i="4"/>
  <c r="U52" i="4"/>
  <c r="V52" i="4"/>
  <c r="W52" i="4"/>
  <c r="X52" i="4"/>
  <c r="Y52" i="4"/>
  <c r="Z52" i="4"/>
  <c r="AA52" i="4"/>
  <c r="AB52" i="4"/>
  <c r="U53" i="4"/>
  <c r="V53" i="4"/>
  <c r="W53" i="4"/>
  <c r="X53" i="4"/>
  <c r="Y53" i="4"/>
  <c r="Z53" i="4"/>
  <c r="AA53" i="4"/>
  <c r="AB53" i="4"/>
  <c r="U54" i="4"/>
  <c r="V54" i="4"/>
  <c r="W54" i="4"/>
  <c r="X54" i="4"/>
  <c r="Y54" i="4"/>
  <c r="Z54" i="4"/>
  <c r="AA54" i="4"/>
  <c r="AB54" i="4"/>
  <c r="U55" i="4"/>
  <c r="V55" i="4"/>
  <c r="W55" i="4"/>
  <c r="X55" i="4"/>
  <c r="Y55" i="4"/>
  <c r="Z55" i="4"/>
  <c r="AA55" i="4"/>
  <c r="AB55" i="4"/>
  <c r="U56" i="4"/>
  <c r="V56" i="4"/>
  <c r="W56" i="4"/>
  <c r="X56" i="4"/>
  <c r="Y56" i="4"/>
  <c r="Z56" i="4"/>
  <c r="AA56" i="4"/>
  <c r="AB56" i="4"/>
  <c r="U57" i="4"/>
  <c r="V57" i="4"/>
  <c r="W57" i="4"/>
  <c r="X57" i="4"/>
  <c r="Y57" i="4"/>
  <c r="Z57" i="4"/>
  <c r="AA57" i="4"/>
  <c r="AB57" i="4"/>
  <c r="U58" i="4"/>
  <c r="V58" i="4"/>
  <c r="W58" i="4"/>
  <c r="X58" i="4"/>
  <c r="Y58" i="4"/>
  <c r="Z58" i="4"/>
  <c r="AA58" i="4"/>
  <c r="AB58" i="4"/>
  <c r="U59" i="4"/>
  <c r="V59" i="4"/>
  <c r="W59" i="4"/>
  <c r="X59" i="4"/>
  <c r="Y59" i="4"/>
  <c r="Z59" i="4"/>
  <c r="AA59" i="4"/>
  <c r="AB59" i="4"/>
  <c r="U60" i="4"/>
  <c r="V60" i="4"/>
  <c r="W60" i="4"/>
  <c r="X60" i="4"/>
  <c r="Y60" i="4"/>
  <c r="Z60" i="4"/>
  <c r="AA60" i="4"/>
  <c r="AB60" i="4"/>
  <c r="U61" i="4"/>
  <c r="V61" i="4"/>
  <c r="W61" i="4"/>
  <c r="X61" i="4"/>
  <c r="Y61" i="4"/>
  <c r="Z61" i="4"/>
  <c r="AA61" i="4"/>
  <c r="AB61" i="4"/>
  <c r="U62" i="4"/>
  <c r="V62" i="4"/>
  <c r="W62" i="4"/>
  <c r="X62" i="4"/>
  <c r="Y62" i="4"/>
  <c r="Z62" i="4"/>
  <c r="AA62" i="4"/>
  <c r="AB62" i="4"/>
  <c r="U63" i="4"/>
  <c r="V63" i="4"/>
  <c r="W63" i="4"/>
  <c r="X63" i="4"/>
  <c r="Y63" i="4"/>
  <c r="Z63" i="4"/>
  <c r="AA63" i="4"/>
  <c r="AB63" i="4"/>
  <c r="U64" i="4"/>
  <c r="V64" i="4"/>
  <c r="W64" i="4"/>
  <c r="X64" i="4"/>
  <c r="Y64" i="4"/>
  <c r="Z64" i="4"/>
  <c r="AA64" i="4"/>
  <c r="AB64" i="4"/>
  <c r="U65" i="4"/>
  <c r="V65" i="4"/>
  <c r="W65" i="4"/>
  <c r="X65" i="4"/>
  <c r="Y65" i="4"/>
  <c r="Z65" i="4"/>
  <c r="AA65" i="4"/>
  <c r="AB65" i="4"/>
  <c r="U66" i="4"/>
  <c r="V66" i="4"/>
  <c r="W66" i="4"/>
  <c r="X66" i="4"/>
  <c r="Y66" i="4"/>
  <c r="Z66" i="4"/>
  <c r="AA66" i="4"/>
  <c r="AB66" i="4"/>
  <c r="U67" i="4"/>
  <c r="V67" i="4"/>
  <c r="W67" i="4"/>
  <c r="X67" i="4"/>
  <c r="Y67" i="4"/>
  <c r="Z67" i="4"/>
  <c r="AA67" i="4"/>
  <c r="AB67" i="4"/>
  <c r="U68" i="4"/>
  <c r="V68" i="4"/>
  <c r="W68" i="4"/>
  <c r="X68" i="4"/>
  <c r="Y68" i="4"/>
  <c r="Z68" i="4"/>
  <c r="AA68" i="4"/>
  <c r="AB68" i="4"/>
  <c r="U69" i="4"/>
  <c r="V69" i="4"/>
  <c r="W69" i="4"/>
  <c r="X69" i="4"/>
  <c r="Y69" i="4"/>
  <c r="Z69" i="4"/>
  <c r="AA69" i="4"/>
  <c r="AB69" i="4"/>
  <c r="U70" i="4"/>
  <c r="V70" i="4"/>
  <c r="W70" i="4"/>
  <c r="X70" i="4"/>
  <c r="Y70" i="4"/>
  <c r="Z70" i="4"/>
  <c r="AA70" i="4"/>
  <c r="AB70" i="4"/>
  <c r="U71" i="4"/>
  <c r="V71" i="4"/>
  <c r="W71" i="4"/>
  <c r="X71" i="4"/>
  <c r="Y71" i="4"/>
  <c r="Z71" i="4"/>
  <c r="AA71" i="4"/>
  <c r="AB71" i="4"/>
  <c r="U72" i="4"/>
  <c r="V72" i="4"/>
  <c r="W72" i="4"/>
  <c r="X72" i="4"/>
  <c r="Y72" i="4"/>
  <c r="Z72" i="4"/>
  <c r="AA72" i="4"/>
  <c r="AB72" i="4"/>
  <c r="U73" i="4"/>
  <c r="V73" i="4"/>
  <c r="W73" i="4"/>
  <c r="X73" i="4"/>
  <c r="Y73" i="4"/>
  <c r="Z73" i="4"/>
  <c r="AA73" i="4"/>
  <c r="AB73" i="4"/>
  <c r="U74" i="4"/>
  <c r="V74" i="4"/>
  <c r="W74" i="4"/>
  <c r="X74" i="4"/>
  <c r="Y74" i="4"/>
  <c r="Z74" i="4"/>
  <c r="AA74" i="4"/>
  <c r="AB74" i="4"/>
  <c r="U75" i="4"/>
  <c r="V75" i="4"/>
  <c r="W75" i="4"/>
  <c r="X75" i="4"/>
  <c r="Y75" i="4"/>
  <c r="Z75" i="4"/>
  <c r="AA75" i="4"/>
  <c r="AB75" i="4"/>
  <c r="U76" i="4"/>
  <c r="V76" i="4"/>
  <c r="W76" i="4"/>
  <c r="X76" i="4"/>
  <c r="Y76" i="4"/>
  <c r="Z76" i="4"/>
  <c r="AA76" i="4"/>
  <c r="AB76" i="4"/>
  <c r="U77" i="4"/>
  <c r="V77" i="4"/>
  <c r="W77" i="4"/>
  <c r="X77" i="4"/>
  <c r="Y77" i="4"/>
  <c r="Z77" i="4"/>
  <c r="AA77" i="4"/>
  <c r="AB77" i="4"/>
  <c r="U78" i="4"/>
  <c r="V78" i="4"/>
  <c r="W78" i="4"/>
  <c r="X78" i="4"/>
  <c r="Y78" i="4"/>
  <c r="Z78" i="4"/>
  <c r="AA78" i="4"/>
  <c r="AB78" i="4"/>
  <c r="U79" i="4"/>
  <c r="V79" i="4"/>
  <c r="W79" i="4"/>
  <c r="X79" i="4"/>
  <c r="Y79" i="4"/>
  <c r="Z79" i="4"/>
  <c r="AA79" i="4"/>
  <c r="AB79" i="4"/>
  <c r="U80" i="4"/>
  <c r="V80" i="4"/>
  <c r="W80" i="4"/>
  <c r="X80" i="4"/>
  <c r="Y80" i="4"/>
  <c r="Z80" i="4"/>
  <c r="AA80" i="4"/>
  <c r="AB80" i="4"/>
  <c r="U81" i="4"/>
  <c r="V81" i="4"/>
  <c r="W81" i="4"/>
  <c r="X81" i="4"/>
  <c r="Y81" i="4"/>
  <c r="Z81" i="4"/>
  <c r="AA81" i="4"/>
  <c r="AB81" i="4"/>
  <c r="U82" i="4"/>
  <c r="V82" i="4"/>
  <c r="W82" i="4"/>
  <c r="X82" i="4"/>
  <c r="Y82" i="4"/>
  <c r="Z82" i="4"/>
  <c r="AA82" i="4"/>
  <c r="AB82" i="4"/>
  <c r="U83" i="4"/>
  <c r="V83" i="4"/>
  <c r="W83" i="4"/>
  <c r="X83" i="4"/>
  <c r="Y83" i="4"/>
  <c r="Z83" i="4"/>
  <c r="AA83" i="4"/>
  <c r="AB83" i="4"/>
  <c r="U84" i="4"/>
  <c r="V84" i="4"/>
  <c r="W84" i="4"/>
  <c r="X84" i="4"/>
  <c r="Y84" i="4"/>
  <c r="Z84" i="4"/>
  <c r="AA84" i="4"/>
  <c r="AB84" i="4"/>
  <c r="U85" i="4"/>
  <c r="V85" i="4"/>
  <c r="W85" i="4"/>
  <c r="X85" i="4"/>
  <c r="Y85" i="4"/>
  <c r="Z85" i="4"/>
  <c r="AA85" i="4"/>
  <c r="AB85" i="4"/>
  <c r="U86" i="4"/>
  <c r="V86" i="4"/>
  <c r="W86" i="4"/>
  <c r="X86" i="4"/>
  <c r="Y86" i="4"/>
  <c r="Z86" i="4"/>
  <c r="AA86" i="4"/>
  <c r="AB86" i="4"/>
  <c r="U87" i="4"/>
  <c r="V87" i="4"/>
  <c r="W87" i="4"/>
  <c r="X87" i="4"/>
  <c r="Y87" i="4"/>
  <c r="Z87" i="4"/>
  <c r="AA87" i="4"/>
  <c r="AB87" i="4"/>
  <c r="U88" i="4"/>
  <c r="V88" i="4"/>
  <c r="W88" i="4"/>
  <c r="X88" i="4"/>
  <c r="Y88" i="4"/>
  <c r="Z88" i="4"/>
  <c r="AA88" i="4"/>
  <c r="AB88" i="4"/>
  <c r="U89" i="4"/>
  <c r="V89" i="4"/>
  <c r="W89" i="4"/>
  <c r="X89" i="4"/>
  <c r="Y89" i="4"/>
  <c r="Z89" i="4"/>
  <c r="AA89" i="4"/>
  <c r="AB89" i="4"/>
  <c r="U90" i="4"/>
  <c r="V90" i="4"/>
  <c r="W90" i="4"/>
  <c r="X90" i="4"/>
  <c r="Y90" i="4"/>
  <c r="Z90" i="4"/>
  <c r="AA90" i="4"/>
  <c r="AB90" i="4"/>
  <c r="U91" i="4"/>
  <c r="V91" i="4"/>
  <c r="W91" i="4"/>
  <c r="X91" i="4"/>
  <c r="Y91" i="4"/>
  <c r="Z91" i="4"/>
  <c r="AA91" i="4"/>
  <c r="AB91" i="4"/>
  <c r="U92" i="4"/>
  <c r="V92" i="4"/>
  <c r="W92" i="4"/>
  <c r="X92" i="4"/>
  <c r="Y92" i="4"/>
  <c r="Z92" i="4"/>
  <c r="AA92" i="4"/>
  <c r="AB92" i="4"/>
  <c r="U93" i="4"/>
  <c r="V93" i="4"/>
  <c r="W93" i="4"/>
  <c r="X93" i="4"/>
  <c r="Y93" i="4"/>
  <c r="Z93" i="4"/>
  <c r="AA93" i="4"/>
  <c r="AB93" i="4"/>
  <c r="U94" i="4"/>
  <c r="V94" i="4"/>
  <c r="W94" i="4"/>
  <c r="X94" i="4"/>
  <c r="Y94" i="4"/>
  <c r="Z94" i="4"/>
  <c r="AA94" i="4"/>
  <c r="AB94" i="4"/>
  <c r="U95" i="4"/>
  <c r="V95" i="4"/>
  <c r="W95" i="4"/>
  <c r="X95" i="4"/>
  <c r="Y95" i="4"/>
  <c r="Z95" i="4"/>
  <c r="AA95" i="4"/>
  <c r="AB95" i="4"/>
  <c r="U96" i="4"/>
  <c r="V96" i="4"/>
  <c r="W96" i="4"/>
  <c r="X96" i="4"/>
  <c r="Y96" i="4"/>
  <c r="Z96" i="4"/>
  <c r="AA96" i="4"/>
  <c r="AB96" i="4"/>
  <c r="U97" i="4"/>
  <c r="V97" i="4"/>
  <c r="W97" i="4"/>
  <c r="X97" i="4"/>
  <c r="Y97" i="4"/>
  <c r="Z97" i="4"/>
  <c r="AA97" i="4"/>
  <c r="AB97" i="4"/>
  <c r="U98" i="4"/>
  <c r="V98" i="4"/>
  <c r="W98" i="4"/>
  <c r="X98" i="4"/>
  <c r="Y98" i="4"/>
  <c r="Z98" i="4"/>
  <c r="AA98" i="4"/>
  <c r="AB98" i="4"/>
  <c r="U99" i="4"/>
  <c r="V99" i="4"/>
  <c r="W99" i="4"/>
  <c r="X99" i="4"/>
  <c r="Y99" i="4"/>
  <c r="Z99" i="4"/>
  <c r="AA99" i="4"/>
  <c r="AB99" i="4"/>
  <c r="U100" i="4"/>
  <c r="V100" i="4"/>
  <c r="W100" i="4"/>
  <c r="X100" i="4"/>
  <c r="Y100" i="4"/>
  <c r="Z100" i="4"/>
  <c r="AA100" i="4"/>
  <c r="AB100" i="4"/>
  <c r="U101" i="4"/>
  <c r="V101" i="4"/>
  <c r="W101" i="4"/>
  <c r="X101" i="4"/>
  <c r="Y101" i="4"/>
  <c r="Z101" i="4"/>
  <c r="AA101" i="4"/>
  <c r="AB101" i="4"/>
  <c r="U102" i="4"/>
  <c r="V102" i="4"/>
  <c r="W102" i="4"/>
  <c r="X102" i="4"/>
  <c r="Y102" i="4"/>
  <c r="Z102" i="4"/>
  <c r="AA102" i="4"/>
  <c r="AB102" i="4"/>
  <c r="U103" i="4"/>
  <c r="V103" i="4"/>
  <c r="W103" i="4"/>
  <c r="X103" i="4"/>
  <c r="Y103" i="4"/>
  <c r="Z103" i="4"/>
  <c r="AA103" i="4"/>
  <c r="AB103" i="4"/>
  <c r="U104" i="4"/>
  <c r="V104" i="4"/>
  <c r="W104" i="4"/>
  <c r="X104" i="4"/>
  <c r="Y104" i="4"/>
  <c r="Z104" i="4"/>
  <c r="AA104" i="4"/>
  <c r="AB104" i="4"/>
  <c r="U105" i="4"/>
  <c r="V105" i="4"/>
  <c r="W105" i="4"/>
  <c r="X105" i="4"/>
  <c r="Y105" i="4"/>
  <c r="Z105" i="4"/>
  <c r="AA105" i="4"/>
  <c r="AB105" i="4"/>
  <c r="U106" i="4"/>
  <c r="V106" i="4"/>
  <c r="W106" i="4"/>
  <c r="X106" i="4"/>
  <c r="Y106" i="4"/>
  <c r="Z106" i="4"/>
  <c r="AA106" i="4"/>
  <c r="AB106" i="4"/>
  <c r="U107" i="4"/>
  <c r="V107" i="4"/>
  <c r="W107" i="4"/>
  <c r="X107" i="4"/>
  <c r="Y107" i="4"/>
  <c r="Z107" i="4"/>
  <c r="AA107" i="4"/>
  <c r="AB107" i="4"/>
  <c r="U108" i="4"/>
  <c r="V108" i="4"/>
  <c r="W108" i="4"/>
  <c r="X108" i="4"/>
  <c r="Y108" i="4"/>
  <c r="Z108" i="4"/>
  <c r="AA108" i="4"/>
  <c r="AB108" i="4"/>
  <c r="U109" i="4"/>
  <c r="V109" i="4"/>
  <c r="W109" i="4"/>
  <c r="X109" i="4"/>
  <c r="Y109" i="4"/>
  <c r="Z109" i="4"/>
  <c r="AA109" i="4"/>
  <c r="AB109" i="4"/>
  <c r="U110" i="4"/>
  <c r="V110" i="4"/>
  <c r="W110" i="4"/>
  <c r="X110" i="4"/>
  <c r="Y110" i="4"/>
  <c r="Z110" i="4"/>
  <c r="AA110" i="4"/>
  <c r="AB110" i="4"/>
  <c r="U111" i="4"/>
  <c r="V111" i="4"/>
  <c r="W111" i="4"/>
  <c r="X111" i="4"/>
  <c r="Y111" i="4"/>
  <c r="Z111" i="4"/>
  <c r="AA111" i="4"/>
  <c r="AB111" i="4"/>
  <c r="U112" i="4"/>
  <c r="V112" i="4"/>
  <c r="W112" i="4"/>
  <c r="X112" i="4"/>
  <c r="Y112" i="4"/>
  <c r="Z112" i="4"/>
  <c r="AA112" i="4"/>
  <c r="AB112" i="4"/>
  <c r="U113" i="4"/>
  <c r="V113" i="4"/>
  <c r="W113" i="4"/>
  <c r="X113" i="4"/>
  <c r="Y113" i="4"/>
  <c r="Z113" i="4"/>
  <c r="AA113" i="4"/>
  <c r="AB113" i="4"/>
  <c r="U114" i="4"/>
  <c r="V114" i="4"/>
  <c r="W114" i="4"/>
  <c r="X114" i="4"/>
  <c r="Y114" i="4"/>
  <c r="Z114" i="4"/>
  <c r="AA114" i="4"/>
  <c r="AB114" i="4"/>
  <c r="U115" i="4"/>
  <c r="V115" i="4"/>
  <c r="W115" i="4"/>
  <c r="X115" i="4"/>
  <c r="Y115" i="4"/>
  <c r="Z115" i="4"/>
  <c r="AA115" i="4"/>
  <c r="AB115" i="4"/>
  <c r="U116" i="4"/>
  <c r="V116" i="4"/>
  <c r="W116" i="4"/>
  <c r="X116" i="4"/>
  <c r="Y116" i="4"/>
  <c r="Z116" i="4"/>
  <c r="AA116" i="4"/>
  <c r="AB116" i="4"/>
  <c r="U117" i="4"/>
  <c r="V117" i="4"/>
  <c r="W117" i="4"/>
  <c r="X117" i="4"/>
  <c r="Y117" i="4"/>
  <c r="Z117" i="4"/>
  <c r="AA117" i="4"/>
  <c r="AB117" i="4"/>
  <c r="U118" i="4"/>
  <c r="V118" i="4"/>
  <c r="W118" i="4"/>
  <c r="X118" i="4"/>
  <c r="Y118" i="4"/>
  <c r="Z118" i="4"/>
  <c r="AA118" i="4"/>
  <c r="AB118" i="4"/>
  <c r="U119" i="4"/>
  <c r="V119" i="4"/>
  <c r="W119" i="4"/>
  <c r="X119" i="4"/>
  <c r="Y119" i="4"/>
  <c r="Z119" i="4"/>
  <c r="AA119" i="4"/>
  <c r="AB119" i="4"/>
  <c r="U120" i="4"/>
  <c r="V120" i="4"/>
  <c r="W120" i="4"/>
  <c r="X120" i="4"/>
  <c r="Y120" i="4"/>
  <c r="Z120" i="4"/>
  <c r="AA120" i="4"/>
  <c r="AB120" i="4"/>
  <c r="U121" i="4"/>
  <c r="V121" i="4"/>
  <c r="W121" i="4"/>
  <c r="X121" i="4"/>
  <c r="Y121" i="4"/>
  <c r="Z121" i="4"/>
  <c r="AA121" i="4"/>
  <c r="AB121" i="4"/>
  <c r="U122" i="4"/>
  <c r="V122" i="4"/>
  <c r="W122" i="4"/>
  <c r="X122" i="4"/>
  <c r="Y122" i="4"/>
  <c r="Z122" i="4"/>
  <c r="AA122" i="4"/>
  <c r="AB122" i="4"/>
  <c r="U123" i="4"/>
  <c r="V123" i="4"/>
  <c r="W123" i="4"/>
  <c r="X123" i="4"/>
  <c r="Y123" i="4"/>
  <c r="Z123" i="4"/>
  <c r="AA123" i="4"/>
  <c r="AB123" i="4"/>
  <c r="U124" i="4"/>
  <c r="V124" i="4"/>
  <c r="W124" i="4"/>
  <c r="X124" i="4"/>
  <c r="Y124" i="4"/>
  <c r="Z124" i="4"/>
  <c r="AA124" i="4"/>
  <c r="AB124" i="4"/>
  <c r="U125" i="4"/>
  <c r="V125" i="4"/>
  <c r="W125" i="4"/>
  <c r="X125" i="4"/>
  <c r="Y125" i="4"/>
  <c r="Z125" i="4"/>
  <c r="AA125" i="4"/>
  <c r="AB125" i="4"/>
  <c r="U126" i="4"/>
  <c r="V126" i="4"/>
  <c r="W126" i="4"/>
  <c r="X126" i="4"/>
  <c r="Y126" i="4"/>
  <c r="Z126" i="4"/>
  <c r="AA126" i="4"/>
  <c r="AB126" i="4"/>
  <c r="U127" i="4"/>
  <c r="V127" i="4"/>
  <c r="W127" i="4"/>
  <c r="X127" i="4"/>
  <c r="Y127" i="4"/>
  <c r="Z127" i="4"/>
  <c r="AA127" i="4"/>
  <c r="AB127" i="4"/>
  <c r="U128" i="4"/>
  <c r="V128" i="4"/>
  <c r="W128" i="4"/>
  <c r="X128" i="4"/>
  <c r="Y128" i="4"/>
  <c r="Z128" i="4"/>
  <c r="AA128" i="4"/>
  <c r="AB128" i="4"/>
  <c r="U129" i="4"/>
  <c r="V129" i="4"/>
  <c r="W129" i="4"/>
  <c r="X129" i="4"/>
  <c r="Y129" i="4"/>
  <c r="Z129" i="4"/>
  <c r="AA129" i="4"/>
  <c r="AB129" i="4"/>
  <c r="U130" i="4"/>
  <c r="V130" i="4"/>
  <c r="W130" i="4"/>
  <c r="X130" i="4"/>
  <c r="Y130" i="4"/>
  <c r="Z130" i="4"/>
  <c r="AA130" i="4"/>
  <c r="AB130" i="4"/>
  <c r="U131" i="4"/>
  <c r="V131" i="4"/>
  <c r="W131" i="4"/>
  <c r="X131" i="4"/>
  <c r="Y131" i="4"/>
  <c r="Z131" i="4"/>
  <c r="AA131" i="4"/>
  <c r="AB131" i="4"/>
  <c r="U132" i="4"/>
  <c r="V132" i="4"/>
  <c r="W132" i="4"/>
  <c r="X132" i="4"/>
  <c r="Y132" i="4"/>
  <c r="Z132" i="4"/>
  <c r="AA132" i="4"/>
  <c r="AB132" i="4"/>
  <c r="U133" i="4"/>
  <c r="V133" i="4"/>
  <c r="W133" i="4"/>
  <c r="X133" i="4"/>
  <c r="Y133" i="4"/>
  <c r="Z133" i="4"/>
  <c r="AA133" i="4"/>
  <c r="AB133" i="4"/>
  <c r="U134" i="4"/>
  <c r="V134" i="4"/>
  <c r="W134" i="4"/>
  <c r="X134" i="4"/>
  <c r="Y134" i="4"/>
  <c r="Z134" i="4"/>
  <c r="AA134" i="4"/>
  <c r="AB134" i="4"/>
  <c r="U135" i="4"/>
  <c r="V135" i="4"/>
  <c r="W135" i="4"/>
  <c r="X135" i="4"/>
  <c r="Y135" i="4"/>
  <c r="Z135" i="4"/>
  <c r="AA135" i="4"/>
  <c r="AB135" i="4"/>
  <c r="U136" i="4"/>
  <c r="V136" i="4"/>
  <c r="W136" i="4"/>
  <c r="X136" i="4"/>
  <c r="Y136" i="4"/>
  <c r="Z136" i="4"/>
  <c r="AA136" i="4"/>
  <c r="AB136" i="4"/>
  <c r="U137" i="4"/>
  <c r="V137" i="4"/>
  <c r="W137" i="4"/>
  <c r="X137" i="4"/>
  <c r="Y137" i="4"/>
  <c r="Z137" i="4"/>
  <c r="AA137" i="4"/>
  <c r="AB137" i="4"/>
  <c r="U138" i="4"/>
  <c r="V138" i="4"/>
  <c r="W138" i="4"/>
  <c r="X138" i="4"/>
  <c r="Y138" i="4"/>
  <c r="Z138" i="4"/>
  <c r="AA138" i="4"/>
  <c r="AB138" i="4"/>
  <c r="U139" i="4"/>
  <c r="V139" i="4"/>
  <c r="W139" i="4"/>
  <c r="X139" i="4"/>
  <c r="Y139" i="4"/>
  <c r="Z139" i="4"/>
  <c r="AA139" i="4"/>
  <c r="AB139" i="4"/>
  <c r="U140" i="4"/>
  <c r="V140" i="4"/>
  <c r="W140" i="4"/>
  <c r="X140" i="4"/>
  <c r="Y140" i="4"/>
  <c r="Z140" i="4"/>
  <c r="AA140" i="4"/>
  <c r="AB140" i="4"/>
  <c r="U141" i="4"/>
  <c r="V141" i="4"/>
  <c r="W141" i="4"/>
  <c r="X141" i="4"/>
  <c r="Y141" i="4"/>
  <c r="Z141" i="4"/>
  <c r="AA141" i="4"/>
  <c r="AB141" i="4"/>
  <c r="U142" i="4"/>
  <c r="V142" i="4"/>
  <c r="W142" i="4"/>
  <c r="X142" i="4"/>
  <c r="Y142" i="4"/>
  <c r="Z142" i="4"/>
  <c r="AA142" i="4"/>
  <c r="AB142" i="4"/>
  <c r="U143" i="4"/>
  <c r="V143" i="4"/>
  <c r="W143" i="4"/>
  <c r="X143" i="4"/>
  <c r="Y143" i="4"/>
  <c r="Z143" i="4"/>
  <c r="AA143" i="4"/>
  <c r="AB143" i="4"/>
  <c r="U144" i="4"/>
  <c r="V144" i="4"/>
  <c r="W144" i="4"/>
  <c r="X144" i="4"/>
  <c r="Y144" i="4"/>
  <c r="Z144" i="4"/>
  <c r="AA144" i="4"/>
  <c r="AB144" i="4"/>
  <c r="U145" i="4"/>
  <c r="V145" i="4"/>
  <c r="W145" i="4"/>
  <c r="X145" i="4"/>
  <c r="Y145" i="4"/>
  <c r="Z145" i="4"/>
  <c r="AA145" i="4"/>
  <c r="AB145" i="4"/>
  <c r="U146" i="4"/>
  <c r="V146" i="4"/>
  <c r="W146" i="4"/>
  <c r="X146" i="4"/>
  <c r="Y146" i="4"/>
  <c r="Z146" i="4"/>
  <c r="AA146" i="4"/>
  <c r="AB146" i="4"/>
  <c r="U147" i="4"/>
  <c r="V147" i="4"/>
  <c r="W147" i="4"/>
  <c r="X147" i="4"/>
  <c r="Y147" i="4"/>
  <c r="Z147" i="4"/>
  <c r="AA147" i="4"/>
  <c r="AB147" i="4"/>
  <c r="U148" i="4"/>
  <c r="V148" i="4"/>
  <c r="W148" i="4"/>
  <c r="X148" i="4"/>
  <c r="Y148" i="4"/>
  <c r="Z148" i="4"/>
  <c r="AA148" i="4"/>
  <c r="AB148" i="4"/>
  <c r="U149" i="4"/>
  <c r="V149" i="4"/>
  <c r="W149" i="4"/>
  <c r="X149" i="4"/>
  <c r="Y149" i="4"/>
  <c r="Z149" i="4"/>
  <c r="AA149" i="4"/>
  <c r="AB149" i="4"/>
  <c r="U150" i="4"/>
  <c r="V150" i="4"/>
  <c r="W150" i="4"/>
  <c r="X150" i="4"/>
  <c r="Y150" i="4"/>
  <c r="Z150" i="4"/>
  <c r="AA150" i="4"/>
  <c r="AB150" i="4"/>
  <c r="U151" i="4"/>
  <c r="V151" i="4"/>
  <c r="W151" i="4"/>
  <c r="X151" i="4"/>
  <c r="Y151" i="4"/>
  <c r="Z151" i="4"/>
  <c r="AA151" i="4"/>
  <c r="AB151" i="4"/>
  <c r="U152" i="4"/>
  <c r="V152" i="4"/>
  <c r="W152" i="4"/>
  <c r="X152" i="4"/>
  <c r="Y152" i="4"/>
  <c r="Z152" i="4"/>
  <c r="AA152" i="4"/>
  <c r="AB152" i="4"/>
  <c r="U153" i="4"/>
  <c r="V153" i="4"/>
  <c r="W153" i="4"/>
  <c r="X153" i="4"/>
  <c r="Y153" i="4"/>
  <c r="Z153" i="4"/>
  <c r="AA153" i="4"/>
  <c r="AB153" i="4"/>
  <c r="U154" i="4"/>
  <c r="V154" i="4"/>
  <c r="W154" i="4"/>
  <c r="X154" i="4"/>
  <c r="Y154" i="4"/>
  <c r="Z154" i="4"/>
  <c r="AA154" i="4"/>
  <c r="AB154" i="4"/>
  <c r="U155" i="4"/>
  <c r="V155" i="4"/>
  <c r="W155" i="4"/>
  <c r="X155" i="4"/>
  <c r="Y155" i="4"/>
  <c r="Z155" i="4"/>
  <c r="AA155" i="4"/>
  <c r="AB155" i="4"/>
  <c r="U156" i="4"/>
  <c r="V156" i="4"/>
  <c r="W156" i="4"/>
  <c r="X156" i="4"/>
  <c r="Y156" i="4"/>
  <c r="Z156" i="4"/>
  <c r="AA156" i="4"/>
  <c r="AB156" i="4"/>
  <c r="U157" i="4"/>
  <c r="V157" i="4"/>
  <c r="W157" i="4"/>
  <c r="X157" i="4"/>
  <c r="Y157" i="4"/>
  <c r="Z157" i="4"/>
  <c r="AA157" i="4"/>
  <c r="AB157" i="4"/>
  <c r="U158" i="4"/>
  <c r="V158" i="4"/>
  <c r="W158" i="4"/>
  <c r="X158" i="4"/>
  <c r="Y158" i="4"/>
  <c r="Z158" i="4"/>
  <c r="AA158" i="4"/>
  <c r="AB158" i="4"/>
  <c r="U159" i="4"/>
  <c r="V159" i="4"/>
  <c r="W159" i="4"/>
  <c r="X159" i="4"/>
  <c r="Y159" i="4"/>
  <c r="Z159" i="4"/>
  <c r="AA159" i="4"/>
  <c r="AB159" i="4"/>
  <c r="U160" i="4"/>
  <c r="V160" i="4"/>
  <c r="W160" i="4"/>
  <c r="X160" i="4"/>
  <c r="Y160" i="4"/>
  <c r="Z160" i="4"/>
  <c r="AA160" i="4"/>
  <c r="AB160" i="4"/>
  <c r="U161" i="4"/>
  <c r="V161" i="4"/>
  <c r="W161" i="4"/>
  <c r="X161" i="4"/>
  <c r="Y161" i="4"/>
  <c r="Z161" i="4"/>
  <c r="AA161" i="4"/>
  <c r="AB161" i="4"/>
  <c r="U162" i="4"/>
  <c r="V162" i="4"/>
  <c r="W162" i="4"/>
  <c r="X162" i="4"/>
  <c r="Y162" i="4"/>
  <c r="Z162" i="4"/>
  <c r="AA162" i="4"/>
  <c r="AB162" i="4"/>
  <c r="U163" i="4"/>
  <c r="V163" i="4"/>
  <c r="W163" i="4"/>
  <c r="X163" i="4"/>
  <c r="Y163" i="4"/>
  <c r="Z163" i="4"/>
  <c r="AA163" i="4"/>
  <c r="AB163" i="4"/>
  <c r="U164" i="4"/>
  <c r="V164" i="4"/>
  <c r="W164" i="4"/>
  <c r="X164" i="4"/>
  <c r="Y164" i="4"/>
  <c r="Z164" i="4"/>
  <c r="AA164" i="4"/>
  <c r="AB164" i="4"/>
  <c r="U165" i="4"/>
  <c r="V165" i="4"/>
  <c r="W165" i="4"/>
  <c r="X165" i="4"/>
  <c r="Y165" i="4"/>
  <c r="Z165" i="4"/>
  <c r="AA165" i="4"/>
  <c r="AB165" i="4"/>
  <c r="U166" i="4"/>
  <c r="V166" i="4"/>
  <c r="W166" i="4"/>
  <c r="X166" i="4"/>
  <c r="Y166" i="4"/>
  <c r="Z166" i="4"/>
  <c r="AA166" i="4"/>
  <c r="AB166" i="4"/>
  <c r="U167" i="4"/>
  <c r="V167" i="4"/>
  <c r="W167" i="4"/>
  <c r="X167" i="4"/>
  <c r="Y167" i="4"/>
  <c r="Z167" i="4"/>
  <c r="AA167" i="4"/>
  <c r="AB167" i="4"/>
  <c r="U168" i="4"/>
  <c r="V168" i="4"/>
  <c r="W168" i="4"/>
  <c r="X168" i="4"/>
  <c r="Y168" i="4"/>
  <c r="Z168" i="4"/>
  <c r="AA168" i="4"/>
  <c r="AB168" i="4"/>
  <c r="U169" i="4"/>
  <c r="V169" i="4"/>
  <c r="W169" i="4"/>
  <c r="X169" i="4"/>
  <c r="Y169" i="4"/>
  <c r="Z169" i="4"/>
  <c r="AA169" i="4"/>
  <c r="AB169" i="4"/>
  <c r="U170" i="4"/>
  <c r="V170" i="4"/>
  <c r="W170" i="4"/>
  <c r="X170" i="4"/>
  <c r="Y170" i="4"/>
  <c r="Z170" i="4"/>
  <c r="AA170" i="4"/>
  <c r="AB170" i="4"/>
  <c r="U171" i="4"/>
  <c r="V171" i="4"/>
  <c r="W171" i="4"/>
  <c r="X171" i="4"/>
  <c r="Y171" i="4"/>
  <c r="Z171" i="4"/>
  <c r="AA171" i="4"/>
  <c r="AB171" i="4"/>
  <c r="U172" i="4"/>
  <c r="V172" i="4"/>
  <c r="W172" i="4"/>
  <c r="X172" i="4"/>
  <c r="Y172" i="4"/>
  <c r="Z172" i="4"/>
  <c r="AA172" i="4"/>
  <c r="AB172" i="4"/>
  <c r="U173" i="4"/>
  <c r="V173" i="4"/>
  <c r="W173" i="4"/>
  <c r="X173" i="4"/>
  <c r="Y173" i="4"/>
  <c r="Z173" i="4"/>
  <c r="AA173" i="4"/>
  <c r="AB173" i="4"/>
  <c r="U174" i="4"/>
  <c r="V174" i="4"/>
  <c r="W174" i="4"/>
  <c r="X174" i="4"/>
  <c r="Y174" i="4"/>
  <c r="Z174" i="4"/>
  <c r="AA174" i="4"/>
  <c r="AB174" i="4"/>
  <c r="U175" i="4"/>
  <c r="V175" i="4"/>
  <c r="W175" i="4"/>
  <c r="X175" i="4"/>
  <c r="Y175" i="4"/>
  <c r="Z175" i="4"/>
  <c r="AA175" i="4"/>
  <c r="AB175" i="4"/>
  <c r="U176" i="4"/>
  <c r="V176" i="4"/>
  <c r="W176" i="4"/>
  <c r="X176" i="4"/>
  <c r="Y176" i="4"/>
  <c r="Z176" i="4"/>
  <c r="AA176" i="4"/>
  <c r="AB176" i="4"/>
  <c r="U177" i="4"/>
  <c r="V177" i="4"/>
  <c r="W177" i="4"/>
  <c r="X177" i="4"/>
  <c r="Y177" i="4"/>
  <c r="Z177" i="4"/>
  <c r="AA177" i="4"/>
  <c r="AB177" i="4"/>
  <c r="U178" i="4"/>
  <c r="V178" i="4"/>
  <c r="W178" i="4"/>
  <c r="X178" i="4"/>
  <c r="Y178" i="4"/>
  <c r="Z178" i="4"/>
  <c r="AA178" i="4"/>
  <c r="AB178" i="4"/>
  <c r="U179" i="4"/>
  <c r="V179" i="4"/>
  <c r="W179" i="4"/>
  <c r="X179" i="4"/>
  <c r="Y179" i="4"/>
  <c r="Z179" i="4"/>
  <c r="AA179" i="4"/>
  <c r="AB179" i="4"/>
  <c r="U180" i="4"/>
  <c r="V180" i="4"/>
  <c r="W180" i="4"/>
  <c r="X180" i="4"/>
  <c r="Y180" i="4"/>
  <c r="Z180" i="4"/>
  <c r="AA180" i="4"/>
  <c r="AB180" i="4"/>
  <c r="U181" i="4"/>
  <c r="V181" i="4"/>
  <c r="W181" i="4"/>
  <c r="X181" i="4"/>
  <c r="Y181" i="4"/>
  <c r="Z181" i="4"/>
  <c r="AA181" i="4"/>
  <c r="AB181" i="4"/>
  <c r="U182" i="4"/>
  <c r="V182" i="4"/>
  <c r="W182" i="4"/>
  <c r="X182" i="4"/>
  <c r="Y182" i="4"/>
  <c r="Z182" i="4"/>
  <c r="AA182" i="4"/>
  <c r="AB182" i="4"/>
  <c r="U183" i="4"/>
  <c r="V183" i="4"/>
  <c r="W183" i="4"/>
  <c r="X183" i="4"/>
  <c r="Y183" i="4"/>
  <c r="Z183" i="4"/>
  <c r="AA183" i="4"/>
  <c r="AB183" i="4"/>
  <c r="U184" i="4"/>
  <c r="V184" i="4"/>
  <c r="W184" i="4"/>
  <c r="X184" i="4"/>
  <c r="Y184" i="4"/>
  <c r="Z184" i="4"/>
  <c r="AA184" i="4"/>
  <c r="AB184" i="4"/>
  <c r="U185" i="4"/>
  <c r="V185" i="4"/>
  <c r="W185" i="4"/>
  <c r="X185" i="4"/>
  <c r="Y185" i="4"/>
  <c r="Z185" i="4"/>
  <c r="AA185" i="4"/>
  <c r="AB185" i="4"/>
  <c r="U186" i="4"/>
  <c r="V186" i="4"/>
  <c r="W186" i="4"/>
  <c r="X186" i="4"/>
  <c r="Y186" i="4"/>
  <c r="Z186" i="4"/>
  <c r="AA186" i="4"/>
  <c r="AB186" i="4"/>
  <c r="U187" i="4"/>
  <c r="V187" i="4"/>
  <c r="W187" i="4"/>
  <c r="X187" i="4"/>
  <c r="Y187" i="4"/>
  <c r="Z187" i="4"/>
  <c r="AA187" i="4"/>
  <c r="AB187" i="4"/>
  <c r="U188" i="4"/>
  <c r="V188" i="4"/>
  <c r="W188" i="4"/>
  <c r="X188" i="4"/>
  <c r="Y188" i="4"/>
  <c r="Z188" i="4"/>
  <c r="AA188" i="4"/>
  <c r="AB188" i="4"/>
  <c r="U189" i="4"/>
  <c r="V189" i="4"/>
  <c r="W189" i="4"/>
  <c r="X189" i="4"/>
  <c r="Y189" i="4"/>
  <c r="Z189" i="4"/>
  <c r="AA189" i="4"/>
  <c r="AB189" i="4"/>
  <c r="U190" i="4"/>
  <c r="V190" i="4"/>
  <c r="W190" i="4"/>
  <c r="X190" i="4"/>
  <c r="Y190" i="4"/>
  <c r="Z190" i="4"/>
  <c r="AA190" i="4"/>
  <c r="AB190" i="4"/>
  <c r="U191" i="4"/>
  <c r="V191" i="4"/>
  <c r="W191" i="4"/>
  <c r="X191" i="4"/>
  <c r="Y191" i="4"/>
  <c r="Z191" i="4"/>
  <c r="AA191" i="4"/>
  <c r="AB191" i="4"/>
  <c r="U192" i="4"/>
  <c r="V192" i="4"/>
  <c r="W192" i="4"/>
  <c r="X192" i="4"/>
  <c r="Y192" i="4"/>
  <c r="Z192" i="4"/>
  <c r="AA192" i="4"/>
  <c r="AB192" i="4"/>
  <c r="U193" i="4"/>
  <c r="V193" i="4"/>
  <c r="W193" i="4"/>
  <c r="X193" i="4"/>
  <c r="Y193" i="4"/>
  <c r="Z193" i="4"/>
  <c r="AA193" i="4"/>
  <c r="AB193" i="4"/>
  <c r="U194" i="4"/>
  <c r="V194" i="4"/>
  <c r="W194" i="4"/>
  <c r="X194" i="4"/>
  <c r="Y194" i="4"/>
  <c r="Z194" i="4"/>
  <c r="AA194" i="4"/>
  <c r="AB194" i="4"/>
  <c r="U195" i="4"/>
  <c r="V195" i="4"/>
  <c r="W195" i="4"/>
  <c r="X195" i="4"/>
  <c r="Y195" i="4"/>
  <c r="Z195" i="4"/>
  <c r="AA195" i="4"/>
  <c r="AB195" i="4"/>
  <c r="U196" i="4"/>
  <c r="V196" i="4"/>
  <c r="W196" i="4"/>
  <c r="X196" i="4"/>
  <c r="Y196" i="4"/>
  <c r="Z196" i="4"/>
  <c r="AA196" i="4"/>
  <c r="AB196" i="4"/>
  <c r="U197" i="4"/>
  <c r="V197" i="4"/>
  <c r="W197" i="4"/>
  <c r="X197" i="4"/>
  <c r="Y197" i="4"/>
  <c r="Z197" i="4"/>
  <c r="AA197" i="4"/>
  <c r="AB197" i="4"/>
  <c r="U198" i="4"/>
  <c r="V198" i="4"/>
  <c r="W198" i="4"/>
  <c r="X198" i="4"/>
  <c r="Y198" i="4"/>
  <c r="Z198" i="4"/>
  <c r="AA198" i="4"/>
  <c r="AB198" i="4"/>
  <c r="U199" i="4"/>
  <c r="V199" i="4"/>
  <c r="W199" i="4"/>
  <c r="X199" i="4"/>
  <c r="Y199" i="4"/>
  <c r="Z199" i="4"/>
  <c r="AA199" i="4"/>
  <c r="AB199" i="4"/>
  <c r="U200" i="4"/>
  <c r="V200" i="4"/>
  <c r="W200" i="4"/>
  <c r="X200" i="4"/>
  <c r="Y200" i="4"/>
  <c r="Z200" i="4"/>
  <c r="AA200" i="4"/>
  <c r="AB200" i="4"/>
  <c r="U201" i="4"/>
  <c r="V201" i="4"/>
  <c r="W201" i="4"/>
  <c r="X201" i="4"/>
  <c r="Y201" i="4"/>
  <c r="Z201" i="4"/>
  <c r="AA201" i="4"/>
  <c r="AB201" i="4"/>
  <c r="U202" i="4"/>
  <c r="V202" i="4"/>
  <c r="W202" i="4"/>
  <c r="X202" i="4"/>
  <c r="Y202" i="4"/>
  <c r="Z202" i="4"/>
  <c r="AA202" i="4"/>
  <c r="AB202" i="4"/>
  <c r="U203" i="4"/>
  <c r="V203" i="4"/>
  <c r="W203" i="4"/>
  <c r="X203" i="4"/>
  <c r="Y203" i="4"/>
  <c r="Z203" i="4"/>
  <c r="AA203" i="4"/>
  <c r="AB203" i="4"/>
  <c r="U204" i="4"/>
  <c r="V204" i="4"/>
  <c r="W204" i="4"/>
  <c r="X204" i="4"/>
  <c r="Y204" i="4"/>
  <c r="Z204" i="4"/>
  <c r="AA204" i="4"/>
  <c r="AB204" i="4"/>
  <c r="U205" i="4"/>
  <c r="V205" i="4"/>
  <c r="W205" i="4"/>
  <c r="X205" i="4"/>
  <c r="Y205" i="4"/>
  <c r="Z205" i="4"/>
  <c r="AA205" i="4"/>
  <c r="AB205" i="4"/>
  <c r="U206" i="4"/>
  <c r="V206" i="4"/>
  <c r="W206" i="4"/>
  <c r="X206" i="4"/>
  <c r="Y206" i="4"/>
  <c r="Z206" i="4"/>
  <c r="AA206" i="4"/>
  <c r="AB206" i="4"/>
  <c r="U207" i="4"/>
  <c r="V207" i="4"/>
  <c r="W207" i="4"/>
  <c r="X207" i="4"/>
  <c r="Y207" i="4"/>
  <c r="Z207" i="4"/>
  <c r="AA207" i="4"/>
  <c r="AB207" i="4"/>
  <c r="U208" i="4"/>
  <c r="V208" i="4"/>
  <c r="W208" i="4"/>
  <c r="X208" i="4"/>
  <c r="Y208" i="4"/>
  <c r="Z208" i="4"/>
  <c r="AA208" i="4"/>
  <c r="AB208" i="4"/>
  <c r="U209" i="4"/>
  <c r="V209" i="4"/>
  <c r="W209" i="4"/>
  <c r="X209" i="4"/>
  <c r="Y209" i="4"/>
  <c r="Z209" i="4"/>
  <c r="AA209" i="4"/>
  <c r="AB209" i="4"/>
  <c r="U210" i="4"/>
  <c r="V210" i="4"/>
  <c r="W210" i="4"/>
  <c r="X210" i="4"/>
  <c r="Y210" i="4"/>
  <c r="Z210" i="4"/>
  <c r="AA210" i="4"/>
  <c r="AB210" i="4"/>
  <c r="U211" i="4"/>
  <c r="V211" i="4"/>
  <c r="W211" i="4"/>
  <c r="X211" i="4"/>
  <c r="Y211" i="4"/>
  <c r="Z211" i="4"/>
  <c r="AA211" i="4"/>
  <c r="AB211" i="4"/>
  <c r="U212" i="4"/>
  <c r="V212" i="4"/>
  <c r="W212" i="4"/>
  <c r="X212" i="4"/>
  <c r="Y212" i="4"/>
  <c r="Z212" i="4"/>
  <c r="AA212" i="4"/>
  <c r="AB212" i="4"/>
  <c r="U213" i="4"/>
  <c r="V213" i="4"/>
  <c r="W213" i="4"/>
  <c r="X213" i="4"/>
  <c r="Y213" i="4"/>
  <c r="Z213" i="4"/>
  <c r="AA213" i="4"/>
  <c r="AB213" i="4"/>
  <c r="U214" i="4"/>
  <c r="V214" i="4"/>
  <c r="W214" i="4"/>
  <c r="X214" i="4"/>
  <c r="Y214" i="4"/>
  <c r="Z214" i="4"/>
  <c r="AA214" i="4"/>
  <c r="AB214" i="4"/>
  <c r="U215" i="4"/>
  <c r="V215" i="4"/>
  <c r="W215" i="4"/>
  <c r="X215" i="4"/>
  <c r="Y215" i="4"/>
  <c r="Z215" i="4"/>
  <c r="AA215" i="4"/>
  <c r="AB215" i="4"/>
  <c r="U216" i="4"/>
  <c r="V216" i="4"/>
  <c r="W216" i="4"/>
  <c r="X216" i="4"/>
  <c r="Y216" i="4"/>
  <c r="Z216" i="4"/>
  <c r="AA216" i="4"/>
  <c r="AB216" i="4"/>
  <c r="U217" i="4"/>
  <c r="V217" i="4"/>
  <c r="W217" i="4"/>
  <c r="X217" i="4"/>
  <c r="Y217" i="4"/>
  <c r="Z217" i="4"/>
  <c r="AA217" i="4"/>
  <c r="AB217" i="4"/>
  <c r="U218" i="4"/>
  <c r="V218" i="4"/>
  <c r="W218" i="4"/>
  <c r="X218" i="4"/>
  <c r="Y218" i="4"/>
  <c r="Z218" i="4"/>
  <c r="AA218" i="4"/>
  <c r="AB218" i="4"/>
  <c r="U219" i="4"/>
  <c r="V219" i="4"/>
  <c r="W219" i="4"/>
  <c r="X219" i="4"/>
  <c r="Y219" i="4"/>
  <c r="Z219" i="4"/>
  <c r="AA219" i="4"/>
  <c r="AB219" i="4"/>
  <c r="U220" i="4"/>
  <c r="V220" i="4"/>
  <c r="W220" i="4"/>
  <c r="X220" i="4"/>
  <c r="Y220" i="4"/>
  <c r="Z220" i="4"/>
  <c r="AA220" i="4"/>
  <c r="AB220" i="4"/>
  <c r="U221" i="4"/>
  <c r="V221" i="4"/>
  <c r="W221" i="4"/>
  <c r="X221" i="4"/>
  <c r="Y221" i="4"/>
  <c r="Z221" i="4"/>
  <c r="AA221" i="4"/>
  <c r="AB221" i="4"/>
  <c r="U222" i="4"/>
  <c r="V222" i="4"/>
  <c r="W222" i="4"/>
  <c r="X222" i="4"/>
  <c r="Y222" i="4"/>
  <c r="Z222" i="4"/>
  <c r="AA222" i="4"/>
  <c r="AB222" i="4"/>
  <c r="U223" i="4"/>
  <c r="V223" i="4"/>
  <c r="W223" i="4"/>
  <c r="X223" i="4"/>
  <c r="Y223" i="4"/>
  <c r="Z223" i="4"/>
  <c r="AA223" i="4"/>
  <c r="AB223" i="4"/>
  <c r="U224" i="4"/>
  <c r="V224" i="4"/>
  <c r="W224" i="4"/>
  <c r="X224" i="4"/>
  <c r="Y224" i="4"/>
  <c r="Z224" i="4"/>
  <c r="AA224" i="4"/>
  <c r="AB224" i="4"/>
  <c r="U225" i="4"/>
  <c r="V225" i="4"/>
  <c r="W225" i="4"/>
  <c r="X225" i="4"/>
  <c r="Y225" i="4"/>
  <c r="Z225" i="4"/>
  <c r="AA225" i="4"/>
  <c r="AB225" i="4"/>
  <c r="U226" i="4"/>
  <c r="V226" i="4"/>
  <c r="W226" i="4"/>
  <c r="X226" i="4"/>
  <c r="Y226" i="4"/>
  <c r="Z226" i="4"/>
  <c r="AA226" i="4"/>
  <c r="AB226" i="4"/>
  <c r="U227" i="4"/>
  <c r="V227" i="4"/>
  <c r="W227" i="4"/>
  <c r="X227" i="4"/>
  <c r="Y227" i="4"/>
  <c r="Z227" i="4"/>
  <c r="AA227" i="4"/>
  <c r="AB227" i="4"/>
  <c r="U228" i="4"/>
  <c r="V228" i="4"/>
  <c r="W228" i="4"/>
  <c r="X228" i="4"/>
  <c r="Y228" i="4"/>
  <c r="Z228" i="4"/>
  <c r="AA228" i="4"/>
  <c r="AB228" i="4"/>
  <c r="U229" i="4"/>
  <c r="V229" i="4"/>
  <c r="W229" i="4"/>
  <c r="X229" i="4"/>
  <c r="Y229" i="4"/>
  <c r="Z229" i="4"/>
  <c r="AA229" i="4"/>
  <c r="AB229" i="4"/>
  <c r="U230" i="4"/>
  <c r="V230" i="4"/>
  <c r="W230" i="4"/>
  <c r="X230" i="4"/>
  <c r="Y230" i="4"/>
  <c r="Z230" i="4"/>
  <c r="AA230" i="4"/>
  <c r="AB230" i="4"/>
  <c r="U231" i="4"/>
  <c r="V231" i="4"/>
  <c r="W231" i="4"/>
  <c r="X231" i="4"/>
  <c r="Y231" i="4"/>
  <c r="Z231" i="4"/>
  <c r="AA231" i="4"/>
  <c r="AB231" i="4"/>
  <c r="U232" i="4"/>
  <c r="V232" i="4"/>
  <c r="W232" i="4"/>
  <c r="X232" i="4"/>
  <c r="Y232" i="4"/>
  <c r="Z232" i="4"/>
  <c r="AA232" i="4"/>
  <c r="AB232" i="4"/>
  <c r="U233" i="4"/>
  <c r="V233" i="4"/>
  <c r="W233" i="4"/>
  <c r="X233" i="4"/>
  <c r="Y233" i="4"/>
  <c r="Z233" i="4"/>
  <c r="AA233" i="4"/>
  <c r="AB233" i="4"/>
  <c r="U234" i="4"/>
  <c r="V234" i="4"/>
  <c r="W234" i="4"/>
  <c r="X234" i="4"/>
  <c r="Y234" i="4"/>
  <c r="Z234" i="4"/>
  <c r="AA234" i="4"/>
  <c r="AB234" i="4"/>
  <c r="U235" i="4"/>
  <c r="V235" i="4"/>
  <c r="W235" i="4"/>
  <c r="X235" i="4"/>
  <c r="Y235" i="4"/>
  <c r="Z235" i="4"/>
  <c r="AA235" i="4"/>
  <c r="AB235" i="4"/>
  <c r="U236" i="4"/>
  <c r="V236" i="4"/>
  <c r="W236" i="4"/>
  <c r="X236" i="4"/>
  <c r="Y236" i="4"/>
  <c r="Z236" i="4"/>
  <c r="AA236" i="4"/>
  <c r="AB236" i="4"/>
  <c r="U237" i="4"/>
  <c r="V237" i="4"/>
  <c r="W237" i="4"/>
  <c r="X237" i="4"/>
  <c r="Y237" i="4"/>
  <c r="Z237" i="4"/>
  <c r="AA237" i="4"/>
  <c r="AB237" i="4"/>
  <c r="U238" i="4"/>
  <c r="V238" i="4"/>
  <c r="W238" i="4"/>
  <c r="X238" i="4"/>
  <c r="Y238" i="4"/>
  <c r="Z238" i="4"/>
  <c r="AA238" i="4"/>
  <c r="AB238" i="4"/>
  <c r="U239" i="4"/>
  <c r="V239" i="4"/>
  <c r="W239" i="4"/>
  <c r="X239" i="4"/>
  <c r="Y239" i="4"/>
  <c r="Z239" i="4"/>
  <c r="AA239" i="4"/>
  <c r="AB239" i="4"/>
  <c r="U240" i="4"/>
  <c r="V240" i="4"/>
  <c r="W240" i="4"/>
  <c r="X240" i="4"/>
  <c r="Y240" i="4"/>
  <c r="Z240" i="4"/>
  <c r="AA240" i="4"/>
  <c r="AB240" i="4"/>
  <c r="U241" i="4"/>
  <c r="V241" i="4"/>
  <c r="W241" i="4"/>
  <c r="X241" i="4"/>
  <c r="Y241" i="4"/>
  <c r="Z241" i="4"/>
  <c r="AA241" i="4"/>
  <c r="AB241" i="4"/>
  <c r="U242" i="4"/>
  <c r="V242" i="4"/>
  <c r="W242" i="4"/>
  <c r="X242" i="4"/>
  <c r="Y242" i="4"/>
  <c r="Z242" i="4"/>
  <c r="AA242" i="4"/>
  <c r="AB242" i="4"/>
  <c r="U243" i="4"/>
  <c r="V243" i="4"/>
  <c r="W243" i="4"/>
  <c r="X243" i="4"/>
  <c r="Y243" i="4"/>
  <c r="Z243" i="4"/>
  <c r="AA243" i="4"/>
  <c r="AB243" i="4"/>
  <c r="U244" i="4"/>
  <c r="V244" i="4"/>
  <c r="W244" i="4"/>
  <c r="X244" i="4"/>
  <c r="Y244" i="4"/>
  <c r="Z244" i="4"/>
  <c r="AA244" i="4"/>
  <c r="AB244" i="4"/>
  <c r="U245" i="4"/>
  <c r="V245" i="4"/>
  <c r="W245" i="4"/>
  <c r="X245" i="4"/>
  <c r="Y245" i="4"/>
  <c r="Z245" i="4"/>
  <c r="AA245" i="4"/>
  <c r="AB245" i="4"/>
  <c r="U246" i="4"/>
  <c r="V246" i="4"/>
  <c r="W246" i="4"/>
  <c r="X246" i="4"/>
  <c r="Y246" i="4"/>
  <c r="Z246" i="4"/>
  <c r="AA246" i="4"/>
  <c r="AB246" i="4"/>
  <c r="U247" i="4"/>
  <c r="V247" i="4"/>
  <c r="W247" i="4"/>
  <c r="X247" i="4"/>
  <c r="Y247" i="4"/>
  <c r="Z247" i="4"/>
  <c r="AA247" i="4"/>
  <c r="AB247" i="4"/>
  <c r="U248" i="4"/>
  <c r="V248" i="4"/>
  <c r="W248" i="4"/>
  <c r="X248" i="4"/>
  <c r="Y248" i="4"/>
  <c r="Z248" i="4"/>
  <c r="AA248" i="4"/>
  <c r="AB248" i="4"/>
  <c r="U249" i="4"/>
  <c r="V249" i="4"/>
  <c r="W249" i="4"/>
  <c r="X249" i="4"/>
  <c r="Y249" i="4"/>
  <c r="Z249" i="4"/>
  <c r="AA249" i="4"/>
  <c r="AB249" i="4"/>
  <c r="U250" i="4"/>
  <c r="V250" i="4"/>
  <c r="W250" i="4"/>
  <c r="X250" i="4"/>
  <c r="Y250" i="4"/>
  <c r="Z250" i="4"/>
  <c r="AA250" i="4"/>
  <c r="AB250" i="4"/>
  <c r="U251" i="4"/>
  <c r="V251" i="4"/>
  <c r="W251" i="4"/>
  <c r="X251" i="4"/>
  <c r="Y251" i="4"/>
  <c r="Z251" i="4"/>
  <c r="AA251" i="4"/>
  <c r="AB251" i="4"/>
  <c r="U252" i="4"/>
  <c r="V252" i="4"/>
  <c r="W252" i="4"/>
  <c r="X252" i="4"/>
  <c r="Y252" i="4"/>
  <c r="Z252" i="4"/>
  <c r="AA252" i="4"/>
  <c r="AB252" i="4"/>
  <c r="U253" i="4"/>
  <c r="V253" i="4"/>
  <c r="W253" i="4"/>
  <c r="X253" i="4"/>
  <c r="Y253" i="4"/>
  <c r="Z253" i="4"/>
  <c r="AA253" i="4"/>
  <c r="AB253" i="4"/>
  <c r="U254" i="4"/>
  <c r="V254" i="4"/>
  <c r="W254" i="4"/>
  <c r="X254" i="4"/>
  <c r="Y254" i="4"/>
  <c r="Z254" i="4"/>
  <c r="AA254" i="4"/>
  <c r="AB254" i="4"/>
  <c r="U255" i="4"/>
  <c r="V255" i="4"/>
  <c r="W255" i="4"/>
  <c r="X255" i="4"/>
  <c r="Y255" i="4"/>
  <c r="Z255" i="4"/>
  <c r="AA255" i="4"/>
  <c r="AB255" i="4"/>
  <c r="U256" i="4"/>
  <c r="V256" i="4"/>
  <c r="W256" i="4"/>
  <c r="X256" i="4"/>
  <c r="Y256" i="4"/>
  <c r="Z256" i="4"/>
  <c r="AA256" i="4"/>
  <c r="AB256" i="4"/>
  <c r="U257" i="4"/>
  <c r="V257" i="4"/>
  <c r="W257" i="4"/>
  <c r="X257" i="4"/>
  <c r="Y257" i="4"/>
  <c r="Z257" i="4"/>
  <c r="AA257" i="4"/>
  <c r="AB257" i="4"/>
  <c r="U258" i="4"/>
  <c r="V258" i="4"/>
  <c r="W258" i="4"/>
  <c r="X258" i="4"/>
  <c r="Y258" i="4"/>
  <c r="Z258" i="4"/>
  <c r="AA258" i="4"/>
  <c r="AB258" i="4"/>
  <c r="U259" i="4"/>
  <c r="V259" i="4"/>
  <c r="W259" i="4"/>
  <c r="X259" i="4"/>
  <c r="Y259" i="4"/>
  <c r="Z259" i="4"/>
  <c r="AA259" i="4"/>
  <c r="AB259" i="4"/>
  <c r="U260" i="4"/>
  <c r="V260" i="4"/>
  <c r="W260" i="4"/>
  <c r="X260" i="4"/>
  <c r="Y260" i="4"/>
  <c r="Z260" i="4"/>
  <c r="AA260" i="4"/>
  <c r="AB260" i="4"/>
  <c r="U261" i="4"/>
  <c r="V261" i="4"/>
  <c r="W261" i="4"/>
  <c r="X261" i="4"/>
  <c r="Y261" i="4"/>
  <c r="Z261" i="4"/>
  <c r="AA261" i="4"/>
  <c r="AB261" i="4"/>
  <c r="U262" i="4"/>
  <c r="V262" i="4"/>
  <c r="W262" i="4"/>
  <c r="X262" i="4"/>
  <c r="Y262" i="4"/>
  <c r="Z262" i="4"/>
  <c r="AA262" i="4"/>
  <c r="AB262" i="4"/>
  <c r="U263" i="4"/>
  <c r="V263" i="4"/>
  <c r="W263" i="4"/>
  <c r="X263" i="4"/>
  <c r="Y263" i="4"/>
  <c r="Z263" i="4"/>
  <c r="AA263" i="4"/>
  <c r="AB263" i="4"/>
  <c r="U264" i="4"/>
  <c r="V264" i="4"/>
  <c r="W264" i="4"/>
  <c r="X264" i="4"/>
  <c r="Y264" i="4"/>
  <c r="Z264" i="4"/>
  <c r="AA264" i="4"/>
  <c r="AB264" i="4"/>
  <c r="U265" i="4"/>
  <c r="V265" i="4"/>
  <c r="W265" i="4"/>
  <c r="X265" i="4"/>
  <c r="Y265" i="4"/>
  <c r="Z265" i="4"/>
  <c r="AA265" i="4"/>
  <c r="AB265" i="4"/>
  <c r="U266" i="4"/>
  <c r="V266" i="4"/>
  <c r="W266" i="4"/>
  <c r="X266" i="4"/>
  <c r="Y266" i="4"/>
  <c r="Z266" i="4"/>
  <c r="AA266" i="4"/>
  <c r="AB266" i="4"/>
  <c r="U267" i="4"/>
  <c r="V267" i="4"/>
  <c r="W267" i="4"/>
  <c r="X267" i="4"/>
  <c r="Y267" i="4"/>
  <c r="Z267" i="4"/>
  <c r="AA267" i="4"/>
  <c r="AB267" i="4"/>
  <c r="U268" i="4"/>
  <c r="V268" i="4"/>
  <c r="W268" i="4"/>
  <c r="X268" i="4"/>
  <c r="Y268" i="4"/>
  <c r="Z268" i="4"/>
  <c r="AA268" i="4"/>
  <c r="AB268" i="4"/>
  <c r="U269" i="4"/>
  <c r="V269" i="4"/>
  <c r="W269" i="4"/>
  <c r="X269" i="4"/>
  <c r="Y269" i="4"/>
  <c r="Z269" i="4"/>
  <c r="AA269" i="4"/>
  <c r="AB269" i="4"/>
  <c r="U270" i="4"/>
  <c r="V270" i="4"/>
  <c r="W270" i="4"/>
  <c r="X270" i="4"/>
  <c r="Y270" i="4"/>
  <c r="Z270" i="4"/>
  <c r="AA270" i="4"/>
  <c r="AB270" i="4"/>
  <c r="U271" i="4"/>
  <c r="V271" i="4"/>
  <c r="W271" i="4"/>
  <c r="X271" i="4"/>
  <c r="Y271" i="4"/>
  <c r="Z271" i="4"/>
  <c r="AA271" i="4"/>
  <c r="AB271" i="4"/>
  <c r="U272" i="4"/>
  <c r="V272" i="4"/>
  <c r="W272" i="4"/>
  <c r="X272" i="4"/>
  <c r="Y272" i="4"/>
  <c r="Z272" i="4"/>
  <c r="AA272" i="4"/>
  <c r="AB272" i="4"/>
  <c r="U273" i="4"/>
  <c r="V273" i="4"/>
  <c r="W273" i="4"/>
  <c r="X273" i="4"/>
  <c r="Y273" i="4"/>
  <c r="Z273" i="4"/>
  <c r="AA273" i="4"/>
  <c r="AB273" i="4"/>
  <c r="U274" i="4"/>
  <c r="V274" i="4"/>
  <c r="W274" i="4"/>
  <c r="X274" i="4"/>
  <c r="Y274" i="4"/>
  <c r="Z274" i="4"/>
  <c r="AA274" i="4"/>
  <c r="AB274" i="4"/>
  <c r="U275" i="4"/>
  <c r="V275" i="4"/>
  <c r="W275" i="4"/>
  <c r="X275" i="4"/>
  <c r="Y275" i="4"/>
  <c r="Z275" i="4"/>
  <c r="AA275" i="4"/>
  <c r="AB275" i="4"/>
  <c r="U276" i="4"/>
  <c r="V276" i="4"/>
  <c r="W276" i="4"/>
  <c r="X276" i="4"/>
  <c r="Y276" i="4"/>
  <c r="Z276" i="4"/>
  <c r="AA276" i="4"/>
  <c r="AB276" i="4"/>
  <c r="U277" i="4"/>
  <c r="V277" i="4"/>
  <c r="W277" i="4"/>
  <c r="X277" i="4"/>
  <c r="Y277" i="4"/>
  <c r="Z277" i="4"/>
  <c r="AA277" i="4"/>
  <c r="AB277" i="4"/>
  <c r="U278" i="4"/>
  <c r="V278" i="4"/>
  <c r="W278" i="4"/>
  <c r="X278" i="4"/>
  <c r="Y278" i="4"/>
  <c r="Z278" i="4"/>
  <c r="AA278" i="4"/>
  <c r="AB278" i="4"/>
  <c r="U279" i="4"/>
  <c r="V279" i="4"/>
  <c r="W279" i="4"/>
  <c r="X279" i="4"/>
  <c r="Y279" i="4"/>
  <c r="Z279" i="4"/>
  <c r="AA279" i="4"/>
  <c r="AB279" i="4"/>
  <c r="U280" i="4"/>
  <c r="V280" i="4"/>
  <c r="W280" i="4"/>
  <c r="X280" i="4"/>
  <c r="Y280" i="4"/>
  <c r="Z280" i="4"/>
  <c r="AA280" i="4"/>
  <c r="AB280" i="4"/>
  <c r="U281" i="4"/>
  <c r="V281" i="4"/>
  <c r="W281" i="4"/>
  <c r="X281" i="4"/>
  <c r="Y281" i="4"/>
  <c r="Z281" i="4"/>
  <c r="AA281" i="4"/>
  <c r="AB281" i="4"/>
  <c r="U282" i="4"/>
  <c r="V282" i="4"/>
  <c r="W282" i="4"/>
  <c r="X282" i="4"/>
  <c r="Y282" i="4"/>
  <c r="Z282" i="4"/>
  <c r="AA282" i="4"/>
  <c r="AB282" i="4"/>
  <c r="U283" i="4"/>
  <c r="V283" i="4"/>
  <c r="W283" i="4"/>
  <c r="X283" i="4"/>
  <c r="Y283" i="4"/>
  <c r="Z283" i="4"/>
  <c r="AA283" i="4"/>
  <c r="AB283" i="4"/>
  <c r="U284" i="4"/>
  <c r="V284" i="4"/>
  <c r="W284" i="4"/>
  <c r="X284" i="4"/>
  <c r="Y284" i="4"/>
  <c r="Z284" i="4"/>
  <c r="AA284" i="4"/>
  <c r="AB284" i="4"/>
  <c r="U285" i="4"/>
  <c r="V285" i="4"/>
  <c r="W285" i="4"/>
  <c r="X285" i="4"/>
  <c r="Y285" i="4"/>
  <c r="Z285" i="4"/>
  <c r="AA285" i="4"/>
  <c r="AB285" i="4"/>
  <c r="U286" i="4"/>
  <c r="V286" i="4"/>
  <c r="W286" i="4"/>
  <c r="X286" i="4"/>
  <c r="Y286" i="4"/>
  <c r="Z286" i="4"/>
  <c r="AA286" i="4"/>
  <c r="AB286" i="4"/>
  <c r="U287" i="4"/>
  <c r="V287" i="4"/>
  <c r="W287" i="4"/>
  <c r="X287" i="4"/>
  <c r="Y287" i="4"/>
  <c r="Z287" i="4"/>
  <c r="AA287" i="4"/>
  <c r="AB287" i="4"/>
  <c r="U288" i="4"/>
  <c r="V288" i="4"/>
  <c r="W288" i="4"/>
  <c r="X288" i="4"/>
  <c r="Y288" i="4"/>
  <c r="Z288" i="4"/>
  <c r="AA288" i="4"/>
  <c r="AB288" i="4"/>
  <c r="U289" i="4"/>
  <c r="V289" i="4"/>
  <c r="W289" i="4"/>
  <c r="X289" i="4"/>
  <c r="Y289" i="4"/>
  <c r="Z289" i="4"/>
  <c r="AA289" i="4"/>
  <c r="AB289" i="4"/>
  <c r="U290" i="4"/>
  <c r="V290" i="4"/>
  <c r="W290" i="4"/>
  <c r="X290" i="4"/>
  <c r="Y290" i="4"/>
  <c r="Z290" i="4"/>
  <c r="AA290" i="4"/>
  <c r="AB290" i="4"/>
  <c r="U291" i="4"/>
  <c r="V291" i="4"/>
  <c r="W291" i="4"/>
  <c r="X291" i="4"/>
  <c r="Y291" i="4"/>
  <c r="Z291" i="4"/>
  <c r="AA291" i="4"/>
  <c r="AB291" i="4"/>
  <c r="U292" i="4"/>
  <c r="V292" i="4"/>
  <c r="W292" i="4"/>
  <c r="X292" i="4"/>
  <c r="Y292" i="4"/>
  <c r="Z292" i="4"/>
  <c r="AA292" i="4"/>
  <c r="AB292" i="4"/>
  <c r="U293" i="4"/>
  <c r="V293" i="4"/>
  <c r="W293" i="4"/>
  <c r="X293" i="4"/>
  <c r="Y293" i="4"/>
  <c r="Z293" i="4"/>
  <c r="AA293" i="4"/>
  <c r="AB293" i="4"/>
  <c r="U294" i="4"/>
  <c r="V294" i="4"/>
  <c r="W294" i="4"/>
  <c r="X294" i="4"/>
  <c r="Y294" i="4"/>
  <c r="Z294" i="4"/>
  <c r="AA294" i="4"/>
  <c r="AB294" i="4"/>
  <c r="U295" i="4"/>
  <c r="V295" i="4"/>
  <c r="W295" i="4"/>
  <c r="X295" i="4"/>
  <c r="Y295" i="4"/>
  <c r="Z295" i="4"/>
  <c r="AA295" i="4"/>
  <c r="AB295" i="4"/>
  <c r="U296" i="4"/>
  <c r="V296" i="4"/>
  <c r="W296" i="4"/>
  <c r="X296" i="4"/>
  <c r="Y296" i="4"/>
  <c r="Z296" i="4"/>
  <c r="AA296" i="4"/>
  <c r="AB296" i="4"/>
  <c r="U297" i="4"/>
  <c r="V297" i="4"/>
  <c r="W297" i="4"/>
  <c r="X297" i="4"/>
  <c r="Y297" i="4"/>
  <c r="Z297" i="4"/>
  <c r="AA297" i="4"/>
  <c r="AB297" i="4"/>
  <c r="U298" i="4"/>
  <c r="V298" i="4"/>
  <c r="W298" i="4"/>
  <c r="X298" i="4"/>
  <c r="Y298" i="4"/>
  <c r="Z298" i="4"/>
  <c r="AA298" i="4"/>
  <c r="AB298" i="4"/>
  <c r="U299" i="4"/>
  <c r="V299" i="4"/>
  <c r="W299" i="4"/>
  <c r="X299" i="4"/>
  <c r="Y299" i="4"/>
  <c r="Z299" i="4"/>
  <c r="AA299" i="4"/>
  <c r="AB299" i="4"/>
  <c r="U300" i="4"/>
  <c r="V300" i="4"/>
  <c r="W300" i="4"/>
  <c r="X300" i="4"/>
  <c r="Y300" i="4"/>
  <c r="Z300" i="4"/>
  <c r="AA300" i="4"/>
  <c r="AB300" i="4"/>
  <c r="U301" i="4"/>
  <c r="V301" i="4"/>
  <c r="W301" i="4"/>
  <c r="X301" i="4"/>
  <c r="Y301" i="4"/>
  <c r="Z301" i="4"/>
  <c r="AA301" i="4"/>
  <c r="AB301" i="4"/>
  <c r="U302" i="4"/>
  <c r="V302" i="4"/>
  <c r="W302" i="4"/>
  <c r="X302" i="4"/>
  <c r="Y302" i="4"/>
  <c r="Z302" i="4"/>
  <c r="AA302" i="4"/>
  <c r="AB302" i="4"/>
  <c r="U303" i="4"/>
  <c r="V303" i="4"/>
  <c r="W303" i="4"/>
  <c r="X303" i="4"/>
  <c r="Y303" i="4"/>
  <c r="Z303" i="4"/>
  <c r="AA303" i="4"/>
  <c r="AB303" i="4"/>
  <c r="U304" i="4"/>
  <c r="V304" i="4"/>
  <c r="W304" i="4"/>
  <c r="X304" i="4"/>
  <c r="Y304" i="4"/>
  <c r="Z304" i="4"/>
  <c r="AA304" i="4"/>
  <c r="AB304" i="4"/>
  <c r="U305" i="4"/>
  <c r="V305" i="4"/>
  <c r="W305" i="4"/>
  <c r="X305" i="4"/>
  <c r="Y305" i="4"/>
  <c r="Z305" i="4"/>
  <c r="AA305" i="4"/>
  <c r="AB305" i="4"/>
  <c r="U306" i="4"/>
  <c r="V306" i="4"/>
  <c r="W306" i="4"/>
  <c r="X306" i="4"/>
  <c r="Y306" i="4"/>
  <c r="Z306" i="4"/>
  <c r="AA306" i="4"/>
  <c r="AB306" i="4"/>
  <c r="U307" i="4"/>
  <c r="V307" i="4"/>
  <c r="W307" i="4"/>
  <c r="X307" i="4"/>
  <c r="Y307" i="4"/>
  <c r="Z307" i="4"/>
  <c r="AA307" i="4"/>
  <c r="AB307" i="4"/>
  <c r="U308" i="4"/>
  <c r="V308" i="4"/>
  <c r="W308" i="4"/>
  <c r="X308" i="4"/>
  <c r="Y308" i="4"/>
  <c r="Z308" i="4"/>
  <c r="AA308" i="4"/>
  <c r="AB308" i="4"/>
  <c r="U309" i="4"/>
  <c r="V309" i="4"/>
  <c r="W309" i="4"/>
  <c r="X309" i="4"/>
  <c r="Y309" i="4"/>
  <c r="Z309" i="4"/>
  <c r="AA309" i="4"/>
  <c r="AB309" i="4"/>
  <c r="U310" i="4"/>
  <c r="V310" i="4"/>
  <c r="W310" i="4"/>
  <c r="X310" i="4"/>
  <c r="Y310" i="4"/>
  <c r="Z310" i="4"/>
  <c r="AA310" i="4"/>
  <c r="AB310" i="4"/>
  <c r="U311" i="4"/>
  <c r="V311" i="4"/>
  <c r="W311" i="4"/>
  <c r="X311" i="4"/>
  <c r="Y311" i="4"/>
  <c r="Z311" i="4"/>
  <c r="AA311" i="4"/>
  <c r="AB311" i="4"/>
  <c r="U312" i="4"/>
  <c r="V312" i="4"/>
  <c r="W312" i="4"/>
  <c r="X312" i="4"/>
  <c r="Y312" i="4"/>
  <c r="Z312" i="4"/>
  <c r="AA312" i="4"/>
  <c r="AB312" i="4"/>
  <c r="U313" i="4"/>
  <c r="V313" i="4"/>
  <c r="W313" i="4"/>
  <c r="X313" i="4"/>
  <c r="Y313" i="4"/>
  <c r="Z313" i="4"/>
  <c r="AA313" i="4"/>
  <c r="AB313" i="4"/>
  <c r="U314" i="4"/>
  <c r="V314" i="4"/>
  <c r="W314" i="4"/>
  <c r="X314" i="4"/>
  <c r="Y314" i="4"/>
  <c r="Z314" i="4"/>
  <c r="AA314" i="4"/>
  <c r="AB314" i="4"/>
  <c r="U315" i="4"/>
  <c r="V315" i="4"/>
  <c r="W315" i="4"/>
  <c r="X315" i="4"/>
  <c r="Y315" i="4"/>
  <c r="Z315" i="4"/>
  <c r="AA315" i="4"/>
  <c r="AB315" i="4"/>
  <c r="U316" i="4"/>
  <c r="V316" i="4"/>
  <c r="W316" i="4"/>
  <c r="X316" i="4"/>
  <c r="Y316" i="4"/>
  <c r="Z316" i="4"/>
  <c r="AA316" i="4"/>
  <c r="AB316" i="4"/>
  <c r="U317" i="4"/>
  <c r="V317" i="4"/>
  <c r="W317" i="4"/>
  <c r="X317" i="4"/>
  <c r="Y317" i="4"/>
  <c r="Z317" i="4"/>
  <c r="AA317" i="4"/>
  <c r="AB317" i="4"/>
  <c r="U318" i="4"/>
  <c r="V318" i="4"/>
  <c r="W318" i="4"/>
  <c r="X318" i="4"/>
  <c r="Y318" i="4"/>
  <c r="Z318" i="4"/>
  <c r="AA318" i="4"/>
  <c r="AB318" i="4"/>
  <c r="U319" i="4"/>
  <c r="V319" i="4"/>
  <c r="W319" i="4"/>
  <c r="X319" i="4"/>
  <c r="Y319" i="4"/>
  <c r="Z319" i="4"/>
  <c r="AA319" i="4"/>
  <c r="AB319" i="4"/>
  <c r="U320" i="4"/>
  <c r="V320" i="4"/>
  <c r="W320" i="4"/>
  <c r="X320" i="4"/>
  <c r="Y320" i="4"/>
  <c r="Z320" i="4"/>
  <c r="AA320" i="4"/>
  <c r="AB320" i="4"/>
  <c r="U321" i="4"/>
  <c r="V321" i="4"/>
  <c r="W321" i="4"/>
  <c r="X321" i="4"/>
  <c r="Y321" i="4"/>
  <c r="Z321" i="4"/>
  <c r="AA321" i="4"/>
  <c r="AB321" i="4"/>
  <c r="U322" i="4"/>
  <c r="V322" i="4"/>
  <c r="W322" i="4"/>
  <c r="X322" i="4"/>
  <c r="Y322" i="4"/>
  <c r="Z322" i="4"/>
  <c r="AA322" i="4"/>
  <c r="AB322" i="4"/>
  <c r="U323" i="4"/>
  <c r="V323" i="4"/>
  <c r="W323" i="4"/>
  <c r="X323" i="4"/>
  <c r="Y323" i="4"/>
  <c r="Z323" i="4"/>
  <c r="AA323" i="4"/>
  <c r="AB323" i="4"/>
  <c r="U324" i="4"/>
  <c r="V324" i="4"/>
  <c r="W324" i="4"/>
  <c r="X324" i="4"/>
  <c r="Y324" i="4"/>
  <c r="Z324" i="4"/>
  <c r="AA324" i="4"/>
  <c r="AB324" i="4"/>
  <c r="U325" i="4"/>
  <c r="V325" i="4"/>
  <c r="W325" i="4"/>
  <c r="X325" i="4"/>
  <c r="Y325" i="4"/>
  <c r="Z325" i="4"/>
  <c r="AA325" i="4"/>
  <c r="AB325" i="4"/>
  <c r="U326" i="4"/>
  <c r="V326" i="4"/>
  <c r="W326" i="4"/>
  <c r="X326" i="4"/>
  <c r="Y326" i="4"/>
  <c r="Z326" i="4"/>
  <c r="AA326" i="4"/>
  <c r="AB326" i="4"/>
  <c r="U327" i="4"/>
  <c r="V327" i="4"/>
  <c r="W327" i="4"/>
  <c r="X327" i="4"/>
  <c r="Y327" i="4"/>
  <c r="Z327" i="4"/>
  <c r="AA327" i="4"/>
  <c r="AB327" i="4"/>
  <c r="U328" i="4"/>
  <c r="V328" i="4"/>
  <c r="W328" i="4"/>
  <c r="X328" i="4"/>
  <c r="Y328" i="4"/>
  <c r="Z328" i="4"/>
  <c r="AA328" i="4"/>
  <c r="AB328" i="4"/>
  <c r="U329" i="4"/>
  <c r="V329" i="4"/>
  <c r="W329" i="4"/>
  <c r="X329" i="4"/>
  <c r="Y329" i="4"/>
  <c r="Z329" i="4"/>
  <c r="AA329" i="4"/>
  <c r="AB329" i="4"/>
  <c r="U330" i="4"/>
  <c r="V330" i="4"/>
  <c r="W330" i="4"/>
  <c r="X330" i="4"/>
  <c r="Y330" i="4"/>
  <c r="Z330" i="4"/>
  <c r="AA330" i="4"/>
  <c r="AB330" i="4"/>
  <c r="U331" i="4"/>
  <c r="V331" i="4"/>
  <c r="W331" i="4"/>
  <c r="X331" i="4"/>
  <c r="Y331" i="4"/>
  <c r="Z331" i="4"/>
  <c r="AA331" i="4"/>
  <c r="AB331" i="4"/>
  <c r="U332" i="4"/>
  <c r="V332" i="4"/>
  <c r="W332" i="4"/>
  <c r="X332" i="4"/>
  <c r="Y332" i="4"/>
  <c r="Z332" i="4"/>
  <c r="AA332" i="4"/>
  <c r="AB332" i="4"/>
  <c r="U333" i="4"/>
  <c r="V333" i="4"/>
  <c r="W333" i="4"/>
  <c r="X333" i="4"/>
  <c r="Y333" i="4"/>
  <c r="Z333" i="4"/>
  <c r="AA333" i="4"/>
  <c r="AB333" i="4"/>
  <c r="U334" i="4"/>
  <c r="V334" i="4"/>
  <c r="W334" i="4"/>
  <c r="X334" i="4"/>
  <c r="Y334" i="4"/>
  <c r="Z334" i="4"/>
  <c r="AA334" i="4"/>
  <c r="AB334" i="4"/>
  <c r="U335" i="4"/>
  <c r="V335" i="4"/>
  <c r="W335" i="4"/>
  <c r="X335" i="4"/>
  <c r="Y335" i="4"/>
  <c r="Z335" i="4"/>
  <c r="AA335" i="4"/>
  <c r="AB335" i="4"/>
  <c r="U336" i="4"/>
  <c r="V336" i="4"/>
  <c r="W336" i="4"/>
  <c r="X336" i="4"/>
  <c r="Y336" i="4"/>
  <c r="Z336" i="4"/>
  <c r="AA336" i="4"/>
  <c r="AB336" i="4"/>
  <c r="U337" i="4"/>
  <c r="V337" i="4"/>
  <c r="W337" i="4"/>
  <c r="X337" i="4"/>
  <c r="Y337" i="4"/>
  <c r="Z337" i="4"/>
  <c r="AA337" i="4"/>
  <c r="AB337" i="4"/>
  <c r="U338" i="4"/>
  <c r="V338" i="4"/>
  <c r="W338" i="4"/>
  <c r="X338" i="4"/>
  <c r="Y338" i="4"/>
  <c r="Z338" i="4"/>
  <c r="AA338" i="4"/>
  <c r="AB338" i="4"/>
  <c r="U339" i="4"/>
  <c r="V339" i="4"/>
  <c r="W339" i="4"/>
  <c r="X339" i="4"/>
  <c r="Y339" i="4"/>
  <c r="Z339" i="4"/>
  <c r="AA339" i="4"/>
  <c r="AB339" i="4"/>
  <c r="U340" i="4"/>
  <c r="V340" i="4"/>
  <c r="W340" i="4"/>
  <c r="X340" i="4"/>
  <c r="Y340" i="4"/>
  <c r="Z340" i="4"/>
  <c r="AA340" i="4"/>
  <c r="AB340" i="4"/>
  <c r="U341" i="4"/>
  <c r="V341" i="4"/>
  <c r="W341" i="4"/>
  <c r="X341" i="4"/>
  <c r="Y341" i="4"/>
  <c r="Z341" i="4"/>
  <c r="AA341" i="4"/>
  <c r="AB341" i="4"/>
  <c r="U342" i="4"/>
  <c r="V342" i="4"/>
  <c r="W342" i="4"/>
  <c r="X342" i="4"/>
  <c r="Y342" i="4"/>
  <c r="Z342" i="4"/>
  <c r="AA342" i="4"/>
  <c r="AB342" i="4"/>
  <c r="U343" i="4"/>
  <c r="V343" i="4"/>
  <c r="W343" i="4"/>
  <c r="X343" i="4"/>
  <c r="Y343" i="4"/>
  <c r="Z343" i="4"/>
  <c r="AA343" i="4"/>
  <c r="AB343" i="4"/>
  <c r="U344" i="4"/>
  <c r="V344" i="4"/>
  <c r="W344" i="4"/>
  <c r="X344" i="4"/>
  <c r="Y344" i="4"/>
  <c r="Z344" i="4"/>
  <c r="AA344" i="4"/>
  <c r="AB344" i="4"/>
  <c r="U345" i="4"/>
  <c r="V345" i="4"/>
  <c r="W345" i="4"/>
  <c r="X345" i="4"/>
  <c r="Y345" i="4"/>
  <c r="Z345" i="4"/>
  <c r="AA345" i="4"/>
  <c r="AB345" i="4"/>
  <c r="U346" i="4"/>
  <c r="V346" i="4"/>
  <c r="W346" i="4"/>
  <c r="X346" i="4"/>
  <c r="Y346" i="4"/>
  <c r="Z346" i="4"/>
  <c r="AA346" i="4"/>
  <c r="AB346" i="4"/>
  <c r="U347" i="4"/>
  <c r="V347" i="4"/>
  <c r="W347" i="4"/>
  <c r="X347" i="4"/>
  <c r="Y347" i="4"/>
  <c r="Z347" i="4"/>
  <c r="AA347" i="4"/>
  <c r="AB347" i="4"/>
  <c r="U348" i="4"/>
  <c r="V348" i="4"/>
  <c r="W348" i="4"/>
  <c r="X348" i="4"/>
  <c r="Y348" i="4"/>
  <c r="Z348" i="4"/>
  <c r="AA348" i="4"/>
  <c r="AB348" i="4"/>
  <c r="U349" i="4"/>
  <c r="V349" i="4"/>
  <c r="W349" i="4"/>
  <c r="X349" i="4"/>
  <c r="Y349" i="4"/>
  <c r="Z349" i="4"/>
  <c r="AA349" i="4"/>
  <c r="AB349" i="4"/>
  <c r="U350" i="4"/>
  <c r="V350" i="4"/>
  <c r="W350" i="4"/>
  <c r="X350" i="4"/>
  <c r="Y350" i="4"/>
  <c r="Z350" i="4"/>
  <c r="AA350" i="4"/>
  <c r="AB350" i="4"/>
  <c r="U351" i="4"/>
  <c r="V351" i="4"/>
  <c r="W351" i="4"/>
  <c r="X351" i="4"/>
  <c r="Y351" i="4"/>
  <c r="Z351" i="4"/>
  <c r="AA351" i="4"/>
  <c r="AB351" i="4"/>
  <c r="U352" i="4"/>
  <c r="V352" i="4"/>
  <c r="W352" i="4"/>
  <c r="X352" i="4"/>
  <c r="Y352" i="4"/>
  <c r="Z352" i="4"/>
  <c r="AA352" i="4"/>
  <c r="AB352" i="4"/>
  <c r="U353" i="4"/>
  <c r="V353" i="4"/>
  <c r="W353" i="4"/>
  <c r="X353" i="4"/>
  <c r="Y353" i="4"/>
  <c r="Z353" i="4"/>
  <c r="AA353" i="4"/>
  <c r="AB353" i="4"/>
  <c r="U354" i="4"/>
  <c r="V354" i="4"/>
  <c r="W354" i="4"/>
  <c r="X354" i="4"/>
  <c r="Y354" i="4"/>
  <c r="Z354" i="4"/>
  <c r="AA354" i="4"/>
  <c r="AB354" i="4"/>
  <c r="U355" i="4"/>
  <c r="V355" i="4"/>
  <c r="W355" i="4"/>
  <c r="X355" i="4"/>
  <c r="Y355" i="4"/>
  <c r="Z355" i="4"/>
  <c r="AA355" i="4"/>
  <c r="AB355" i="4"/>
  <c r="U356" i="4"/>
  <c r="V356" i="4"/>
  <c r="W356" i="4"/>
  <c r="X356" i="4"/>
  <c r="Y356" i="4"/>
  <c r="Z356" i="4"/>
  <c r="AA356" i="4"/>
  <c r="AB356" i="4"/>
  <c r="U357" i="4"/>
  <c r="V357" i="4"/>
  <c r="W357" i="4"/>
  <c r="X357" i="4"/>
  <c r="Y357" i="4"/>
  <c r="Z357" i="4"/>
  <c r="AA357" i="4"/>
  <c r="AB357" i="4"/>
  <c r="U358" i="4"/>
  <c r="V358" i="4"/>
  <c r="W358" i="4"/>
  <c r="X358" i="4"/>
  <c r="Y358" i="4"/>
  <c r="Z358" i="4"/>
  <c r="AA358" i="4"/>
  <c r="AB358" i="4"/>
  <c r="U359" i="4"/>
  <c r="V359" i="4"/>
  <c r="W359" i="4"/>
  <c r="X359" i="4"/>
  <c r="Y359" i="4"/>
  <c r="Z359" i="4"/>
  <c r="AA359" i="4"/>
  <c r="AB359" i="4"/>
  <c r="U360" i="4"/>
  <c r="V360" i="4"/>
  <c r="W360" i="4"/>
  <c r="X360" i="4"/>
  <c r="Y360" i="4"/>
  <c r="Z360" i="4"/>
  <c r="AA360" i="4"/>
  <c r="AB360" i="4"/>
  <c r="U361" i="4"/>
  <c r="V361" i="4"/>
  <c r="W361" i="4"/>
  <c r="X361" i="4"/>
  <c r="Y361" i="4"/>
  <c r="Z361" i="4"/>
  <c r="AA361" i="4"/>
  <c r="AB361" i="4"/>
  <c r="U362" i="4"/>
  <c r="V362" i="4"/>
  <c r="W362" i="4"/>
  <c r="X362" i="4"/>
  <c r="Y362" i="4"/>
  <c r="Z362" i="4"/>
  <c r="AA362" i="4"/>
  <c r="AB362" i="4"/>
  <c r="U363" i="4"/>
  <c r="V363" i="4"/>
  <c r="W363" i="4"/>
  <c r="X363" i="4"/>
  <c r="Y363" i="4"/>
  <c r="Z363" i="4"/>
  <c r="AA363" i="4"/>
  <c r="AB363" i="4"/>
  <c r="U364" i="4"/>
  <c r="V364" i="4"/>
  <c r="W364" i="4"/>
  <c r="X364" i="4"/>
  <c r="Y364" i="4"/>
  <c r="Z364" i="4"/>
  <c r="AA364" i="4"/>
  <c r="AB364" i="4"/>
  <c r="U365" i="4"/>
  <c r="V365" i="4"/>
  <c r="W365" i="4"/>
  <c r="X365" i="4"/>
  <c r="Y365" i="4"/>
  <c r="Z365" i="4"/>
  <c r="AA365" i="4"/>
  <c r="AB365" i="4"/>
  <c r="U366" i="4"/>
  <c r="V366" i="4"/>
  <c r="W366" i="4"/>
  <c r="X366" i="4"/>
  <c r="Y366" i="4"/>
  <c r="Z366" i="4"/>
  <c r="AA366" i="4"/>
  <c r="AB366" i="4"/>
  <c r="U367" i="4"/>
  <c r="V367" i="4"/>
  <c r="W367" i="4"/>
  <c r="X367" i="4"/>
  <c r="Y367" i="4"/>
  <c r="Z367" i="4"/>
  <c r="AA367" i="4"/>
  <c r="AB367" i="4"/>
  <c r="U368" i="4"/>
  <c r="V368" i="4"/>
  <c r="W368" i="4"/>
  <c r="X368" i="4"/>
  <c r="Y368" i="4"/>
  <c r="Z368" i="4"/>
  <c r="AA368" i="4"/>
  <c r="AB368" i="4"/>
  <c r="U369" i="4"/>
  <c r="V369" i="4"/>
  <c r="W369" i="4"/>
  <c r="X369" i="4"/>
  <c r="Y369" i="4"/>
  <c r="Z369" i="4"/>
  <c r="AA369" i="4"/>
  <c r="AB369" i="4"/>
  <c r="U370" i="4"/>
  <c r="V370" i="4"/>
  <c r="W370" i="4"/>
  <c r="X370" i="4"/>
  <c r="Y370" i="4"/>
  <c r="Z370" i="4"/>
  <c r="AA370" i="4"/>
  <c r="AB370" i="4"/>
  <c r="U371" i="4"/>
  <c r="V371" i="4"/>
  <c r="W371" i="4"/>
  <c r="X371" i="4"/>
  <c r="Y371" i="4"/>
  <c r="Z371" i="4"/>
  <c r="AA371" i="4"/>
  <c r="AB371" i="4"/>
  <c r="U372" i="4"/>
  <c r="V372" i="4"/>
  <c r="W372" i="4"/>
  <c r="X372" i="4"/>
  <c r="Y372" i="4"/>
  <c r="Z372" i="4"/>
  <c r="AA372" i="4"/>
  <c r="AB372" i="4"/>
  <c r="U373" i="4"/>
  <c r="V373" i="4"/>
  <c r="W373" i="4"/>
  <c r="X373" i="4"/>
  <c r="Y373" i="4"/>
  <c r="Z373" i="4"/>
  <c r="AA373" i="4"/>
  <c r="AB373" i="4"/>
  <c r="U374" i="4"/>
  <c r="V374" i="4"/>
  <c r="W374" i="4"/>
  <c r="X374" i="4"/>
  <c r="Y374" i="4"/>
  <c r="Z374" i="4"/>
  <c r="AA374" i="4"/>
  <c r="AB374" i="4"/>
  <c r="U375" i="4"/>
  <c r="V375" i="4"/>
  <c r="W375" i="4"/>
  <c r="X375" i="4"/>
  <c r="Y375" i="4"/>
  <c r="Z375" i="4"/>
  <c r="AA375" i="4"/>
  <c r="AB375" i="4"/>
  <c r="U376" i="4"/>
  <c r="V376" i="4"/>
  <c r="W376" i="4"/>
  <c r="X376" i="4"/>
  <c r="Y376" i="4"/>
  <c r="Z376" i="4"/>
  <c r="AA376" i="4"/>
  <c r="AB376" i="4"/>
  <c r="U377" i="4"/>
  <c r="V377" i="4"/>
  <c r="W377" i="4"/>
  <c r="X377" i="4"/>
  <c r="Y377" i="4"/>
  <c r="Z377" i="4"/>
  <c r="AA377" i="4"/>
  <c r="AB377" i="4"/>
  <c r="U378" i="4"/>
  <c r="V378" i="4"/>
  <c r="W378" i="4"/>
  <c r="X378" i="4"/>
  <c r="Y378" i="4"/>
  <c r="Z378" i="4"/>
  <c r="AA378" i="4"/>
  <c r="AB378" i="4"/>
  <c r="U379" i="4"/>
  <c r="V379" i="4"/>
  <c r="W379" i="4"/>
  <c r="X379" i="4"/>
  <c r="Y379" i="4"/>
  <c r="Z379" i="4"/>
  <c r="AA379" i="4"/>
  <c r="AB379" i="4"/>
  <c r="U380" i="4"/>
  <c r="V380" i="4"/>
  <c r="W380" i="4"/>
  <c r="X380" i="4"/>
  <c r="Y380" i="4"/>
  <c r="Z380" i="4"/>
  <c r="AA380" i="4"/>
  <c r="AB380" i="4"/>
  <c r="U381" i="4"/>
  <c r="V381" i="4"/>
  <c r="W381" i="4"/>
  <c r="X381" i="4"/>
  <c r="Y381" i="4"/>
  <c r="Z381" i="4"/>
  <c r="AA381" i="4"/>
  <c r="AB381" i="4"/>
  <c r="U382" i="4"/>
  <c r="V382" i="4"/>
  <c r="W382" i="4"/>
  <c r="X382" i="4"/>
  <c r="Y382" i="4"/>
  <c r="Z382" i="4"/>
  <c r="AA382" i="4"/>
  <c r="AB382" i="4"/>
  <c r="U383" i="4"/>
  <c r="V383" i="4"/>
  <c r="W383" i="4"/>
  <c r="X383" i="4"/>
  <c r="Y383" i="4"/>
  <c r="Z383" i="4"/>
  <c r="AA383" i="4"/>
  <c r="AB383" i="4"/>
  <c r="U384" i="4"/>
  <c r="V384" i="4"/>
  <c r="W384" i="4"/>
  <c r="X384" i="4"/>
  <c r="Y384" i="4"/>
  <c r="Z384" i="4"/>
  <c r="AA384" i="4"/>
  <c r="AB384" i="4"/>
  <c r="U385" i="4"/>
  <c r="V385" i="4"/>
  <c r="W385" i="4"/>
  <c r="X385" i="4"/>
  <c r="Y385" i="4"/>
  <c r="Z385" i="4"/>
  <c r="AA385" i="4"/>
  <c r="AB385" i="4"/>
  <c r="U386" i="4"/>
  <c r="V386" i="4"/>
  <c r="W386" i="4"/>
  <c r="X386" i="4"/>
  <c r="Y386" i="4"/>
  <c r="Z386" i="4"/>
  <c r="AA386" i="4"/>
  <c r="AB386" i="4"/>
  <c r="U387" i="4"/>
  <c r="V387" i="4"/>
  <c r="W387" i="4"/>
  <c r="X387" i="4"/>
  <c r="Y387" i="4"/>
  <c r="Z387" i="4"/>
  <c r="AA387" i="4"/>
  <c r="AB387" i="4"/>
  <c r="U388" i="4"/>
  <c r="V388" i="4"/>
  <c r="W388" i="4"/>
  <c r="X388" i="4"/>
  <c r="Y388" i="4"/>
  <c r="Z388" i="4"/>
  <c r="AA388" i="4"/>
  <c r="AB388" i="4"/>
  <c r="U389" i="4"/>
  <c r="V389" i="4"/>
  <c r="W389" i="4"/>
  <c r="X389" i="4"/>
  <c r="Y389" i="4"/>
  <c r="Z389" i="4"/>
  <c r="AA389" i="4"/>
  <c r="AB389" i="4"/>
  <c r="U390" i="4"/>
  <c r="V390" i="4"/>
  <c r="W390" i="4"/>
  <c r="X390" i="4"/>
  <c r="Y390" i="4"/>
  <c r="Z390" i="4"/>
  <c r="AA390" i="4"/>
  <c r="AB390" i="4"/>
  <c r="U391" i="4"/>
  <c r="V391" i="4"/>
  <c r="W391" i="4"/>
  <c r="X391" i="4"/>
  <c r="Y391" i="4"/>
  <c r="Z391" i="4"/>
  <c r="AA391" i="4"/>
  <c r="AB391" i="4"/>
  <c r="U392" i="4"/>
  <c r="V392" i="4"/>
  <c r="W392" i="4"/>
  <c r="X392" i="4"/>
  <c r="Y392" i="4"/>
  <c r="Z392" i="4"/>
  <c r="AA392" i="4"/>
  <c r="AB392" i="4"/>
  <c r="U393" i="4"/>
  <c r="V393" i="4"/>
  <c r="W393" i="4"/>
  <c r="X393" i="4"/>
  <c r="Y393" i="4"/>
  <c r="Z393" i="4"/>
  <c r="AA393" i="4"/>
  <c r="AB393" i="4"/>
  <c r="U394" i="4"/>
  <c r="V394" i="4"/>
  <c r="W394" i="4"/>
  <c r="X394" i="4"/>
  <c r="Y394" i="4"/>
  <c r="Z394" i="4"/>
  <c r="AA394" i="4"/>
  <c r="AB394" i="4"/>
  <c r="U395" i="4"/>
  <c r="V395" i="4"/>
  <c r="W395" i="4"/>
  <c r="X395" i="4"/>
  <c r="Y395" i="4"/>
  <c r="Z395" i="4"/>
  <c r="AA395" i="4"/>
  <c r="AB395" i="4"/>
  <c r="U396" i="4"/>
  <c r="V396" i="4"/>
  <c r="W396" i="4"/>
  <c r="X396" i="4"/>
  <c r="Y396" i="4"/>
  <c r="Z396" i="4"/>
  <c r="AA396" i="4"/>
  <c r="AB396" i="4"/>
  <c r="U397" i="4"/>
  <c r="V397" i="4"/>
  <c r="W397" i="4"/>
  <c r="X397" i="4"/>
  <c r="Y397" i="4"/>
  <c r="Z397" i="4"/>
  <c r="AA397" i="4"/>
  <c r="AB397" i="4"/>
  <c r="U398" i="4"/>
  <c r="V398" i="4"/>
  <c r="W398" i="4"/>
  <c r="X398" i="4"/>
  <c r="Y398" i="4"/>
  <c r="Z398" i="4"/>
  <c r="AA398" i="4"/>
  <c r="AB398" i="4"/>
  <c r="U399" i="4"/>
  <c r="V399" i="4"/>
  <c r="W399" i="4"/>
  <c r="X399" i="4"/>
  <c r="Y399" i="4"/>
  <c r="Z399" i="4"/>
  <c r="AA399" i="4"/>
  <c r="AB399" i="4"/>
  <c r="U400" i="4"/>
  <c r="V400" i="4"/>
  <c r="W400" i="4"/>
  <c r="X400" i="4"/>
  <c r="Y400" i="4"/>
  <c r="Z400" i="4"/>
  <c r="AA400" i="4"/>
  <c r="AB400" i="4"/>
  <c r="U401" i="4"/>
  <c r="V401" i="4"/>
  <c r="W401" i="4"/>
  <c r="X401" i="4"/>
  <c r="Y401" i="4"/>
  <c r="Z401" i="4"/>
  <c r="AA401" i="4"/>
  <c r="AB401" i="4"/>
  <c r="U402" i="4"/>
  <c r="V402" i="4"/>
  <c r="W402" i="4"/>
  <c r="X402" i="4"/>
  <c r="Y402" i="4"/>
  <c r="Z402" i="4"/>
  <c r="AA402" i="4"/>
  <c r="AB402" i="4"/>
  <c r="U403" i="4"/>
  <c r="V403" i="4"/>
  <c r="W403" i="4"/>
  <c r="X403" i="4"/>
  <c r="Y403" i="4"/>
  <c r="Z403" i="4"/>
  <c r="AA403" i="4"/>
  <c r="AB403" i="4"/>
  <c r="U404" i="4"/>
  <c r="V404" i="4"/>
  <c r="W404" i="4"/>
  <c r="X404" i="4"/>
  <c r="Y404" i="4"/>
  <c r="Z404" i="4"/>
  <c r="AA404" i="4"/>
  <c r="AB404" i="4"/>
  <c r="U405" i="4"/>
  <c r="V405" i="4"/>
  <c r="W405" i="4"/>
  <c r="X405" i="4"/>
  <c r="Y405" i="4"/>
  <c r="Z405" i="4"/>
  <c r="AA405" i="4"/>
  <c r="AB405" i="4"/>
  <c r="U406" i="4"/>
  <c r="V406" i="4"/>
  <c r="W406" i="4"/>
  <c r="X406" i="4"/>
  <c r="Y406" i="4"/>
  <c r="Z406" i="4"/>
  <c r="AA406" i="4"/>
  <c r="AB406" i="4"/>
  <c r="U407" i="4"/>
  <c r="V407" i="4"/>
  <c r="W407" i="4"/>
  <c r="X407" i="4"/>
  <c r="Y407" i="4"/>
  <c r="Z407" i="4"/>
  <c r="AA407" i="4"/>
  <c r="AB407" i="4"/>
  <c r="U408" i="4"/>
  <c r="V408" i="4"/>
  <c r="W408" i="4"/>
  <c r="X408" i="4"/>
  <c r="Y408" i="4"/>
  <c r="Z408" i="4"/>
  <c r="AA408" i="4"/>
  <c r="AB408" i="4"/>
  <c r="U409" i="4"/>
  <c r="V409" i="4"/>
  <c r="W409" i="4"/>
  <c r="X409" i="4"/>
  <c r="Y409" i="4"/>
  <c r="Z409" i="4"/>
  <c r="AA409" i="4"/>
  <c r="AB409" i="4"/>
  <c r="U410" i="4"/>
  <c r="V410" i="4"/>
  <c r="W410" i="4"/>
  <c r="X410" i="4"/>
  <c r="Y410" i="4"/>
  <c r="Z410" i="4"/>
  <c r="AA410" i="4"/>
  <c r="AB410" i="4"/>
  <c r="U411" i="4"/>
  <c r="V411" i="4"/>
  <c r="W411" i="4"/>
  <c r="X411" i="4"/>
  <c r="Y411" i="4"/>
  <c r="Z411" i="4"/>
  <c r="AA411" i="4"/>
  <c r="AB411" i="4"/>
  <c r="U412" i="4"/>
  <c r="V412" i="4"/>
  <c r="W412" i="4"/>
  <c r="X412" i="4"/>
  <c r="Y412" i="4"/>
  <c r="Z412" i="4"/>
  <c r="AA412" i="4"/>
  <c r="AB412" i="4"/>
  <c r="U413" i="4"/>
  <c r="V413" i="4"/>
  <c r="W413" i="4"/>
  <c r="X413" i="4"/>
  <c r="Y413" i="4"/>
  <c r="Z413" i="4"/>
  <c r="AA413" i="4"/>
  <c r="AB413" i="4"/>
  <c r="U414" i="4"/>
  <c r="V414" i="4"/>
  <c r="W414" i="4"/>
  <c r="X414" i="4"/>
  <c r="Y414" i="4"/>
  <c r="Z414" i="4"/>
  <c r="AA414" i="4"/>
  <c r="AB414" i="4"/>
  <c r="U415" i="4"/>
  <c r="V415" i="4"/>
  <c r="W415" i="4"/>
  <c r="X415" i="4"/>
  <c r="Y415" i="4"/>
  <c r="Z415" i="4"/>
  <c r="AA415" i="4"/>
  <c r="AB415" i="4"/>
  <c r="U416" i="4"/>
  <c r="V416" i="4"/>
  <c r="W416" i="4"/>
  <c r="X416" i="4"/>
  <c r="Y416" i="4"/>
  <c r="Z416" i="4"/>
  <c r="AA416" i="4"/>
  <c r="AB416" i="4"/>
  <c r="U417" i="4"/>
  <c r="V417" i="4"/>
  <c r="W417" i="4"/>
  <c r="X417" i="4"/>
  <c r="Y417" i="4"/>
  <c r="Z417" i="4"/>
  <c r="AA417" i="4"/>
  <c r="AB417" i="4"/>
  <c r="U418" i="4"/>
  <c r="V418" i="4"/>
  <c r="W418" i="4"/>
  <c r="X418" i="4"/>
  <c r="Y418" i="4"/>
  <c r="Z418" i="4"/>
  <c r="AA418" i="4"/>
  <c r="AB418" i="4"/>
  <c r="U419" i="4"/>
  <c r="V419" i="4"/>
  <c r="W419" i="4"/>
  <c r="X419" i="4"/>
  <c r="Y419" i="4"/>
  <c r="Z419" i="4"/>
  <c r="AA419" i="4"/>
  <c r="AB419" i="4"/>
  <c r="U420" i="4"/>
  <c r="V420" i="4"/>
  <c r="W420" i="4"/>
  <c r="X420" i="4"/>
  <c r="Y420" i="4"/>
  <c r="Z420" i="4"/>
  <c r="AA420" i="4"/>
  <c r="AB420" i="4"/>
  <c r="U421" i="4"/>
  <c r="V421" i="4"/>
  <c r="W421" i="4"/>
  <c r="X421" i="4"/>
  <c r="Y421" i="4"/>
  <c r="Z421" i="4"/>
  <c r="AA421" i="4"/>
  <c r="AB421" i="4"/>
  <c r="U422" i="4"/>
  <c r="V422" i="4"/>
  <c r="W422" i="4"/>
  <c r="X422" i="4"/>
  <c r="Y422" i="4"/>
  <c r="Z422" i="4"/>
  <c r="AA422" i="4"/>
  <c r="AB422" i="4"/>
  <c r="U423" i="4"/>
  <c r="V423" i="4"/>
  <c r="W423" i="4"/>
  <c r="X423" i="4"/>
  <c r="Y423" i="4"/>
  <c r="Z423" i="4"/>
  <c r="AA423" i="4"/>
  <c r="AB423" i="4"/>
  <c r="U424" i="4"/>
  <c r="V424" i="4"/>
  <c r="W424" i="4"/>
  <c r="X424" i="4"/>
  <c r="Y424" i="4"/>
  <c r="Z424" i="4"/>
  <c r="AA424" i="4"/>
  <c r="AB424" i="4"/>
  <c r="U425" i="4"/>
  <c r="V425" i="4"/>
  <c r="W425" i="4"/>
  <c r="X425" i="4"/>
  <c r="Y425" i="4"/>
  <c r="Z425" i="4"/>
  <c r="AA425" i="4"/>
  <c r="AB425" i="4"/>
  <c r="U426" i="4"/>
  <c r="V426" i="4"/>
  <c r="W426" i="4"/>
  <c r="X426" i="4"/>
  <c r="Y426" i="4"/>
  <c r="Z426" i="4"/>
  <c r="AA426" i="4"/>
  <c r="AB426" i="4"/>
  <c r="U427" i="4"/>
  <c r="V427" i="4"/>
  <c r="W427" i="4"/>
  <c r="X427" i="4"/>
  <c r="Y427" i="4"/>
  <c r="Z427" i="4"/>
  <c r="AA427" i="4"/>
  <c r="AB427" i="4"/>
  <c r="U428" i="4"/>
  <c r="V428" i="4"/>
  <c r="W428" i="4"/>
  <c r="X428" i="4"/>
  <c r="Y428" i="4"/>
  <c r="Z428" i="4"/>
  <c r="AA428" i="4"/>
  <c r="AB428" i="4"/>
  <c r="U429" i="4"/>
  <c r="V429" i="4"/>
  <c r="W429" i="4"/>
  <c r="X429" i="4"/>
  <c r="Y429" i="4"/>
  <c r="Z429" i="4"/>
  <c r="AA429" i="4"/>
  <c r="AB429" i="4"/>
  <c r="U430" i="4"/>
  <c r="V430" i="4"/>
  <c r="W430" i="4"/>
  <c r="X430" i="4"/>
  <c r="Y430" i="4"/>
  <c r="Z430" i="4"/>
  <c r="AA430" i="4"/>
  <c r="AB430" i="4"/>
  <c r="U431" i="4"/>
  <c r="V431" i="4"/>
  <c r="W431" i="4"/>
  <c r="X431" i="4"/>
  <c r="Y431" i="4"/>
  <c r="Z431" i="4"/>
  <c r="AA431" i="4"/>
  <c r="AB431" i="4"/>
  <c r="U432" i="4"/>
  <c r="V432" i="4"/>
  <c r="W432" i="4"/>
  <c r="X432" i="4"/>
  <c r="Y432" i="4"/>
  <c r="Z432" i="4"/>
  <c r="AA432" i="4"/>
  <c r="AB432" i="4"/>
  <c r="U433" i="4"/>
  <c r="V433" i="4"/>
  <c r="W433" i="4"/>
  <c r="X433" i="4"/>
  <c r="Y433" i="4"/>
  <c r="Z433" i="4"/>
  <c r="AA433" i="4"/>
  <c r="AB433" i="4"/>
  <c r="U434" i="4"/>
  <c r="V434" i="4"/>
  <c r="W434" i="4"/>
  <c r="X434" i="4"/>
  <c r="Y434" i="4"/>
  <c r="Z434" i="4"/>
  <c r="AA434" i="4"/>
  <c r="AB434" i="4"/>
  <c r="U435" i="4"/>
  <c r="V435" i="4"/>
  <c r="W435" i="4"/>
  <c r="X435" i="4"/>
  <c r="Y435" i="4"/>
  <c r="Z435" i="4"/>
  <c r="AA435" i="4"/>
  <c r="AB435" i="4"/>
  <c r="U436" i="4"/>
  <c r="V436" i="4"/>
  <c r="W436" i="4"/>
  <c r="X436" i="4"/>
  <c r="Y436" i="4"/>
  <c r="Z436" i="4"/>
  <c r="AA436" i="4"/>
  <c r="AB436" i="4"/>
  <c r="U437" i="4"/>
  <c r="V437" i="4"/>
  <c r="W437" i="4"/>
  <c r="X437" i="4"/>
  <c r="Y437" i="4"/>
  <c r="Z437" i="4"/>
  <c r="AA437" i="4"/>
  <c r="AB437" i="4"/>
  <c r="U438" i="4"/>
  <c r="V438" i="4"/>
  <c r="W438" i="4"/>
  <c r="X438" i="4"/>
  <c r="Y438" i="4"/>
  <c r="Z438" i="4"/>
  <c r="AA438" i="4"/>
  <c r="AB438" i="4"/>
  <c r="U439" i="4"/>
  <c r="V439" i="4"/>
  <c r="W439" i="4"/>
  <c r="X439" i="4"/>
  <c r="Y439" i="4"/>
  <c r="Z439" i="4"/>
  <c r="AA439" i="4"/>
  <c r="AB439" i="4"/>
  <c r="U440" i="4"/>
  <c r="V440" i="4"/>
  <c r="W440" i="4"/>
  <c r="X440" i="4"/>
  <c r="Y440" i="4"/>
  <c r="Z440" i="4"/>
  <c r="AA440" i="4"/>
  <c r="AB440" i="4"/>
  <c r="U441" i="4"/>
  <c r="V441" i="4"/>
  <c r="W441" i="4"/>
  <c r="X441" i="4"/>
  <c r="Y441" i="4"/>
  <c r="Z441" i="4"/>
  <c r="AA441" i="4"/>
  <c r="AB441" i="4"/>
  <c r="U442" i="4"/>
  <c r="V442" i="4"/>
  <c r="W442" i="4"/>
  <c r="X442" i="4"/>
  <c r="Y442" i="4"/>
  <c r="Z442" i="4"/>
  <c r="AA442" i="4"/>
  <c r="AB442" i="4"/>
  <c r="U443" i="4"/>
  <c r="V443" i="4"/>
  <c r="W443" i="4"/>
  <c r="X443" i="4"/>
  <c r="Y443" i="4"/>
  <c r="Z443" i="4"/>
  <c r="AA443" i="4"/>
  <c r="AB443" i="4"/>
  <c r="U444" i="4"/>
  <c r="V444" i="4"/>
  <c r="W444" i="4"/>
  <c r="X444" i="4"/>
  <c r="Y444" i="4"/>
  <c r="Z444" i="4"/>
  <c r="AA444" i="4"/>
  <c r="AB444" i="4"/>
  <c r="U445" i="4"/>
  <c r="V445" i="4"/>
  <c r="W445" i="4"/>
  <c r="X445" i="4"/>
  <c r="Y445" i="4"/>
  <c r="Z445" i="4"/>
  <c r="AA445" i="4"/>
  <c r="AB445" i="4"/>
  <c r="U446" i="4"/>
  <c r="V446" i="4"/>
  <c r="W446" i="4"/>
  <c r="X446" i="4"/>
  <c r="Y446" i="4"/>
  <c r="Z446" i="4"/>
  <c r="AA446" i="4"/>
  <c r="AB446" i="4"/>
  <c r="U447" i="4"/>
  <c r="V447" i="4"/>
  <c r="W447" i="4"/>
  <c r="X447" i="4"/>
  <c r="Y447" i="4"/>
  <c r="Z447" i="4"/>
  <c r="AA447" i="4"/>
  <c r="AB447" i="4"/>
  <c r="U448" i="4"/>
  <c r="V448" i="4"/>
  <c r="W448" i="4"/>
  <c r="X448" i="4"/>
  <c r="Y448" i="4"/>
  <c r="Z448" i="4"/>
  <c r="AA448" i="4"/>
  <c r="AB448" i="4"/>
  <c r="U449" i="4"/>
  <c r="V449" i="4"/>
  <c r="W449" i="4"/>
  <c r="X449" i="4"/>
  <c r="Y449" i="4"/>
  <c r="Z449" i="4"/>
  <c r="AA449" i="4"/>
  <c r="AB449" i="4"/>
  <c r="U450" i="4"/>
  <c r="V450" i="4"/>
  <c r="W450" i="4"/>
  <c r="X450" i="4"/>
  <c r="Y450" i="4"/>
  <c r="Z450" i="4"/>
  <c r="AA450" i="4"/>
  <c r="AB450" i="4"/>
  <c r="U451" i="4"/>
  <c r="V451" i="4"/>
  <c r="W451" i="4"/>
  <c r="X451" i="4"/>
  <c r="Y451" i="4"/>
  <c r="Z451" i="4"/>
  <c r="AA451" i="4"/>
  <c r="AB451" i="4"/>
  <c r="U452" i="4"/>
  <c r="V452" i="4"/>
  <c r="W452" i="4"/>
  <c r="X452" i="4"/>
  <c r="Y452" i="4"/>
  <c r="Z452" i="4"/>
  <c r="AA452" i="4"/>
  <c r="AB452" i="4"/>
  <c r="U453" i="4"/>
  <c r="V453" i="4"/>
  <c r="W453" i="4"/>
  <c r="X453" i="4"/>
  <c r="Y453" i="4"/>
  <c r="Z453" i="4"/>
  <c r="AA453" i="4"/>
  <c r="AB453" i="4"/>
  <c r="U454" i="4"/>
  <c r="V454" i="4"/>
  <c r="W454" i="4"/>
  <c r="X454" i="4"/>
  <c r="Y454" i="4"/>
  <c r="Z454" i="4"/>
  <c r="AA454" i="4"/>
  <c r="AB454" i="4"/>
  <c r="U455" i="4"/>
  <c r="V455" i="4"/>
  <c r="W455" i="4"/>
  <c r="X455" i="4"/>
  <c r="Y455" i="4"/>
  <c r="Z455" i="4"/>
  <c r="AA455" i="4"/>
  <c r="AB455" i="4"/>
  <c r="U456" i="4"/>
  <c r="V456" i="4"/>
  <c r="W456" i="4"/>
  <c r="X456" i="4"/>
  <c r="Y456" i="4"/>
  <c r="Z456" i="4"/>
  <c r="AA456" i="4"/>
  <c r="AB456" i="4"/>
  <c r="U457" i="4"/>
  <c r="V457" i="4"/>
  <c r="W457" i="4"/>
  <c r="X457" i="4"/>
  <c r="Y457" i="4"/>
  <c r="Z457" i="4"/>
  <c r="AA457" i="4"/>
  <c r="AB457" i="4"/>
  <c r="U458" i="4"/>
  <c r="V458" i="4"/>
  <c r="W458" i="4"/>
  <c r="X458" i="4"/>
  <c r="Y458" i="4"/>
  <c r="Z458" i="4"/>
  <c r="AA458" i="4"/>
  <c r="AB458" i="4"/>
  <c r="U459" i="4"/>
  <c r="V459" i="4"/>
  <c r="W459" i="4"/>
  <c r="X459" i="4"/>
  <c r="Y459" i="4"/>
  <c r="Z459" i="4"/>
  <c r="AA459" i="4"/>
  <c r="AB459" i="4"/>
  <c r="U460" i="4"/>
  <c r="V460" i="4"/>
  <c r="W460" i="4"/>
  <c r="X460" i="4"/>
  <c r="Y460" i="4"/>
  <c r="Z460" i="4"/>
  <c r="AA460" i="4"/>
  <c r="AB460" i="4"/>
  <c r="U461" i="4"/>
  <c r="V461" i="4"/>
  <c r="W461" i="4"/>
  <c r="X461" i="4"/>
  <c r="Y461" i="4"/>
  <c r="Z461" i="4"/>
  <c r="AA461" i="4"/>
  <c r="AB461" i="4"/>
  <c r="U462" i="4"/>
  <c r="V462" i="4"/>
  <c r="W462" i="4"/>
  <c r="X462" i="4"/>
  <c r="Y462" i="4"/>
  <c r="Z462" i="4"/>
  <c r="AA462" i="4"/>
  <c r="AB462" i="4"/>
  <c r="U463" i="4"/>
  <c r="V463" i="4"/>
  <c r="W463" i="4"/>
  <c r="X463" i="4"/>
  <c r="Y463" i="4"/>
  <c r="Z463" i="4"/>
  <c r="AA463" i="4"/>
  <c r="AB463" i="4"/>
  <c r="U464" i="4"/>
  <c r="V464" i="4"/>
  <c r="W464" i="4"/>
  <c r="X464" i="4"/>
  <c r="Y464" i="4"/>
  <c r="Z464" i="4"/>
  <c r="AA464" i="4"/>
  <c r="AB464" i="4"/>
  <c r="U465" i="4"/>
  <c r="V465" i="4"/>
  <c r="W465" i="4"/>
  <c r="X465" i="4"/>
  <c r="Y465" i="4"/>
  <c r="Z465" i="4"/>
  <c r="AA465" i="4"/>
  <c r="AB465" i="4"/>
  <c r="U466" i="4"/>
  <c r="V466" i="4"/>
  <c r="W466" i="4"/>
  <c r="X466" i="4"/>
  <c r="Y466" i="4"/>
  <c r="Z466" i="4"/>
  <c r="AA466" i="4"/>
  <c r="AB466" i="4"/>
  <c r="U467" i="4"/>
  <c r="V467" i="4"/>
  <c r="W467" i="4"/>
  <c r="X467" i="4"/>
  <c r="Y467" i="4"/>
  <c r="Z467" i="4"/>
  <c r="AA467" i="4"/>
  <c r="AB467" i="4"/>
  <c r="U468" i="4"/>
  <c r="V468" i="4"/>
  <c r="W468" i="4"/>
  <c r="X468" i="4"/>
  <c r="Y468" i="4"/>
  <c r="Z468" i="4"/>
  <c r="AA468" i="4"/>
  <c r="AB468" i="4"/>
  <c r="U469" i="4"/>
  <c r="V469" i="4"/>
  <c r="W469" i="4"/>
  <c r="X469" i="4"/>
  <c r="Y469" i="4"/>
  <c r="Z469" i="4"/>
  <c r="AA469" i="4"/>
  <c r="AB469" i="4"/>
  <c r="U470" i="4"/>
  <c r="V470" i="4"/>
  <c r="W470" i="4"/>
  <c r="X470" i="4"/>
  <c r="Y470" i="4"/>
  <c r="Z470" i="4"/>
  <c r="AA470" i="4"/>
  <c r="AB470" i="4"/>
  <c r="U471" i="4"/>
  <c r="V471" i="4"/>
  <c r="W471" i="4"/>
  <c r="X471" i="4"/>
  <c r="Y471" i="4"/>
  <c r="Z471" i="4"/>
  <c r="AA471" i="4"/>
  <c r="AB471" i="4"/>
  <c r="U472" i="4"/>
  <c r="V472" i="4"/>
  <c r="W472" i="4"/>
  <c r="X472" i="4"/>
  <c r="Y472" i="4"/>
  <c r="Z472" i="4"/>
  <c r="AA472" i="4"/>
  <c r="AB472" i="4"/>
  <c r="U473" i="4"/>
  <c r="V473" i="4"/>
  <c r="W473" i="4"/>
  <c r="X473" i="4"/>
  <c r="Y473" i="4"/>
  <c r="Z473" i="4"/>
  <c r="AA473" i="4"/>
  <c r="AB473" i="4"/>
  <c r="U474" i="4"/>
  <c r="V474" i="4"/>
  <c r="W474" i="4"/>
  <c r="X474" i="4"/>
  <c r="Y474" i="4"/>
  <c r="Z474" i="4"/>
  <c r="AA474" i="4"/>
  <c r="AB474" i="4"/>
  <c r="U475" i="4"/>
  <c r="V475" i="4"/>
  <c r="W475" i="4"/>
  <c r="X475" i="4"/>
  <c r="Y475" i="4"/>
  <c r="Z475" i="4"/>
  <c r="AA475" i="4"/>
  <c r="AB475" i="4"/>
  <c r="U476" i="4"/>
  <c r="V476" i="4"/>
  <c r="W476" i="4"/>
  <c r="X476" i="4"/>
  <c r="Y476" i="4"/>
  <c r="Z476" i="4"/>
  <c r="AA476" i="4"/>
  <c r="AB476" i="4"/>
  <c r="U477" i="4"/>
  <c r="V477" i="4"/>
  <c r="W477" i="4"/>
  <c r="X477" i="4"/>
  <c r="Y477" i="4"/>
  <c r="Z477" i="4"/>
  <c r="AA477" i="4"/>
  <c r="AB477" i="4"/>
  <c r="U478" i="4"/>
  <c r="V478" i="4"/>
  <c r="W478" i="4"/>
  <c r="X478" i="4"/>
  <c r="Y478" i="4"/>
  <c r="Z478" i="4"/>
  <c r="AA478" i="4"/>
  <c r="AB478" i="4"/>
  <c r="U479" i="4"/>
  <c r="V479" i="4"/>
  <c r="W479" i="4"/>
  <c r="X479" i="4"/>
  <c r="Y479" i="4"/>
  <c r="Z479" i="4"/>
  <c r="AA479" i="4"/>
  <c r="AB479" i="4"/>
  <c r="U480" i="4"/>
  <c r="V480" i="4"/>
  <c r="W480" i="4"/>
  <c r="X480" i="4"/>
  <c r="Y480" i="4"/>
  <c r="Z480" i="4"/>
  <c r="AA480" i="4"/>
  <c r="AB480" i="4"/>
  <c r="U481" i="4"/>
  <c r="V481" i="4"/>
  <c r="W481" i="4"/>
  <c r="X481" i="4"/>
  <c r="Y481" i="4"/>
  <c r="Z481" i="4"/>
  <c r="AA481" i="4"/>
  <c r="AB481" i="4"/>
  <c r="U482" i="4"/>
  <c r="V482" i="4"/>
  <c r="W482" i="4"/>
  <c r="X482" i="4"/>
  <c r="Y482" i="4"/>
  <c r="Z482" i="4"/>
  <c r="AA482" i="4"/>
  <c r="AB482" i="4"/>
  <c r="U483" i="4"/>
  <c r="V483" i="4"/>
  <c r="W483" i="4"/>
  <c r="X483" i="4"/>
  <c r="Y483" i="4"/>
  <c r="Z483" i="4"/>
  <c r="AA483" i="4"/>
  <c r="AB483" i="4"/>
  <c r="U484" i="4"/>
  <c r="V484" i="4"/>
  <c r="W484" i="4"/>
  <c r="X484" i="4"/>
  <c r="Y484" i="4"/>
  <c r="Z484" i="4"/>
  <c r="AA484" i="4"/>
  <c r="AB484" i="4"/>
  <c r="U485" i="4"/>
  <c r="V485" i="4"/>
  <c r="W485" i="4"/>
  <c r="X485" i="4"/>
  <c r="Y485" i="4"/>
  <c r="Z485" i="4"/>
  <c r="AA485" i="4"/>
  <c r="AB485" i="4"/>
  <c r="U486" i="4"/>
  <c r="V486" i="4"/>
  <c r="W486" i="4"/>
  <c r="X486" i="4"/>
  <c r="Y486" i="4"/>
  <c r="Z486" i="4"/>
  <c r="AA486" i="4"/>
  <c r="AB486" i="4"/>
  <c r="U487" i="4"/>
  <c r="V487" i="4"/>
  <c r="W487" i="4"/>
  <c r="X487" i="4"/>
  <c r="Y487" i="4"/>
  <c r="Z487" i="4"/>
  <c r="AA487" i="4"/>
  <c r="AB487" i="4"/>
  <c r="U488" i="4"/>
  <c r="V488" i="4"/>
  <c r="W488" i="4"/>
  <c r="X488" i="4"/>
  <c r="Y488" i="4"/>
  <c r="Z488" i="4"/>
  <c r="AA488" i="4"/>
  <c r="AB488" i="4"/>
  <c r="U489" i="4"/>
  <c r="V489" i="4"/>
  <c r="W489" i="4"/>
  <c r="X489" i="4"/>
  <c r="Y489" i="4"/>
  <c r="Z489" i="4"/>
  <c r="AA489" i="4"/>
  <c r="AB489" i="4"/>
  <c r="U490" i="4"/>
  <c r="V490" i="4"/>
  <c r="W490" i="4"/>
  <c r="X490" i="4"/>
  <c r="Y490" i="4"/>
  <c r="Z490" i="4"/>
  <c r="AA490" i="4"/>
  <c r="AB490" i="4"/>
  <c r="U491" i="4"/>
  <c r="V491" i="4"/>
  <c r="W491" i="4"/>
  <c r="X491" i="4"/>
  <c r="Y491" i="4"/>
  <c r="Z491" i="4"/>
  <c r="AA491" i="4"/>
  <c r="AB491" i="4"/>
  <c r="U492" i="4"/>
  <c r="V492" i="4"/>
  <c r="W492" i="4"/>
  <c r="X492" i="4"/>
  <c r="Y492" i="4"/>
  <c r="Z492" i="4"/>
  <c r="AA492" i="4"/>
  <c r="AB492" i="4"/>
  <c r="U493" i="4"/>
  <c r="V493" i="4"/>
  <c r="W493" i="4"/>
  <c r="X493" i="4"/>
  <c r="Y493" i="4"/>
  <c r="Z493" i="4"/>
  <c r="AA493" i="4"/>
  <c r="AB493" i="4"/>
  <c r="U494" i="4"/>
  <c r="V494" i="4"/>
  <c r="W494" i="4"/>
  <c r="X494" i="4"/>
  <c r="Y494" i="4"/>
  <c r="Z494" i="4"/>
  <c r="AA494" i="4"/>
  <c r="AB494" i="4"/>
  <c r="U495" i="4"/>
  <c r="V495" i="4"/>
  <c r="W495" i="4"/>
  <c r="X495" i="4"/>
  <c r="Y495" i="4"/>
  <c r="Z495" i="4"/>
  <c r="AA495" i="4"/>
  <c r="AB495" i="4"/>
  <c r="U496" i="4"/>
  <c r="V496" i="4"/>
  <c r="W496" i="4"/>
  <c r="X496" i="4"/>
  <c r="Y496" i="4"/>
  <c r="Z496" i="4"/>
  <c r="AA496" i="4"/>
  <c r="AB496" i="4"/>
  <c r="V2" i="4"/>
  <c r="W2" i="4"/>
  <c r="X2" i="4"/>
  <c r="Y2" i="4"/>
  <c r="Z2" i="4"/>
  <c r="AA2" i="4"/>
  <c r="AB2" i="4"/>
  <c r="U2" i="4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4" i="4"/>
  <c r="J65" i="4"/>
  <c r="J66" i="4"/>
  <c r="J67" i="4"/>
  <c r="J68" i="4"/>
  <c r="J69" i="4"/>
  <c r="J70" i="4"/>
  <c r="J71" i="4"/>
  <c r="J72" i="4"/>
  <c r="J73" i="4"/>
  <c r="J74" i="4"/>
  <c r="J75" i="4"/>
  <c r="J76" i="4"/>
  <c r="J77" i="4"/>
  <c r="J78" i="4"/>
  <c r="J79" i="4"/>
  <c r="J80" i="4"/>
  <c r="J81" i="4"/>
  <c r="J82" i="4"/>
  <c r="J83" i="4"/>
  <c r="J84" i="4"/>
  <c r="J85" i="4"/>
  <c r="J86" i="4"/>
  <c r="J87" i="4"/>
  <c r="J88" i="4"/>
  <c r="J89" i="4"/>
  <c r="J90" i="4"/>
  <c r="J91" i="4"/>
  <c r="J92" i="4"/>
  <c r="J93" i="4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J156" i="4"/>
  <c r="J157" i="4"/>
  <c r="J158" i="4"/>
  <c r="J159" i="4"/>
  <c r="J160" i="4"/>
  <c r="J161" i="4"/>
  <c r="J162" i="4"/>
  <c r="J163" i="4"/>
  <c r="J164" i="4"/>
  <c r="J165" i="4"/>
  <c r="J166" i="4"/>
  <c r="J167" i="4"/>
  <c r="J168" i="4"/>
  <c r="J169" i="4"/>
  <c r="J170" i="4"/>
  <c r="J171" i="4"/>
  <c r="J172" i="4"/>
  <c r="J173" i="4"/>
  <c r="J174" i="4"/>
  <c r="J175" i="4"/>
  <c r="J176" i="4"/>
  <c r="J177" i="4"/>
  <c r="J178" i="4"/>
  <c r="J179" i="4"/>
  <c r="J180" i="4"/>
  <c r="J181" i="4"/>
  <c r="J182" i="4"/>
  <c r="J183" i="4"/>
  <c r="J184" i="4"/>
  <c r="J185" i="4"/>
  <c r="J186" i="4"/>
  <c r="J187" i="4"/>
  <c r="J188" i="4"/>
  <c r="J189" i="4"/>
  <c r="J190" i="4"/>
  <c r="J191" i="4"/>
  <c r="J192" i="4"/>
  <c r="J193" i="4"/>
  <c r="J194" i="4"/>
  <c r="J195" i="4"/>
  <c r="J196" i="4"/>
  <c r="J197" i="4"/>
  <c r="J198" i="4"/>
  <c r="J199" i="4"/>
  <c r="J200" i="4"/>
  <c r="J201" i="4"/>
  <c r="J202" i="4"/>
  <c r="J203" i="4"/>
  <c r="J204" i="4"/>
  <c r="J205" i="4"/>
  <c r="J206" i="4"/>
  <c r="J207" i="4"/>
  <c r="J208" i="4"/>
  <c r="J209" i="4"/>
  <c r="J210" i="4"/>
  <c r="J211" i="4"/>
  <c r="J212" i="4"/>
  <c r="J213" i="4"/>
  <c r="J214" i="4"/>
  <c r="J215" i="4"/>
  <c r="J216" i="4"/>
  <c r="J217" i="4"/>
  <c r="J218" i="4"/>
  <c r="J219" i="4"/>
  <c r="J220" i="4"/>
  <c r="J221" i="4"/>
  <c r="J222" i="4"/>
  <c r="J223" i="4"/>
  <c r="J224" i="4"/>
  <c r="J225" i="4"/>
  <c r="J226" i="4"/>
  <c r="J227" i="4"/>
  <c r="J228" i="4"/>
  <c r="J229" i="4"/>
  <c r="J230" i="4"/>
  <c r="J231" i="4"/>
  <c r="J232" i="4"/>
  <c r="J233" i="4"/>
  <c r="J234" i="4"/>
  <c r="J235" i="4"/>
  <c r="J236" i="4"/>
  <c r="J237" i="4"/>
  <c r="J238" i="4"/>
  <c r="J239" i="4"/>
  <c r="J240" i="4"/>
  <c r="J241" i="4"/>
  <c r="J242" i="4"/>
  <c r="J243" i="4"/>
  <c r="J244" i="4"/>
  <c r="J245" i="4"/>
  <c r="J246" i="4"/>
  <c r="J247" i="4"/>
  <c r="J248" i="4"/>
  <c r="J249" i="4"/>
  <c r="J250" i="4"/>
  <c r="J251" i="4"/>
  <c r="J252" i="4"/>
  <c r="J253" i="4"/>
  <c r="J254" i="4"/>
  <c r="J255" i="4"/>
  <c r="J256" i="4"/>
  <c r="J257" i="4"/>
  <c r="J258" i="4"/>
  <c r="J259" i="4"/>
  <c r="J260" i="4"/>
  <c r="J261" i="4"/>
  <c r="J262" i="4"/>
  <c r="J263" i="4"/>
  <c r="J264" i="4"/>
  <c r="J265" i="4"/>
  <c r="J266" i="4"/>
  <c r="J267" i="4"/>
  <c r="J268" i="4"/>
  <c r="J269" i="4"/>
  <c r="J270" i="4"/>
  <c r="J271" i="4"/>
  <c r="J272" i="4"/>
  <c r="J273" i="4"/>
  <c r="J274" i="4"/>
  <c r="J275" i="4"/>
  <c r="J276" i="4"/>
  <c r="J277" i="4"/>
  <c r="J278" i="4"/>
  <c r="J279" i="4"/>
  <c r="J280" i="4"/>
  <c r="J281" i="4"/>
  <c r="J282" i="4"/>
  <c r="J283" i="4"/>
  <c r="J284" i="4"/>
  <c r="J285" i="4"/>
  <c r="J286" i="4"/>
  <c r="J287" i="4"/>
  <c r="J288" i="4"/>
  <c r="J289" i="4"/>
  <c r="J290" i="4"/>
  <c r="J291" i="4"/>
  <c r="J292" i="4"/>
  <c r="J293" i="4"/>
  <c r="J294" i="4"/>
  <c r="J295" i="4"/>
  <c r="J296" i="4"/>
  <c r="J297" i="4"/>
  <c r="J298" i="4"/>
  <c r="J299" i="4"/>
  <c r="J300" i="4"/>
  <c r="J301" i="4"/>
  <c r="J302" i="4"/>
  <c r="J303" i="4"/>
  <c r="J304" i="4"/>
  <c r="J305" i="4"/>
  <c r="J306" i="4"/>
  <c r="J307" i="4"/>
  <c r="J308" i="4"/>
  <c r="J309" i="4"/>
  <c r="J310" i="4"/>
  <c r="J311" i="4"/>
  <c r="J312" i="4"/>
  <c r="J313" i="4"/>
  <c r="J314" i="4"/>
  <c r="J315" i="4"/>
  <c r="J316" i="4"/>
  <c r="J317" i="4"/>
  <c r="J318" i="4"/>
  <c r="J319" i="4"/>
  <c r="J320" i="4"/>
  <c r="J321" i="4"/>
  <c r="J322" i="4"/>
  <c r="J323" i="4"/>
  <c r="J324" i="4"/>
  <c r="J325" i="4"/>
  <c r="J326" i="4"/>
  <c r="J327" i="4"/>
  <c r="J328" i="4"/>
  <c r="J329" i="4"/>
  <c r="J330" i="4"/>
  <c r="J331" i="4"/>
  <c r="J332" i="4"/>
  <c r="J333" i="4"/>
  <c r="J334" i="4"/>
  <c r="J335" i="4"/>
  <c r="J336" i="4"/>
  <c r="J337" i="4"/>
  <c r="J338" i="4"/>
  <c r="J339" i="4"/>
  <c r="J340" i="4"/>
  <c r="J341" i="4"/>
  <c r="J342" i="4"/>
  <c r="J343" i="4"/>
  <c r="J344" i="4"/>
  <c r="J345" i="4"/>
  <c r="J346" i="4"/>
  <c r="J347" i="4"/>
  <c r="J348" i="4"/>
  <c r="J349" i="4"/>
  <c r="J350" i="4"/>
  <c r="J351" i="4"/>
  <c r="J352" i="4"/>
  <c r="J353" i="4"/>
  <c r="J354" i="4"/>
  <c r="J355" i="4"/>
  <c r="J356" i="4"/>
  <c r="J357" i="4"/>
  <c r="J358" i="4"/>
  <c r="J359" i="4"/>
  <c r="J360" i="4"/>
  <c r="J361" i="4"/>
  <c r="J362" i="4"/>
  <c r="J363" i="4"/>
  <c r="J364" i="4"/>
  <c r="J365" i="4"/>
  <c r="J366" i="4"/>
  <c r="J367" i="4"/>
  <c r="J368" i="4"/>
  <c r="J369" i="4"/>
  <c r="J370" i="4"/>
  <c r="J371" i="4"/>
  <c r="J372" i="4"/>
  <c r="J373" i="4"/>
  <c r="J374" i="4"/>
  <c r="J375" i="4"/>
  <c r="J376" i="4"/>
  <c r="J377" i="4"/>
  <c r="J378" i="4"/>
  <c r="J379" i="4"/>
  <c r="J380" i="4"/>
  <c r="J381" i="4"/>
  <c r="J382" i="4"/>
  <c r="J383" i="4"/>
  <c r="J384" i="4"/>
  <c r="J385" i="4"/>
  <c r="J386" i="4"/>
  <c r="J387" i="4"/>
  <c r="J388" i="4"/>
  <c r="J389" i="4"/>
  <c r="J390" i="4"/>
  <c r="J391" i="4"/>
  <c r="J392" i="4"/>
  <c r="J393" i="4"/>
  <c r="J394" i="4"/>
  <c r="J395" i="4"/>
  <c r="J396" i="4"/>
  <c r="J397" i="4"/>
  <c r="J398" i="4"/>
  <c r="J399" i="4"/>
  <c r="J400" i="4"/>
  <c r="J401" i="4"/>
  <c r="J402" i="4"/>
  <c r="J403" i="4"/>
  <c r="J404" i="4"/>
  <c r="J405" i="4"/>
  <c r="J406" i="4"/>
  <c r="J407" i="4"/>
  <c r="J408" i="4"/>
  <c r="J409" i="4"/>
  <c r="J410" i="4"/>
  <c r="J411" i="4"/>
  <c r="J412" i="4"/>
  <c r="J413" i="4"/>
  <c r="J414" i="4"/>
  <c r="J415" i="4"/>
  <c r="J416" i="4"/>
  <c r="J417" i="4"/>
  <c r="J418" i="4"/>
  <c r="J419" i="4"/>
  <c r="J420" i="4"/>
  <c r="J421" i="4"/>
  <c r="J422" i="4"/>
  <c r="J423" i="4"/>
  <c r="J424" i="4"/>
  <c r="J425" i="4"/>
  <c r="J426" i="4"/>
  <c r="J427" i="4"/>
  <c r="J428" i="4"/>
  <c r="J429" i="4"/>
  <c r="J430" i="4"/>
  <c r="J431" i="4"/>
  <c r="J432" i="4"/>
  <c r="J433" i="4"/>
  <c r="J434" i="4"/>
  <c r="J435" i="4"/>
  <c r="J436" i="4"/>
  <c r="J437" i="4"/>
  <c r="J438" i="4"/>
  <c r="J439" i="4"/>
  <c r="J440" i="4"/>
  <c r="J441" i="4"/>
  <c r="J442" i="4"/>
  <c r="J443" i="4"/>
  <c r="J444" i="4"/>
  <c r="J445" i="4"/>
  <c r="J446" i="4"/>
  <c r="J447" i="4"/>
  <c r="J448" i="4"/>
  <c r="J449" i="4"/>
  <c r="J450" i="4"/>
  <c r="J451" i="4"/>
  <c r="J452" i="4"/>
  <c r="J453" i="4"/>
  <c r="J454" i="4"/>
  <c r="J455" i="4"/>
  <c r="J456" i="4"/>
  <c r="J457" i="4"/>
  <c r="J458" i="4"/>
  <c r="J459" i="4"/>
  <c r="J460" i="4"/>
  <c r="J461" i="4"/>
  <c r="J462" i="4"/>
  <c r="J463" i="4"/>
  <c r="J464" i="4"/>
  <c r="J465" i="4"/>
  <c r="J466" i="4"/>
  <c r="J467" i="4"/>
  <c r="J468" i="4"/>
  <c r="J469" i="4"/>
  <c r="J470" i="4"/>
  <c r="J471" i="4"/>
  <c r="J472" i="4"/>
  <c r="J473" i="4"/>
  <c r="J474" i="4"/>
  <c r="J475" i="4"/>
  <c r="J476" i="4"/>
  <c r="J477" i="4"/>
  <c r="J478" i="4"/>
  <c r="J479" i="4"/>
  <c r="J480" i="4"/>
  <c r="J481" i="4"/>
  <c r="J482" i="4"/>
  <c r="J483" i="4"/>
  <c r="J484" i="4"/>
  <c r="J485" i="4"/>
  <c r="J486" i="4"/>
  <c r="J487" i="4"/>
  <c r="J488" i="4"/>
  <c r="J489" i="4"/>
  <c r="J490" i="4"/>
  <c r="J491" i="4"/>
  <c r="J492" i="4"/>
  <c r="J493" i="4"/>
  <c r="J494" i="4"/>
  <c r="J495" i="4"/>
  <c r="J496" i="4"/>
  <c r="J2" i="4"/>
  <c r="U3" i="1"/>
  <c r="V3" i="1"/>
  <c r="W3" i="1"/>
  <c r="X3" i="1"/>
  <c r="Y3" i="1"/>
  <c r="Z3" i="1"/>
  <c r="AA3" i="1"/>
  <c r="AB3" i="1"/>
  <c r="U4" i="1"/>
  <c r="V4" i="1"/>
  <c r="W4" i="1"/>
  <c r="X4" i="1"/>
  <c r="Y4" i="1"/>
  <c r="Z4" i="1"/>
  <c r="AA4" i="1"/>
  <c r="AB4" i="1"/>
  <c r="U5" i="1"/>
  <c r="V5" i="1"/>
  <c r="W5" i="1"/>
  <c r="X5" i="1"/>
  <c r="Y5" i="1"/>
  <c r="Z5" i="1"/>
  <c r="AA5" i="1"/>
  <c r="AB5" i="1"/>
  <c r="U6" i="1"/>
  <c r="V6" i="1"/>
  <c r="W6" i="1"/>
  <c r="X6" i="1"/>
  <c r="Y6" i="1"/>
  <c r="Z6" i="1"/>
  <c r="AA6" i="1"/>
  <c r="AB6" i="1"/>
  <c r="U7" i="1"/>
  <c r="V7" i="1"/>
  <c r="W7" i="1"/>
  <c r="X7" i="1"/>
  <c r="Y7" i="1"/>
  <c r="Z7" i="1"/>
  <c r="AA7" i="1"/>
  <c r="AB7" i="1"/>
  <c r="U8" i="1"/>
  <c r="V8" i="1"/>
  <c r="W8" i="1"/>
  <c r="X8" i="1"/>
  <c r="Y8" i="1"/>
  <c r="Z8" i="1"/>
  <c r="AA8" i="1"/>
  <c r="AB8" i="1"/>
  <c r="U9" i="1"/>
  <c r="V9" i="1"/>
  <c r="W9" i="1"/>
  <c r="X9" i="1"/>
  <c r="Y9" i="1"/>
  <c r="Z9" i="1"/>
  <c r="AA9" i="1"/>
  <c r="AB9" i="1"/>
  <c r="U10" i="1"/>
  <c r="V10" i="1"/>
  <c r="W10" i="1"/>
  <c r="X10" i="1"/>
  <c r="Y10" i="1"/>
  <c r="Z10" i="1"/>
  <c r="AA10" i="1"/>
  <c r="AB10" i="1"/>
  <c r="U11" i="1"/>
  <c r="V11" i="1"/>
  <c r="W11" i="1"/>
  <c r="X11" i="1"/>
  <c r="Y11" i="1"/>
  <c r="Z11" i="1"/>
  <c r="AA11" i="1"/>
  <c r="AB11" i="1"/>
  <c r="U12" i="1"/>
  <c r="V12" i="1"/>
  <c r="W12" i="1"/>
  <c r="X12" i="1"/>
  <c r="Y12" i="1"/>
  <c r="Z12" i="1"/>
  <c r="AA12" i="1"/>
  <c r="AB12" i="1"/>
  <c r="U13" i="1"/>
  <c r="V13" i="1"/>
  <c r="W13" i="1"/>
  <c r="X13" i="1"/>
  <c r="Y13" i="1"/>
  <c r="Z13" i="1"/>
  <c r="AA13" i="1"/>
  <c r="AB13" i="1"/>
  <c r="U14" i="1"/>
  <c r="V14" i="1"/>
  <c r="W14" i="1"/>
  <c r="X14" i="1"/>
  <c r="Y14" i="1"/>
  <c r="Z14" i="1"/>
  <c r="AA14" i="1"/>
  <c r="AB14" i="1"/>
  <c r="U15" i="1"/>
  <c r="V15" i="1"/>
  <c r="W15" i="1"/>
  <c r="X15" i="1"/>
  <c r="Y15" i="1"/>
  <c r="Z15" i="1"/>
  <c r="AA15" i="1"/>
  <c r="AB15" i="1"/>
  <c r="U16" i="1"/>
  <c r="V16" i="1"/>
  <c r="W16" i="1"/>
  <c r="X16" i="1"/>
  <c r="Y16" i="1"/>
  <c r="Z16" i="1"/>
  <c r="AA16" i="1"/>
  <c r="AB16" i="1"/>
  <c r="U17" i="1"/>
  <c r="V17" i="1"/>
  <c r="W17" i="1"/>
  <c r="X17" i="1"/>
  <c r="Y17" i="1"/>
  <c r="Z17" i="1"/>
  <c r="AA17" i="1"/>
  <c r="AB17" i="1"/>
  <c r="U18" i="1"/>
  <c r="V18" i="1"/>
  <c r="W18" i="1"/>
  <c r="X18" i="1"/>
  <c r="Y18" i="1"/>
  <c r="Z18" i="1"/>
  <c r="AA18" i="1"/>
  <c r="AB18" i="1"/>
  <c r="U19" i="1"/>
  <c r="V19" i="1"/>
  <c r="W19" i="1"/>
  <c r="X19" i="1"/>
  <c r="Y19" i="1"/>
  <c r="Z19" i="1"/>
  <c r="AA19" i="1"/>
  <c r="AB19" i="1"/>
  <c r="U20" i="1"/>
  <c r="V20" i="1"/>
  <c r="W20" i="1"/>
  <c r="X20" i="1"/>
  <c r="Y20" i="1"/>
  <c r="Z20" i="1"/>
  <c r="AA20" i="1"/>
  <c r="AB20" i="1"/>
  <c r="U21" i="1"/>
  <c r="V21" i="1"/>
  <c r="W21" i="1"/>
  <c r="X21" i="1"/>
  <c r="Y21" i="1"/>
  <c r="Z21" i="1"/>
  <c r="AA21" i="1"/>
  <c r="AB21" i="1"/>
  <c r="U22" i="1"/>
  <c r="V22" i="1"/>
  <c r="W22" i="1"/>
  <c r="X22" i="1"/>
  <c r="Y22" i="1"/>
  <c r="Z22" i="1"/>
  <c r="AA22" i="1"/>
  <c r="AB22" i="1"/>
  <c r="U23" i="1"/>
  <c r="V23" i="1"/>
  <c r="W23" i="1"/>
  <c r="X23" i="1"/>
  <c r="Y23" i="1"/>
  <c r="Z23" i="1"/>
  <c r="AA23" i="1"/>
  <c r="AB23" i="1"/>
  <c r="U24" i="1"/>
  <c r="V24" i="1"/>
  <c r="W24" i="1"/>
  <c r="X24" i="1"/>
  <c r="Y24" i="1"/>
  <c r="Z24" i="1"/>
  <c r="AA24" i="1"/>
  <c r="AB24" i="1"/>
  <c r="U25" i="1"/>
  <c r="V25" i="1"/>
  <c r="W25" i="1"/>
  <c r="X25" i="1"/>
  <c r="Y25" i="1"/>
  <c r="Z25" i="1"/>
  <c r="AA25" i="1"/>
  <c r="AB25" i="1"/>
  <c r="U26" i="1"/>
  <c r="V26" i="1"/>
  <c r="W26" i="1"/>
  <c r="X26" i="1"/>
  <c r="Y26" i="1"/>
  <c r="Z26" i="1"/>
  <c r="AA26" i="1"/>
  <c r="AB26" i="1"/>
  <c r="U27" i="1"/>
  <c r="V27" i="1"/>
  <c r="W27" i="1"/>
  <c r="X27" i="1"/>
  <c r="Y27" i="1"/>
  <c r="Z27" i="1"/>
  <c r="AA27" i="1"/>
  <c r="AB27" i="1"/>
  <c r="U28" i="1"/>
  <c r="V28" i="1"/>
  <c r="W28" i="1"/>
  <c r="X28" i="1"/>
  <c r="Y28" i="1"/>
  <c r="Z28" i="1"/>
  <c r="AA28" i="1"/>
  <c r="AB28" i="1"/>
  <c r="U29" i="1"/>
  <c r="V29" i="1"/>
  <c r="W29" i="1"/>
  <c r="X29" i="1"/>
  <c r="Y29" i="1"/>
  <c r="Z29" i="1"/>
  <c r="AA29" i="1"/>
  <c r="AB29" i="1"/>
  <c r="U30" i="1"/>
  <c r="V30" i="1"/>
  <c r="W30" i="1"/>
  <c r="X30" i="1"/>
  <c r="Y30" i="1"/>
  <c r="Z30" i="1"/>
  <c r="AA30" i="1"/>
  <c r="AB30" i="1"/>
  <c r="U31" i="1"/>
  <c r="V31" i="1"/>
  <c r="W31" i="1"/>
  <c r="X31" i="1"/>
  <c r="Y31" i="1"/>
  <c r="Z31" i="1"/>
  <c r="AA31" i="1"/>
  <c r="AB31" i="1"/>
  <c r="U32" i="1"/>
  <c r="V32" i="1"/>
  <c r="W32" i="1"/>
  <c r="X32" i="1"/>
  <c r="Y32" i="1"/>
  <c r="Z32" i="1"/>
  <c r="AA32" i="1"/>
  <c r="AB32" i="1"/>
  <c r="U33" i="1"/>
  <c r="V33" i="1"/>
  <c r="W33" i="1"/>
  <c r="X33" i="1"/>
  <c r="Y33" i="1"/>
  <c r="Z33" i="1"/>
  <c r="AA33" i="1"/>
  <c r="AB33" i="1"/>
  <c r="U34" i="1"/>
  <c r="V34" i="1"/>
  <c r="W34" i="1"/>
  <c r="X34" i="1"/>
  <c r="Y34" i="1"/>
  <c r="Z34" i="1"/>
  <c r="AA34" i="1"/>
  <c r="AB34" i="1"/>
  <c r="U35" i="1"/>
  <c r="V35" i="1"/>
  <c r="W35" i="1"/>
  <c r="X35" i="1"/>
  <c r="Y35" i="1"/>
  <c r="Z35" i="1"/>
  <c r="AA35" i="1"/>
  <c r="AB35" i="1"/>
  <c r="U36" i="1"/>
  <c r="V36" i="1"/>
  <c r="W36" i="1"/>
  <c r="X36" i="1"/>
  <c r="Y36" i="1"/>
  <c r="Z36" i="1"/>
  <c r="AA36" i="1"/>
  <c r="AB36" i="1"/>
  <c r="U37" i="1"/>
  <c r="V37" i="1"/>
  <c r="W37" i="1"/>
  <c r="X37" i="1"/>
  <c r="Y37" i="1"/>
  <c r="Z37" i="1"/>
  <c r="AA37" i="1"/>
  <c r="AB37" i="1"/>
  <c r="U38" i="1"/>
  <c r="V38" i="1"/>
  <c r="W38" i="1"/>
  <c r="X38" i="1"/>
  <c r="Y38" i="1"/>
  <c r="Z38" i="1"/>
  <c r="AA38" i="1"/>
  <c r="AB38" i="1"/>
  <c r="U39" i="1"/>
  <c r="V39" i="1"/>
  <c r="W39" i="1"/>
  <c r="X39" i="1"/>
  <c r="Y39" i="1"/>
  <c r="Z39" i="1"/>
  <c r="AA39" i="1"/>
  <c r="AB39" i="1"/>
  <c r="U40" i="1"/>
  <c r="V40" i="1"/>
  <c r="W40" i="1"/>
  <c r="X40" i="1"/>
  <c r="Y40" i="1"/>
  <c r="Z40" i="1"/>
  <c r="AA40" i="1"/>
  <c r="AB40" i="1"/>
  <c r="U41" i="1"/>
  <c r="V41" i="1"/>
  <c r="W41" i="1"/>
  <c r="X41" i="1"/>
  <c r="Y41" i="1"/>
  <c r="Z41" i="1"/>
  <c r="AA41" i="1"/>
  <c r="AB41" i="1"/>
  <c r="U42" i="1"/>
  <c r="V42" i="1"/>
  <c r="W42" i="1"/>
  <c r="X42" i="1"/>
  <c r="Y42" i="1"/>
  <c r="Z42" i="1"/>
  <c r="AA42" i="1"/>
  <c r="AB42" i="1"/>
  <c r="U43" i="1"/>
  <c r="V43" i="1"/>
  <c r="W43" i="1"/>
  <c r="X43" i="1"/>
  <c r="Y43" i="1"/>
  <c r="Z43" i="1"/>
  <c r="AA43" i="1"/>
  <c r="AB43" i="1"/>
  <c r="U44" i="1"/>
  <c r="V44" i="1"/>
  <c r="W44" i="1"/>
  <c r="X44" i="1"/>
  <c r="Y44" i="1"/>
  <c r="Z44" i="1"/>
  <c r="AA44" i="1"/>
  <c r="AB44" i="1"/>
  <c r="U45" i="1"/>
  <c r="V45" i="1"/>
  <c r="W45" i="1"/>
  <c r="X45" i="1"/>
  <c r="Y45" i="1"/>
  <c r="Z45" i="1"/>
  <c r="AA45" i="1"/>
  <c r="AB45" i="1"/>
  <c r="U46" i="1"/>
  <c r="V46" i="1"/>
  <c r="W46" i="1"/>
  <c r="X46" i="1"/>
  <c r="Y46" i="1"/>
  <c r="Z46" i="1"/>
  <c r="AA46" i="1"/>
  <c r="AB46" i="1"/>
  <c r="U47" i="1"/>
  <c r="V47" i="1"/>
  <c r="W47" i="1"/>
  <c r="X47" i="1"/>
  <c r="Y47" i="1"/>
  <c r="Z47" i="1"/>
  <c r="AA47" i="1"/>
  <c r="AB47" i="1"/>
  <c r="U48" i="1"/>
  <c r="V48" i="1"/>
  <c r="W48" i="1"/>
  <c r="X48" i="1"/>
  <c r="Y48" i="1"/>
  <c r="Z48" i="1"/>
  <c r="AA48" i="1"/>
  <c r="AB48" i="1"/>
  <c r="U49" i="1"/>
  <c r="V49" i="1"/>
  <c r="W49" i="1"/>
  <c r="X49" i="1"/>
  <c r="Y49" i="1"/>
  <c r="Z49" i="1"/>
  <c r="AA49" i="1"/>
  <c r="AB49" i="1"/>
  <c r="U50" i="1"/>
  <c r="V50" i="1"/>
  <c r="W50" i="1"/>
  <c r="X50" i="1"/>
  <c r="Y50" i="1"/>
  <c r="Z50" i="1"/>
  <c r="AA50" i="1"/>
  <c r="AB50" i="1"/>
  <c r="U51" i="1"/>
  <c r="V51" i="1"/>
  <c r="W51" i="1"/>
  <c r="X51" i="1"/>
  <c r="Y51" i="1"/>
  <c r="Z51" i="1"/>
  <c r="AA51" i="1"/>
  <c r="AB51" i="1"/>
  <c r="U52" i="1"/>
  <c r="V52" i="1"/>
  <c r="W52" i="1"/>
  <c r="X52" i="1"/>
  <c r="Y52" i="1"/>
  <c r="Z52" i="1"/>
  <c r="AA52" i="1"/>
  <c r="AB52" i="1"/>
  <c r="U53" i="1"/>
  <c r="V53" i="1"/>
  <c r="W53" i="1"/>
  <c r="X53" i="1"/>
  <c r="Y53" i="1"/>
  <c r="Z53" i="1"/>
  <c r="AA53" i="1"/>
  <c r="AB53" i="1"/>
  <c r="U54" i="1"/>
  <c r="V54" i="1"/>
  <c r="W54" i="1"/>
  <c r="X54" i="1"/>
  <c r="Y54" i="1"/>
  <c r="Z54" i="1"/>
  <c r="AA54" i="1"/>
  <c r="AB54" i="1"/>
  <c r="U55" i="1"/>
  <c r="V55" i="1"/>
  <c r="W55" i="1"/>
  <c r="X55" i="1"/>
  <c r="Y55" i="1"/>
  <c r="Z55" i="1"/>
  <c r="AA55" i="1"/>
  <c r="AB55" i="1"/>
  <c r="U56" i="1"/>
  <c r="V56" i="1"/>
  <c r="W56" i="1"/>
  <c r="X56" i="1"/>
  <c r="Y56" i="1"/>
  <c r="Z56" i="1"/>
  <c r="AA56" i="1"/>
  <c r="AB56" i="1"/>
  <c r="U57" i="1"/>
  <c r="V57" i="1"/>
  <c r="W57" i="1"/>
  <c r="X57" i="1"/>
  <c r="Y57" i="1"/>
  <c r="Z57" i="1"/>
  <c r="AA57" i="1"/>
  <c r="AB57" i="1"/>
  <c r="U58" i="1"/>
  <c r="V58" i="1"/>
  <c r="W58" i="1"/>
  <c r="X58" i="1"/>
  <c r="Y58" i="1"/>
  <c r="Z58" i="1"/>
  <c r="AA58" i="1"/>
  <c r="AB58" i="1"/>
  <c r="U59" i="1"/>
  <c r="V59" i="1"/>
  <c r="W59" i="1"/>
  <c r="X59" i="1"/>
  <c r="Y59" i="1"/>
  <c r="Z59" i="1"/>
  <c r="AA59" i="1"/>
  <c r="AB59" i="1"/>
  <c r="U60" i="1"/>
  <c r="V60" i="1"/>
  <c r="W60" i="1"/>
  <c r="X60" i="1"/>
  <c r="Y60" i="1"/>
  <c r="Z60" i="1"/>
  <c r="AA60" i="1"/>
  <c r="AB60" i="1"/>
  <c r="U61" i="1"/>
  <c r="V61" i="1"/>
  <c r="W61" i="1"/>
  <c r="X61" i="1"/>
  <c r="Y61" i="1"/>
  <c r="Z61" i="1"/>
  <c r="AA61" i="1"/>
  <c r="AB61" i="1"/>
  <c r="U62" i="1"/>
  <c r="V62" i="1"/>
  <c r="W62" i="1"/>
  <c r="X62" i="1"/>
  <c r="Y62" i="1"/>
  <c r="Z62" i="1"/>
  <c r="AA62" i="1"/>
  <c r="AB62" i="1"/>
  <c r="U63" i="1"/>
  <c r="V63" i="1"/>
  <c r="W63" i="1"/>
  <c r="X63" i="1"/>
  <c r="Y63" i="1"/>
  <c r="Z63" i="1"/>
  <c r="AA63" i="1"/>
  <c r="AB63" i="1"/>
  <c r="U64" i="1"/>
  <c r="V64" i="1"/>
  <c r="W64" i="1"/>
  <c r="X64" i="1"/>
  <c r="Y64" i="1"/>
  <c r="Z64" i="1"/>
  <c r="AA64" i="1"/>
  <c r="AB64" i="1"/>
  <c r="U65" i="1"/>
  <c r="V65" i="1"/>
  <c r="W65" i="1"/>
  <c r="X65" i="1"/>
  <c r="Y65" i="1"/>
  <c r="Z65" i="1"/>
  <c r="AA65" i="1"/>
  <c r="AB65" i="1"/>
  <c r="U66" i="1"/>
  <c r="V66" i="1"/>
  <c r="W66" i="1"/>
  <c r="X66" i="1"/>
  <c r="Y66" i="1"/>
  <c r="Z66" i="1"/>
  <c r="AA66" i="1"/>
  <c r="AB66" i="1"/>
  <c r="U67" i="1"/>
  <c r="V67" i="1"/>
  <c r="W67" i="1"/>
  <c r="X67" i="1"/>
  <c r="Y67" i="1"/>
  <c r="Z67" i="1"/>
  <c r="AA67" i="1"/>
  <c r="AB67" i="1"/>
  <c r="U68" i="1"/>
  <c r="V68" i="1"/>
  <c r="W68" i="1"/>
  <c r="X68" i="1"/>
  <c r="Y68" i="1"/>
  <c r="Z68" i="1"/>
  <c r="AA68" i="1"/>
  <c r="AB68" i="1"/>
  <c r="U69" i="1"/>
  <c r="V69" i="1"/>
  <c r="W69" i="1"/>
  <c r="X69" i="1"/>
  <c r="Y69" i="1"/>
  <c r="Z69" i="1"/>
  <c r="AA69" i="1"/>
  <c r="AB69" i="1"/>
  <c r="U70" i="1"/>
  <c r="V70" i="1"/>
  <c r="W70" i="1"/>
  <c r="X70" i="1"/>
  <c r="Y70" i="1"/>
  <c r="Z70" i="1"/>
  <c r="AA70" i="1"/>
  <c r="AB70" i="1"/>
  <c r="U71" i="1"/>
  <c r="V71" i="1"/>
  <c r="W71" i="1"/>
  <c r="X71" i="1"/>
  <c r="Y71" i="1"/>
  <c r="Z71" i="1"/>
  <c r="AA71" i="1"/>
  <c r="AB71" i="1"/>
  <c r="U72" i="1"/>
  <c r="V72" i="1"/>
  <c r="W72" i="1"/>
  <c r="X72" i="1"/>
  <c r="Y72" i="1"/>
  <c r="Z72" i="1"/>
  <c r="AA72" i="1"/>
  <c r="AB72" i="1"/>
  <c r="U73" i="1"/>
  <c r="V73" i="1"/>
  <c r="W73" i="1"/>
  <c r="X73" i="1"/>
  <c r="Y73" i="1"/>
  <c r="Z73" i="1"/>
  <c r="AA73" i="1"/>
  <c r="AB73" i="1"/>
  <c r="U74" i="1"/>
  <c r="V74" i="1"/>
  <c r="W74" i="1"/>
  <c r="X74" i="1"/>
  <c r="Y74" i="1"/>
  <c r="Z74" i="1"/>
  <c r="AA74" i="1"/>
  <c r="AB74" i="1"/>
  <c r="U75" i="1"/>
  <c r="V75" i="1"/>
  <c r="W75" i="1"/>
  <c r="X75" i="1"/>
  <c r="Y75" i="1"/>
  <c r="Z75" i="1"/>
  <c r="AA75" i="1"/>
  <c r="AB75" i="1"/>
  <c r="U76" i="1"/>
  <c r="V76" i="1"/>
  <c r="W76" i="1"/>
  <c r="X76" i="1"/>
  <c r="Y76" i="1"/>
  <c r="Z76" i="1"/>
  <c r="AA76" i="1"/>
  <c r="AB76" i="1"/>
  <c r="U77" i="1"/>
  <c r="V77" i="1"/>
  <c r="W77" i="1"/>
  <c r="X77" i="1"/>
  <c r="Y77" i="1"/>
  <c r="Z77" i="1"/>
  <c r="AA77" i="1"/>
  <c r="AB77" i="1"/>
  <c r="U78" i="1"/>
  <c r="V78" i="1"/>
  <c r="W78" i="1"/>
  <c r="X78" i="1"/>
  <c r="Y78" i="1"/>
  <c r="Z78" i="1"/>
  <c r="AA78" i="1"/>
  <c r="AB78" i="1"/>
  <c r="U79" i="1"/>
  <c r="V79" i="1"/>
  <c r="W79" i="1"/>
  <c r="X79" i="1"/>
  <c r="Y79" i="1"/>
  <c r="Z79" i="1"/>
  <c r="AA79" i="1"/>
  <c r="AB79" i="1"/>
  <c r="U80" i="1"/>
  <c r="V80" i="1"/>
  <c r="W80" i="1"/>
  <c r="X80" i="1"/>
  <c r="Y80" i="1"/>
  <c r="Z80" i="1"/>
  <c r="AA80" i="1"/>
  <c r="AB80" i="1"/>
  <c r="U81" i="1"/>
  <c r="V81" i="1"/>
  <c r="W81" i="1"/>
  <c r="X81" i="1"/>
  <c r="Y81" i="1"/>
  <c r="Z81" i="1"/>
  <c r="AA81" i="1"/>
  <c r="AB81" i="1"/>
  <c r="U82" i="1"/>
  <c r="V82" i="1"/>
  <c r="W82" i="1"/>
  <c r="X82" i="1"/>
  <c r="Y82" i="1"/>
  <c r="Z82" i="1"/>
  <c r="AA82" i="1"/>
  <c r="AB82" i="1"/>
  <c r="U83" i="1"/>
  <c r="V83" i="1"/>
  <c r="W83" i="1"/>
  <c r="X83" i="1"/>
  <c r="Y83" i="1"/>
  <c r="Z83" i="1"/>
  <c r="AA83" i="1"/>
  <c r="AB83" i="1"/>
  <c r="U84" i="1"/>
  <c r="V84" i="1"/>
  <c r="W84" i="1"/>
  <c r="X84" i="1"/>
  <c r="Y84" i="1"/>
  <c r="Z84" i="1"/>
  <c r="AA84" i="1"/>
  <c r="AB84" i="1"/>
  <c r="U85" i="1"/>
  <c r="V85" i="1"/>
  <c r="W85" i="1"/>
  <c r="X85" i="1"/>
  <c r="Y85" i="1"/>
  <c r="Z85" i="1"/>
  <c r="AA85" i="1"/>
  <c r="AB85" i="1"/>
  <c r="U86" i="1"/>
  <c r="V86" i="1"/>
  <c r="W86" i="1"/>
  <c r="X86" i="1"/>
  <c r="Y86" i="1"/>
  <c r="Z86" i="1"/>
  <c r="AA86" i="1"/>
  <c r="AB86" i="1"/>
  <c r="U87" i="1"/>
  <c r="V87" i="1"/>
  <c r="W87" i="1"/>
  <c r="X87" i="1"/>
  <c r="Y87" i="1"/>
  <c r="Z87" i="1"/>
  <c r="AA87" i="1"/>
  <c r="AB87" i="1"/>
  <c r="U88" i="1"/>
  <c r="V88" i="1"/>
  <c r="W88" i="1"/>
  <c r="X88" i="1"/>
  <c r="Y88" i="1"/>
  <c r="Z88" i="1"/>
  <c r="AA88" i="1"/>
  <c r="AB88" i="1"/>
  <c r="U89" i="1"/>
  <c r="V89" i="1"/>
  <c r="W89" i="1"/>
  <c r="X89" i="1"/>
  <c r="Y89" i="1"/>
  <c r="Z89" i="1"/>
  <c r="AA89" i="1"/>
  <c r="AB89" i="1"/>
  <c r="U90" i="1"/>
  <c r="V90" i="1"/>
  <c r="W90" i="1"/>
  <c r="X90" i="1"/>
  <c r="Y90" i="1"/>
  <c r="Z90" i="1"/>
  <c r="AA90" i="1"/>
  <c r="AB90" i="1"/>
  <c r="U91" i="1"/>
  <c r="V91" i="1"/>
  <c r="W91" i="1"/>
  <c r="X91" i="1"/>
  <c r="Y91" i="1"/>
  <c r="Z91" i="1"/>
  <c r="AA91" i="1"/>
  <c r="AB91" i="1"/>
  <c r="U92" i="1"/>
  <c r="V92" i="1"/>
  <c r="W92" i="1"/>
  <c r="X92" i="1"/>
  <c r="Y92" i="1"/>
  <c r="Z92" i="1"/>
  <c r="AA92" i="1"/>
  <c r="AB92" i="1"/>
  <c r="U93" i="1"/>
  <c r="V93" i="1"/>
  <c r="W93" i="1"/>
  <c r="X93" i="1"/>
  <c r="Y93" i="1"/>
  <c r="Z93" i="1"/>
  <c r="AA93" i="1"/>
  <c r="AB93" i="1"/>
  <c r="U94" i="1"/>
  <c r="V94" i="1"/>
  <c r="W94" i="1"/>
  <c r="X94" i="1"/>
  <c r="Y94" i="1"/>
  <c r="Z94" i="1"/>
  <c r="AA94" i="1"/>
  <c r="AB94" i="1"/>
  <c r="U95" i="1"/>
  <c r="V95" i="1"/>
  <c r="W95" i="1"/>
  <c r="X95" i="1"/>
  <c r="Y95" i="1"/>
  <c r="Z95" i="1"/>
  <c r="AA95" i="1"/>
  <c r="AB95" i="1"/>
  <c r="U96" i="1"/>
  <c r="V96" i="1"/>
  <c r="W96" i="1"/>
  <c r="X96" i="1"/>
  <c r="Y96" i="1"/>
  <c r="Z96" i="1"/>
  <c r="AA96" i="1"/>
  <c r="AB96" i="1"/>
  <c r="U97" i="1"/>
  <c r="V97" i="1"/>
  <c r="W97" i="1"/>
  <c r="X97" i="1"/>
  <c r="Y97" i="1"/>
  <c r="Z97" i="1"/>
  <c r="AA97" i="1"/>
  <c r="AB97" i="1"/>
  <c r="U98" i="1"/>
  <c r="V98" i="1"/>
  <c r="W98" i="1"/>
  <c r="X98" i="1"/>
  <c r="Y98" i="1"/>
  <c r="Z98" i="1"/>
  <c r="AA98" i="1"/>
  <c r="AB98" i="1"/>
  <c r="U99" i="1"/>
  <c r="V99" i="1"/>
  <c r="W99" i="1"/>
  <c r="X99" i="1"/>
  <c r="Y99" i="1"/>
  <c r="Z99" i="1"/>
  <c r="AA99" i="1"/>
  <c r="AB99" i="1"/>
  <c r="U100" i="1"/>
  <c r="V100" i="1"/>
  <c r="W100" i="1"/>
  <c r="X100" i="1"/>
  <c r="Y100" i="1"/>
  <c r="Z100" i="1"/>
  <c r="AA100" i="1"/>
  <c r="AB100" i="1"/>
  <c r="U101" i="1"/>
  <c r="V101" i="1"/>
  <c r="W101" i="1"/>
  <c r="X101" i="1"/>
  <c r="Y101" i="1"/>
  <c r="Z101" i="1"/>
  <c r="AA101" i="1"/>
  <c r="AB101" i="1"/>
  <c r="U102" i="1"/>
  <c r="V102" i="1"/>
  <c r="W102" i="1"/>
  <c r="X102" i="1"/>
  <c r="Y102" i="1"/>
  <c r="Z102" i="1"/>
  <c r="AA102" i="1"/>
  <c r="AB102" i="1"/>
  <c r="U103" i="1"/>
  <c r="V103" i="1"/>
  <c r="W103" i="1"/>
  <c r="X103" i="1"/>
  <c r="Y103" i="1"/>
  <c r="Z103" i="1"/>
  <c r="AA103" i="1"/>
  <c r="AB103" i="1"/>
  <c r="U104" i="1"/>
  <c r="V104" i="1"/>
  <c r="W104" i="1"/>
  <c r="X104" i="1"/>
  <c r="Y104" i="1"/>
  <c r="Z104" i="1"/>
  <c r="AA104" i="1"/>
  <c r="AB104" i="1"/>
  <c r="U105" i="1"/>
  <c r="V105" i="1"/>
  <c r="W105" i="1"/>
  <c r="X105" i="1"/>
  <c r="Y105" i="1"/>
  <c r="Z105" i="1"/>
  <c r="AA105" i="1"/>
  <c r="AB105" i="1"/>
  <c r="U106" i="1"/>
  <c r="V106" i="1"/>
  <c r="W106" i="1"/>
  <c r="X106" i="1"/>
  <c r="Y106" i="1"/>
  <c r="Z106" i="1"/>
  <c r="AA106" i="1"/>
  <c r="AB106" i="1"/>
  <c r="U107" i="1"/>
  <c r="V107" i="1"/>
  <c r="W107" i="1"/>
  <c r="X107" i="1"/>
  <c r="Y107" i="1"/>
  <c r="Z107" i="1"/>
  <c r="AA107" i="1"/>
  <c r="AB107" i="1"/>
  <c r="U108" i="1"/>
  <c r="V108" i="1"/>
  <c r="W108" i="1"/>
  <c r="X108" i="1"/>
  <c r="Y108" i="1"/>
  <c r="Z108" i="1"/>
  <c r="AA108" i="1"/>
  <c r="AB108" i="1"/>
  <c r="U109" i="1"/>
  <c r="V109" i="1"/>
  <c r="W109" i="1"/>
  <c r="X109" i="1"/>
  <c r="Y109" i="1"/>
  <c r="Z109" i="1"/>
  <c r="AA109" i="1"/>
  <c r="AB109" i="1"/>
  <c r="U110" i="1"/>
  <c r="V110" i="1"/>
  <c r="W110" i="1"/>
  <c r="X110" i="1"/>
  <c r="Y110" i="1"/>
  <c r="Z110" i="1"/>
  <c r="AA110" i="1"/>
  <c r="AB110" i="1"/>
  <c r="U111" i="1"/>
  <c r="V111" i="1"/>
  <c r="W111" i="1"/>
  <c r="X111" i="1"/>
  <c r="Y111" i="1"/>
  <c r="Z111" i="1"/>
  <c r="AA111" i="1"/>
  <c r="AB111" i="1"/>
  <c r="U112" i="1"/>
  <c r="V112" i="1"/>
  <c r="W112" i="1"/>
  <c r="X112" i="1"/>
  <c r="Y112" i="1"/>
  <c r="Z112" i="1"/>
  <c r="AA112" i="1"/>
  <c r="AB112" i="1"/>
  <c r="U113" i="1"/>
  <c r="V113" i="1"/>
  <c r="W113" i="1"/>
  <c r="X113" i="1"/>
  <c r="Y113" i="1"/>
  <c r="Z113" i="1"/>
  <c r="AA113" i="1"/>
  <c r="AB113" i="1"/>
  <c r="U114" i="1"/>
  <c r="V114" i="1"/>
  <c r="W114" i="1"/>
  <c r="X114" i="1"/>
  <c r="Y114" i="1"/>
  <c r="Z114" i="1"/>
  <c r="AA114" i="1"/>
  <c r="AB114" i="1"/>
  <c r="U115" i="1"/>
  <c r="V115" i="1"/>
  <c r="W115" i="1"/>
  <c r="X115" i="1"/>
  <c r="Y115" i="1"/>
  <c r="Z115" i="1"/>
  <c r="AA115" i="1"/>
  <c r="AB115" i="1"/>
  <c r="U116" i="1"/>
  <c r="V116" i="1"/>
  <c r="W116" i="1"/>
  <c r="X116" i="1"/>
  <c r="Y116" i="1"/>
  <c r="Z116" i="1"/>
  <c r="AA116" i="1"/>
  <c r="AB116" i="1"/>
  <c r="U117" i="1"/>
  <c r="V117" i="1"/>
  <c r="W117" i="1"/>
  <c r="X117" i="1"/>
  <c r="Y117" i="1"/>
  <c r="Z117" i="1"/>
  <c r="AA117" i="1"/>
  <c r="AB117" i="1"/>
  <c r="U118" i="1"/>
  <c r="V118" i="1"/>
  <c r="W118" i="1"/>
  <c r="X118" i="1"/>
  <c r="Y118" i="1"/>
  <c r="Z118" i="1"/>
  <c r="AA118" i="1"/>
  <c r="AB118" i="1"/>
  <c r="U119" i="1"/>
  <c r="V119" i="1"/>
  <c r="W119" i="1"/>
  <c r="X119" i="1"/>
  <c r="Y119" i="1"/>
  <c r="Z119" i="1"/>
  <c r="AA119" i="1"/>
  <c r="AB119" i="1"/>
  <c r="U120" i="1"/>
  <c r="V120" i="1"/>
  <c r="W120" i="1"/>
  <c r="X120" i="1"/>
  <c r="Y120" i="1"/>
  <c r="Z120" i="1"/>
  <c r="AA120" i="1"/>
  <c r="AB120" i="1"/>
  <c r="U121" i="1"/>
  <c r="V121" i="1"/>
  <c r="W121" i="1"/>
  <c r="X121" i="1"/>
  <c r="Y121" i="1"/>
  <c r="Z121" i="1"/>
  <c r="AA121" i="1"/>
  <c r="AB121" i="1"/>
  <c r="U122" i="1"/>
  <c r="V122" i="1"/>
  <c r="W122" i="1"/>
  <c r="X122" i="1"/>
  <c r="Y122" i="1"/>
  <c r="Z122" i="1"/>
  <c r="AA122" i="1"/>
  <c r="AB122" i="1"/>
  <c r="U123" i="1"/>
  <c r="V123" i="1"/>
  <c r="W123" i="1"/>
  <c r="X123" i="1"/>
  <c r="Y123" i="1"/>
  <c r="Z123" i="1"/>
  <c r="AA123" i="1"/>
  <c r="AB123" i="1"/>
  <c r="U124" i="1"/>
  <c r="V124" i="1"/>
  <c r="W124" i="1"/>
  <c r="X124" i="1"/>
  <c r="Y124" i="1"/>
  <c r="Z124" i="1"/>
  <c r="AA124" i="1"/>
  <c r="AB124" i="1"/>
  <c r="U125" i="1"/>
  <c r="V125" i="1"/>
  <c r="W125" i="1"/>
  <c r="X125" i="1"/>
  <c r="Y125" i="1"/>
  <c r="Z125" i="1"/>
  <c r="AA125" i="1"/>
  <c r="AB125" i="1"/>
  <c r="U126" i="1"/>
  <c r="V126" i="1"/>
  <c r="W126" i="1"/>
  <c r="X126" i="1"/>
  <c r="Y126" i="1"/>
  <c r="Z126" i="1"/>
  <c r="AA126" i="1"/>
  <c r="AB126" i="1"/>
  <c r="U127" i="1"/>
  <c r="V127" i="1"/>
  <c r="W127" i="1"/>
  <c r="X127" i="1"/>
  <c r="Y127" i="1"/>
  <c r="Z127" i="1"/>
  <c r="AA127" i="1"/>
  <c r="AB127" i="1"/>
  <c r="U128" i="1"/>
  <c r="V128" i="1"/>
  <c r="W128" i="1"/>
  <c r="X128" i="1"/>
  <c r="Y128" i="1"/>
  <c r="Z128" i="1"/>
  <c r="AA128" i="1"/>
  <c r="AB128" i="1"/>
  <c r="U129" i="1"/>
  <c r="V129" i="1"/>
  <c r="W129" i="1"/>
  <c r="X129" i="1"/>
  <c r="Y129" i="1"/>
  <c r="Z129" i="1"/>
  <c r="AA129" i="1"/>
  <c r="AB129" i="1"/>
  <c r="U130" i="1"/>
  <c r="V130" i="1"/>
  <c r="W130" i="1"/>
  <c r="X130" i="1"/>
  <c r="Y130" i="1"/>
  <c r="Z130" i="1"/>
  <c r="AA130" i="1"/>
  <c r="AB130" i="1"/>
  <c r="U131" i="1"/>
  <c r="V131" i="1"/>
  <c r="W131" i="1"/>
  <c r="X131" i="1"/>
  <c r="Y131" i="1"/>
  <c r="Z131" i="1"/>
  <c r="AA131" i="1"/>
  <c r="AB131" i="1"/>
  <c r="U132" i="1"/>
  <c r="V132" i="1"/>
  <c r="W132" i="1"/>
  <c r="X132" i="1"/>
  <c r="Y132" i="1"/>
  <c r="Z132" i="1"/>
  <c r="AA132" i="1"/>
  <c r="AB132" i="1"/>
  <c r="U133" i="1"/>
  <c r="V133" i="1"/>
  <c r="W133" i="1"/>
  <c r="X133" i="1"/>
  <c r="Y133" i="1"/>
  <c r="Z133" i="1"/>
  <c r="AA133" i="1"/>
  <c r="AB133" i="1"/>
  <c r="U134" i="1"/>
  <c r="V134" i="1"/>
  <c r="W134" i="1"/>
  <c r="X134" i="1"/>
  <c r="Y134" i="1"/>
  <c r="Z134" i="1"/>
  <c r="AA134" i="1"/>
  <c r="AB134" i="1"/>
  <c r="U135" i="1"/>
  <c r="V135" i="1"/>
  <c r="W135" i="1"/>
  <c r="X135" i="1"/>
  <c r="Y135" i="1"/>
  <c r="Z135" i="1"/>
  <c r="AA135" i="1"/>
  <c r="AB135" i="1"/>
  <c r="U136" i="1"/>
  <c r="V136" i="1"/>
  <c r="W136" i="1"/>
  <c r="X136" i="1"/>
  <c r="Y136" i="1"/>
  <c r="Z136" i="1"/>
  <c r="AA136" i="1"/>
  <c r="AB136" i="1"/>
  <c r="U137" i="1"/>
  <c r="V137" i="1"/>
  <c r="W137" i="1"/>
  <c r="X137" i="1"/>
  <c r="Y137" i="1"/>
  <c r="Z137" i="1"/>
  <c r="AA137" i="1"/>
  <c r="AB137" i="1"/>
  <c r="U138" i="1"/>
  <c r="V138" i="1"/>
  <c r="W138" i="1"/>
  <c r="X138" i="1"/>
  <c r="Y138" i="1"/>
  <c r="Z138" i="1"/>
  <c r="AA138" i="1"/>
  <c r="AB138" i="1"/>
  <c r="U139" i="1"/>
  <c r="V139" i="1"/>
  <c r="W139" i="1"/>
  <c r="X139" i="1"/>
  <c r="Y139" i="1"/>
  <c r="Z139" i="1"/>
  <c r="AA139" i="1"/>
  <c r="AB139" i="1"/>
  <c r="U140" i="1"/>
  <c r="V140" i="1"/>
  <c r="W140" i="1"/>
  <c r="X140" i="1"/>
  <c r="Y140" i="1"/>
  <c r="Z140" i="1"/>
  <c r="AA140" i="1"/>
  <c r="AB140" i="1"/>
  <c r="U141" i="1"/>
  <c r="V141" i="1"/>
  <c r="W141" i="1"/>
  <c r="X141" i="1"/>
  <c r="Y141" i="1"/>
  <c r="Z141" i="1"/>
  <c r="AA141" i="1"/>
  <c r="AB141" i="1"/>
  <c r="U142" i="1"/>
  <c r="V142" i="1"/>
  <c r="W142" i="1"/>
  <c r="X142" i="1"/>
  <c r="Y142" i="1"/>
  <c r="Z142" i="1"/>
  <c r="AA142" i="1"/>
  <c r="AB142" i="1"/>
  <c r="U143" i="1"/>
  <c r="V143" i="1"/>
  <c r="W143" i="1"/>
  <c r="X143" i="1"/>
  <c r="Y143" i="1"/>
  <c r="Z143" i="1"/>
  <c r="AA143" i="1"/>
  <c r="AB143" i="1"/>
  <c r="U144" i="1"/>
  <c r="V144" i="1"/>
  <c r="W144" i="1"/>
  <c r="X144" i="1"/>
  <c r="Y144" i="1"/>
  <c r="Z144" i="1"/>
  <c r="AA144" i="1"/>
  <c r="AB144" i="1"/>
  <c r="U145" i="1"/>
  <c r="V145" i="1"/>
  <c r="W145" i="1"/>
  <c r="X145" i="1"/>
  <c r="Y145" i="1"/>
  <c r="Z145" i="1"/>
  <c r="AA145" i="1"/>
  <c r="AB145" i="1"/>
  <c r="U146" i="1"/>
  <c r="V146" i="1"/>
  <c r="W146" i="1"/>
  <c r="X146" i="1"/>
  <c r="Y146" i="1"/>
  <c r="Z146" i="1"/>
  <c r="AA146" i="1"/>
  <c r="AB146" i="1"/>
  <c r="U147" i="1"/>
  <c r="V147" i="1"/>
  <c r="W147" i="1"/>
  <c r="X147" i="1"/>
  <c r="Y147" i="1"/>
  <c r="Z147" i="1"/>
  <c r="AA147" i="1"/>
  <c r="AB147" i="1"/>
  <c r="U148" i="1"/>
  <c r="V148" i="1"/>
  <c r="W148" i="1"/>
  <c r="X148" i="1"/>
  <c r="Y148" i="1"/>
  <c r="Z148" i="1"/>
  <c r="AA148" i="1"/>
  <c r="AB148" i="1"/>
  <c r="U149" i="1"/>
  <c r="V149" i="1"/>
  <c r="W149" i="1"/>
  <c r="X149" i="1"/>
  <c r="Y149" i="1"/>
  <c r="Z149" i="1"/>
  <c r="AA149" i="1"/>
  <c r="AB149" i="1"/>
  <c r="U150" i="1"/>
  <c r="V150" i="1"/>
  <c r="W150" i="1"/>
  <c r="X150" i="1"/>
  <c r="Y150" i="1"/>
  <c r="Z150" i="1"/>
  <c r="AA150" i="1"/>
  <c r="AB150" i="1"/>
  <c r="U151" i="1"/>
  <c r="V151" i="1"/>
  <c r="W151" i="1"/>
  <c r="X151" i="1"/>
  <c r="Y151" i="1"/>
  <c r="Z151" i="1"/>
  <c r="AA151" i="1"/>
  <c r="AB151" i="1"/>
  <c r="U152" i="1"/>
  <c r="V152" i="1"/>
  <c r="W152" i="1"/>
  <c r="X152" i="1"/>
  <c r="Y152" i="1"/>
  <c r="Z152" i="1"/>
  <c r="AA152" i="1"/>
  <c r="AB152" i="1"/>
  <c r="U153" i="1"/>
  <c r="V153" i="1"/>
  <c r="W153" i="1"/>
  <c r="X153" i="1"/>
  <c r="Y153" i="1"/>
  <c r="Z153" i="1"/>
  <c r="AA153" i="1"/>
  <c r="AB153" i="1"/>
  <c r="U154" i="1"/>
  <c r="V154" i="1"/>
  <c r="W154" i="1"/>
  <c r="X154" i="1"/>
  <c r="Y154" i="1"/>
  <c r="Z154" i="1"/>
  <c r="AA154" i="1"/>
  <c r="AB154" i="1"/>
  <c r="U155" i="1"/>
  <c r="V155" i="1"/>
  <c r="W155" i="1"/>
  <c r="X155" i="1"/>
  <c r="Y155" i="1"/>
  <c r="Z155" i="1"/>
  <c r="AA155" i="1"/>
  <c r="AB155" i="1"/>
  <c r="U156" i="1"/>
  <c r="V156" i="1"/>
  <c r="W156" i="1"/>
  <c r="X156" i="1"/>
  <c r="Y156" i="1"/>
  <c r="Z156" i="1"/>
  <c r="AA156" i="1"/>
  <c r="AB156" i="1"/>
  <c r="U157" i="1"/>
  <c r="V157" i="1"/>
  <c r="W157" i="1"/>
  <c r="X157" i="1"/>
  <c r="Y157" i="1"/>
  <c r="Z157" i="1"/>
  <c r="AA157" i="1"/>
  <c r="AB157" i="1"/>
  <c r="U158" i="1"/>
  <c r="V158" i="1"/>
  <c r="W158" i="1"/>
  <c r="X158" i="1"/>
  <c r="Y158" i="1"/>
  <c r="Z158" i="1"/>
  <c r="AA158" i="1"/>
  <c r="AB158" i="1"/>
  <c r="U159" i="1"/>
  <c r="V159" i="1"/>
  <c r="W159" i="1"/>
  <c r="X159" i="1"/>
  <c r="Y159" i="1"/>
  <c r="Z159" i="1"/>
  <c r="AA159" i="1"/>
  <c r="AB159" i="1"/>
  <c r="U160" i="1"/>
  <c r="V160" i="1"/>
  <c r="W160" i="1"/>
  <c r="X160" i="1"/>
  <c r="Y160" i="1"/>
  <c r="Z160" i="1"/>
  <c r="AA160" i="1"/>
  <c r="AB160" i="1"/>
  <c r="U161" i="1"/>
  <c r="V161" i="1"/>
  <c r="W161" i="1"/>
  <c r="X161" i="1"/>
  <c r="Y161" i="1"/>
  <c r="Z161" i="1"/>
  <c r="AA161" i="1"/>
  <c r="AB161" i="1"/>
  <c r="U162" i="1"/>
  <c r="V162" i="1"/>
  <c r="W162" i="1"/>
  <c r="X162" i="1"/>
  <c r="Y162" i="1"/>
  <c r="Z162" i="1"/>
  <c r="AA162" i="1"/>
  <c r="AB162" i="1"/>
  <c r="U163" i="1"/>
  <c r="V163" i="1"/>
  <c r="W163" i="1"/>
  <c r="X163" i="1"/>
  <c r="Y163" i="1"/>
  <c r="Z163" i="1"/>
  <c r="AA163" i="1"/>
  <c r="AB163" i="1"/>
  <c r="U164" i="1"/>
  <c r="V164" i="1"/>
  <c r="W164" i="1"/>
  <c r="X164" i="1"/>
  <c r="Y164" i="1"/>
  <c r="Z164" i="1"/>
  <c r="AA164" i="1"/>
  <c r="AB164" i="1"/>
  <c r="U165" i="1"/>
  <c r="V165" i="1"/>
  <c r="W165" i="1"/>
  <c r="X165" i="1"/>
  <c r="Y165" i="1"/>
  <c r="Z165" i="1"/>
  <c r="AA165" i="1"/>
  <c r="AB165" i="1"/>
  <c r="U166" i="1"/>
  <c r="V166" i="1"/>
  <c r="W166" i="1"/>
  <c r="X166" i="1"/>
  <c r="Y166" i="1"/>
  <c r="Z166" i="1"/>
  <c r="AA166" i="1"/>
  <c r="AB166" i="1"/>
  <c r="U167" i="1"/>
  <c r="V167" i="1"/>
  <c r="W167" i="1"/>
  <c r="X167" i="1"/>
  <c r="Y167" i="1"/>
  <c r="Z167" i="1"/>
  <c r="AA167" i="1"/>
  <c r="AB167" i="1"/>
  <c r="U168" i="1"/>
  <c r="V168" i="1"/>
  <c r="W168" i="1"/>
  <c r="X168" i="1"/>
  <c r="Y168" i="1"/>
  <c r="Z168" i="1"/>
  <c r="AA168" i="1"/>
  <c r="AB168" i="1"/>
  <c r="U169" i="1"/>
  <c r="V169" i="1"/>
  <c r="W169" i="1"/>
  <c r="X169" i="1"/>
  <c r="Y169" i="1"/>
  <c r="Z169" i="1"/>
  <c r="AA169" i="1"/>
  <c r="AB169" i="1"/>
  <c r="U170" i="1"/>
  <c r="V170" i="1"/>
  <c r="W170" i="1"/>
  <c r="X170" i="1"/>
  <c r="Y170" i="1"/>
  <c r="Z170" i="1"/>
  <c r="AA170" i="1"/>
  <c r="AB170" i="1"/>
  <c r="U171" i="1"/>
  <c r="V171" i="1"/>
  <c r="W171" i="1"/>
  <c r="X171" i="1"/>
  <c r="Y171" i="1"/>
  <c r="Z171" i="1"/>
  <c r="AA171" i="1"/>
  <c r="AB171" i="1"/>
  <c r="U172" i="1"/>
  <c r="V172" i="1"/>
  <c r="W172" i="1"/>
  <c r="X172" i="1"/>
  <c r="Y172" i="1"/>
  <c r="Z172" i="1"/>
  <c r="AA172" i="1"/>
  <c r="AB172" i="1"/>
  <c r="U173" i="1"/>
  <c r="V173" i="1"/>
  <c r="W173" i="1"/>
  <c r="X173" i="1"/>
  <c r="Y173" i="1"/>
  <c r="Z173" i="1"/>
  <c r="AA173" i="1"/>
  <c r="AB173" i="1"/>
  <c r="U174" i="1"/>
  <c r="V174" i="1"/>
  <c r="W174" i="1"/>
  <c r="X174" i="1"/>
  <c r="Y174" i="1"/>
  <c r="Z174" i="1"/>
  <c r="AA174" i="1"/>
  <c r="AB174" i="1"/>
  <c r="U175" i="1"/>
  <c r="V175" i="1"/>
  <c r="W175" i="1"/>
  <c r="X175" i="1"/>
  <c r="Y175" i="1"/>
  <c r="Z175" i="1"/>
  <c r="AA175" i="1"/>
  <c r="AB175" i="1"/>
  <c r="U176" i="1"/>
  <c r="V176" i="1"/>
  <c r="W176" i="1"/>
  <c r="X176" i="1"/>
  <c r="Y176" i="1"/>
  <c r="Z176" i="1"/>
  <c r="AA176" i="1"/>
  <c r="AB176" i="1"/>
  <c r="U177" i="1"/>
  <c r="V177" i="1"/>
  <c r="W177" i="1"/>
  <c r="X177" i="1"/>
  <c r="Y177" i="1"/>
  <c r="Z177" i="1"/>
  <c r="AA177" i="1"/>
  <c r="AB177" i="1"/>
  <c r="U178" i="1"/>
  <c r="V178" i="1"/>
  <c r="W178" i="1"/>
  <c r="X178" i="1"/>
  <c r="Y178" i="1"/>
  <c r="Z178" i="1"/>
  <c r="AA178" i="1"/>
  <c r="AB178" i="1"/>
  <c r="U179" i="1"/>
  <c r="V179" i="1"/>
  <c r="W179" i="1"/>
  <c r="X179" i="1"/>
  <c r="Y179" i="1"/>
  <c r="Z179" i="1"/>
  <c r="AA179" i="1"/>
  <c r="AB179" i="1"/>
  <c r="U180" i="1"/>
  <c r="V180" i="1"/>
  <c r="W180" i="1"/>
  <c r="X180" i="1"/>
  <c r="Y180" i="1"/>
  <c r="Z180" i="1"/>
  <c r="AA180" i="1"/>
  <c r="AB180" i="1"/>
  <c r="U181" i="1"/>
  <c r="V181" i="1"/>
  <c r="W181" i="1"/>
  <c r="X181" i="1"/>
  <c r="Y181" i="1"/>
  <c r="Z181" i="1"/>
  <c r="AA181" i="1"/>
  <c r="AB181" i="1"/>
  <c r="U182" i="1"/>
  <c r="V182" i="1"/>
  <c r="W182" i="1"/>
  <c r="X182" i="1"/>
  <c r="Y182" i="1"/>
  <c r="Z182" i="1"/>
  <c r="AA182" i="1"/>
  <c r="AB182" i="1"/>
  <c r="U183" i="1"/>
  <c r="V183" i="1"/>
  <c r="W183" i="1"/>
  <c r="X183" i="1"/>
  <c r="Y183" i="1"/>
  <c r="Z183" i="1"/>
  <c r="AA183" i="1"/>
  <c r="AB183" i="1"/>
  <c r="U184" i="1"/>
  <c r="V184" i="1"/>
  <c r="W184" i="1"/>
  <c r="X184" i="1"/>
  <c r="Y184" i="1"/>
  <c r="Z184" i="1"/>
  <c r="AA184" i="1"/>
  <c r="AB184" i="1"/>
  <c r="U185" i="1"/>
  <c r="V185" i="1"/>
  <c r="W185" i="1"/>
  <c r="X185" i="1"/>
  <c r="Y185" i="1"/>
  <c r="Z185" i="1"/>
  <c r="AA185" i="1"/>
  <c r="AB185" i="1"/>
  <c r="U186" i="1"/>
  <c r="V186" i="1"/>
  <c r="W186" i="1"/>
  <c r="X186" i="1"/>
  <c r="Y186" i="1"/>
  <c r="Z186" i="1"/>
  <c r="AA186" i="1"/>
  <c r="AB186" i="1"/>
  <c r="U187" i="1"/>
  <c r="V187" i="1"/>
  <c r="W187" i="1"/>
  <c r="X187" i="1"/>
  <c r="Y187" i="1"/>
  <c r="Z187" i="1"/>
  <c r="AA187" i="1"/>
  <c r="AB187" i="1"/>
  <c r="U188" i="1"/>
  <c r="V188" i="1"/>
  <c r="W188" i="1"/>
  <c r="X188" i="1"/>
  <c r="Y188" i="1"/>
  <c r="Z188" i="1"/>
  <c r="AA188" i="1"/>
  <c r="AB188" i="1"/>
  <c r="U189" i="1"/>
  <c r="V189" i="1"/>
  <c r="W189" i="1"/>
  <c r="X189" i="1"/>
  <c r="Y189" i="1"/>
  <c r="Z189" i="1"/>
  <c r="AA189" i="1"/>
  <c r="AB189" i="1"/>
  <c r="U190" i="1"/>
  <c r="V190" i="1"/>
  <c r="W190" i="1"/>
  <c r="X190" i="1"/>
  <c r="Y190" i="1"/>
  <c r="Z190" i="1"/>
  <c r="AA190" i="1"/>
  <c r="AB190" i="1"/>
  <c r="U191" i="1"/>
  <c r="V191" i="1"/>
  <c r="W191" i="1"/>
  <c r="X191" i="1"/>
  <c r="Y191" i="1"/>
  <c r="Z191" i="1"/>
  <c r="AA191" i="1"/>
  <c r="AB191" i="1"/>
  <c r="U192" i="1"/>
  <c r="V192" i="1"/>
  <c r="W192" i="1"/>
  <c r="X192" i="1"/>
  <c r="Y192" i="1"/>
  <c r="Z192" i="1"/>
  <c r="AA192" i="1"/>
  <c r="AB192" i="1"/>
  <c r="U193" i="1"/>
  <c r="V193" i="1"/>
  <c r="W193" i="1"/>
  <c r="X193" i="1"/>
  <c r="Y193" i="1"/>
  <c r="Z193" i="1"/>
  <c r="AA193" i="1"/>
  <c r="AB193" i="1"/>
  <c r="U194" i="1"/>
  <c r="V194" i="1"/>
  <c r="W194" i="1"/>
  <c r="X194" i="1"/>
  <c r="Y194" i="1"/>
  <c r="Z194" i="1"/>
  <c r="AA194" i="1"/>
  <c r="AB194" i="1"/>
  <c r="U195" i="1"/>
  <c r="V195" i="1"/>
  <c r="W195" i="1"/>
  <c r="X195" i="1"/>
  <c r="Y195" i="1"/>
  <c r="Z195" i="1"/>
  <c r="AA195" i="1"/>
  <c r="AB195" i="1"/>
  <c r="U196" i="1"/>
  <c r="V196" i="1"/>
  <c r="W196" i="1"/>
  <c r="X196" i="1"/>
  <c r="Y196" i="1"/>
  <c r="Z196" i="1"/>
  <c r="AA196" i="1"/>
  <c r="AB196" i="1"/>
  <c r="U197" i="1"/>
  <c r="V197" i="1"/>
  <c r="W197" i="1"/>
  <c r="X197" i="1"/>
  <c r="Y197" i="1"/>
  <c r="Z197" i="1"/>
  <c r="AA197" i="1"/>
  <c r="AB197" i="1"/>
  <c r="U198" i="1"/>
  <c r="V198" i="1"/>
  <c r="W198" i="1"/>
  <c r="X198" i="1"/>
  <c r="Y198" i="1"/>
  <c r="Z198" i="1"/>
  <c r="AA198" i="1"/>
  <c r="AB198" i="1"/>
  <c r="U199" i="1"/>
  <c r="V199" i="1"/>
  <c r="W199" i="1"/>
  <c r="X199" i="1"/>
  <c r="Y199" i="1"/>
  <c r="Z199" i="1"/>
  <c r="AA199" i="1"/>
  <c r="AB199" i="1"/>
  <c r="U200" i="1"/>
  <c r="V200" i="1"/>
  <c r="W200" i="1"/>
  <c r="X200" i="1"/>
  <c r="Y200" i="1"/>
  <c r="Z200" i="1"/>
  <c r="AA200" i="1"/>
  <c r="AB200" i="1"/>
  <c r="U201" i="1"/>
  <c r="V201" i="1"/>
  <c r="W201" i="1"/>
  <c r="X201" i="1"/>
  <c r="Y201" i="1"/>
  <c r="Z201" i="1"/>
  <c r="AA201" i="1"/>
  <c r="AB201" i="1"/>
  <c r="U202" i="1"/>
  <c r="V202" i="1"/>
  <c r="W202" i="1"/>
  <c r="X202" i="1"/>
  <c r="Y202" i="1"/>
  <c r="Z202" i="1"/>
  <c r="AA202" i="1"/>
  <c r="AB202" i="1"/>
  <c r="U203" i="1"/>
  <c r="V203" i="1"/>
  <c r="W203" i="1"/>
  <c r="X203" i="1"/>
  <c r="Y203" i="1"/>
  <c r="Z203" i="1"/>
  <c r="AA203" i="1"/>
  <c r="AB203" i="1"/>
  <c r="U204" i="1"/>
  <c r="V204" i="1"/>
  <c r="W204" i="1"/>
  <c r="X204" i="1"/>
  <c r="Y204" i="1"/>
  <c r="Z204" i="1"/>
  <c r="AA204" i="1"/>
  <c r="AB204" i="1"/>
  <c r="U205" i="1"/>
  <c r="V205" i="1"/>
  <c r="W205" i="1"/>
  <c r="X205" i="1"/>
  <c r="Y205" i="1"/>
  <c r="Z205" i="1"/>
  <c r="AA205" i="1"/>
  <c r="AB205" i="1"/>
  <c r="U206" i="1"/>
  <c r="V206" i="1"/>
  <c r="W206" i="1"/>
  <c r="X206" i="1"/>
  <c r="Y206" i="1"/>
  <c r="Z206" i="1"/>
  <c r="AA206" i="1"/>
  <c r="AB206" i="1"/>
  <c r="U207" i="1"/>
  <c r="V207" i="1"/>
  <c r="W207" i="1"/>
  <c r="X207" i="1"/>
  <c r="Y207" i="1"/>
  <c r="Z207" i="1"/>
  <c r="AA207" i="1"/>
  <c r="AB207" i="1"/>
  <c r="U208" i="1"/>
  <c r="V208" i="1"/>
  <c r="W208" i="1"/>
  <c r="X208" i="1"/>
  <c r="Y208" i="1"/>
  <c r="Z208" i="1"/>
  <c r="AA208" i="1"/>
  <c r="AB208" i="1"/>
  <c r="U209" i="1"/>
  <c r="V209" i="1"/>
  <c r="W209" i="1"/>
  <c r="X209" i="1"/>
  <c r="Y209" i="1"/>
  <c r="Z209" i="1"/>
  <c r="AA209" i="1"/>
  <c r="AB209" i="1"/>
  <c r="U210" i="1"/>
  <c r="V210" i="1"/>
  <c r="W210" i="1"/>
  <c r="X210" i="1"/>
  <c r="Y210" i="1"/>
  <c r="Z210" i="1"/>
  <c r="AA210" i="1"/>
  <c r="AB210" i="1"/>
  <c r="U211" i="1"/>
  <c r="V211" i="1"/>
  <c r="W211" i="1"/>
  <c r="X211" i="1"/>
  <c r="Y211" i="1"/>
  <c r="Z211" i="1"/>
  <c r="AA211" i="1"/>
  <c r="AB211" i="1"/>
  <c r="U212" i="1"/>
  <c r="V212" i="1"/>
  <c r="W212" i="1"/>
  <c r="X212" i="1"/>
  <c r="Y212" i="1"/>
  <c r="Z212" i="1"/>
  <c r="AA212" i="1"/>
  <c r="AB212" i="1"/>
  <c r="U213" i="1"/>
  <c r="V213" i="1"/>
  <c r="W213" i="1"/>
  <c r="X213" i="1"/>
  <c r="Y213" i="1"/>
  <c r="Z213" i="1"/>
  <c r="AA213" i="1"/>
  <c r="AB213" i="1"/>
  <c r="U214" i="1"/>
  <c r="V214" i="1"/>
  <c r="W214" i="1"/>
  <c r="X214" i="1"/>
  <c r="Y214" i="1"/>
  <c r="Z214" i="1"/>
  <c r="AA214" i="1"/>
  <c r="AB214" i="1"/>
  <c r="U215" i="1"/>
  <c r="V215" i="1"/>
  <c r="W215" i="1"/>
  <c r="X215" i="1"/>
  <c r="Y215" i="1"/>
  <c r="Z215" i="1"/>
  <c r="AA215" i="1"/>
  <c r="AB215" i="1"/>
  <c r="U216" i="1"/>
  <c r="V216" i="1"/>
  <c r="W216" i="1"/>
  <c r="X216" i="1"/>
  <c r="Y216" i="1"/>
  <c r="Z216" i="1"/>
  <c r="AA216" i="1"/>
  <c r="AB216" i="1"/>
  <c r="U217" i="1"/>
  <c r="V217" i="1"/>
  <c r="W217" i="1"/>
  <c r="X217" i="1"/>
  <c r="Y217" i="1"/>
  <c r="Z217" i="1"/>
  <c r="AA217" i="1"/>
  <c r="AB217" i="1"/>
  <c r="U218" i="1"/>
  <c r="V218" i="1"/>
  <c r="W218" i="1"/>
  <c r="X218" i="1"/>
  <c r="Y218" i="1"/>
  <c r="Z218" i="1"/>
  <c r="AA218" i="1"/>
  <c r="AB218" i="1"/>
  <c r="U219" i="1"/>
  <c r="V219" i="1"/>
  <c r="W219" i="1"/>
  <c r="X219" i="1"/>
  <c r="Y219" i="1"/>
  <c r="Z219" i="1"/>
  <c r="AA219" i="1"/>
  <c r="AB219" i="1"/>
  <c r="U220" i="1"/>
  <c r="V220" i="1"/>
  <c r="W220" i="1"/>
  <c r="X220" i="1"/>
  <c r="Y220" i="1"/>
  <c r="Z220" i="1"/>
  <c r="AA220" i="1"/>
  <c r="AB220" i="1"/>
  <c r="U221" i="1"/>
  <c r="V221" i="1"/>
  <c r="W221" i="1"/>
  <c r="X221" i="1"/>
  <c r="Y221" i="1"/>
  <c r="Z221" i="1"/>
  <c r="AA221" i="1"/>
  <c r="AB221" i="1"/>
  <c r="U222" i="1"/>
  <c r="V222" i="1"/>
  <c r="W222" i="1"/>
  <c r="X222" i="1"/>
  <c r="Y222" i="1"/>
  <c r="Z222" i="1"/>
  <c r="AA222" i="1"/>
  <c r="AB222" i="1"/>
  <c r="U223" i="1"/>
  <c r="V223" i="1"/>
  <c r="W223" i="1"/>
  <c r="X223" i="1"/>
  <c r="Y223" i="1"/>
  <c r="Z223" i="1"/>
  <c r="AA223" i="1"/>
  <c r="AB223" i="1"/>
  <c r="U224" i="1"/>
  <c r="V224" i="1"/>
  <c r="W224" i="1"/>
  <c r="X224" i="1"/>
  <c r="Y224" i="1"/>
  <c r="Z224" i="1"/>
  <c r="AA224" i="1"/>
  <c r="AB224" i="1"/>
  <c r="U225" i="1"/>
  <c r="V225" i="1"/>
  <c r="W225" i="1"/>
  <c r="X225" i="1"/>
  <c r="Y225" i="1"/>
  <c r="Z225" i="1"/>
  <c r="AA225" i="1"/>
  <c r="AB225" i="1"/>
  <c r="U226" i="1"/>
  <c r="V226" i="1"/>
  <c r="W226" i="1"/>
  <c r="X226" i="1"/>
  <c r="Y226" i="1"/>
  <c r="Z226" i="1"/>
  <c r="AA226" i="1"/>
  <c r="AB226" i="1"/>
  <c r="U227" i="1"/>
  <c r="V227" i="1"/>
  <c r="W227" i="1"/>
  <c r="X227" i="1"/>
  <c r="Y227" i="1"/>
  <c r="Z227" i="1"/>
  <c r="AA227" i="1"/>
  <c r="AB227" i="1"/>
  <c r="U228" i="1"/>
  <c r="V228" i="1"/>
  <c r="W228" i="1"/>
  <c r="X228" i="1"/>
  <c r="Y228" i="1"/>
  <c r="Z228" i="1"/>
  <c r="AA228" i="1"/>
  <c r="AB228" i="1"/>
  <c r="U229" i="1"/>
  <c r="V229" i="1"/>
  <c r="W229" i="1"/>
  <c r="X229" i="1"/>
  <c r="Y229" i="1"/>
  <c r="Z229" i="1"/>
  <c r="AA229" i="1"/>
  <c r="AB229" i="1"/>
  <c r="U230" i="1"/>
  <c r="V230" i="1"/>
  <c r="W230" i="1"/>
  <c r="X230" i="1"/>
  <c r="Y230" i="1"/>
  <c r="Z230" i="1"/>
  <c r="AA230" i="1"/>
  <c r="AB230" i="1"/>
  <c r="U231" i="1"/>
  <c r="V231" i="1"/>
  <c r="W231" i="1"/>
  <c r="X231" i="1"/>
  <c r="Y231" i="1"/>
  <c r="Z231" i="1"/>
  <c r="AA231" i="1"/>
  <c r="AB231" i="1"/>
  <c r="U232" i="1"/>
  <c r="V232" i="1"/>
  <c r="W232" i="1"/>
  <c r="X232" i="1"/>
  <c r="Y232" i="1"/>
  <c r="Z232" i="1"/>
  <c r="AA232" i="1"/>
  <c r="AB232" i="1"/>
  <c r="U233" i="1"/>
  <c r="V233" i="1"/>
  <c r="W233" i="1"/>
  <c r="X233" i="1"/>
  <c r="Y233" i="1"/>
  <c r="Z233" i="1"/>
  <c r="AA233" i="1"/>
  <c r="AB233" i="1"/>
  <c r="U234" i="1"/>
  <c r="V234" i="1"/>
  <c r="W234" i="1"/>
  <c r="X234" i="1"/>
  <c r="Y234" i="1"/>
  <c r="Z234" i="1"/>
  <c r="AA234" i="1"/>
  <c r="AB234" i="1"/>
  <c r="U235" i="1"/>
  <c r="V235" i="1"/>
  <c r="W235" i="1"/>
  <c r="X235" i="1"/>
  <c r="Y235" i="1"/>
  <c r="Z235" i="1"/>
  <c r="AA235" i="1"/>
  <c r="AB235" i="1"/>
  <c r="U236" i="1"/>
  <c r="V236" i="1"/>
  <c r="W236" i="1"/>
  <c r="X236" i="1"/>
  <c r="Y236" i="1"/>
  <c r="Z236" i="1"/>
  <c r="AA236" i="1"/>
  <c r="AB236" i="1"/>
  <c r="U237" i="1"/>
  <c r="V237" i="1"/>
  <c r="W237" i="1"/>
  <c r="X237" i="1"/>
  <c r="Y237" i="1"/>
  <c r="Z237" i="1"/>
  <c r="AA237" i="1"/>
  <c r="AB237" i="1"/>
  <c r="U238" i="1"/>
  <c r="V238" i="1"/>
  <c r="W238" i="1"/>
  <c r="X238" i="1"/>
  <c r="Y238" i="1"/>
  <c r="Z238" i="1"/>
  <c r="AA238" i="1"/>
  <c r="AB238" i="1"/>
  <c r="U239" i="1"/>
  <c r="V239" i="1"/>
  <c r="W239" i="1"/>
  <c r="X239" i="1"/>
  <c r="Y239" i="1"/>
  <c r="Z239" i="1"/>
  <c r="AA239" i="1"/>
  <c r="AB239" i="1"/>
  <c r="U240" i="1"/>
  <c r="V240" i="1"/>
  <c r="W240" i="1"/>
  <c r="X240" i="1"/>
  <c r="Y240" i="1"/>
  <c r="Z240" i="1"/>
  <c r="AA240" i="1"/>
  <c r="AB240" i="1"/>
  <c r="U241" i="1"/>
  <c r="V241" i="1"/>
  <c r="W241" i="1"/>
  <c r="X241" i="1"/>
  <c r="Y241" i="1"/>
  <c r="Z241" i="1"/>
  <c r="AA241" i="1"/>
  <c r="AB241" i="1"/>
  <c r="U242" i="1"/>
  <c r="V242" i="1"/>
  <c r="W242" i="1"/>
  <c r="X242" i="1"/>
  <c r="Y242" i="1"/>
  <c r="Z242" i="1"/>
  <c r="AA242" i="1"/>
  <c r="AB242" i="1"/>
  <c r="U243" i="1"/>
  <c r="V243" i="1"/>
  <c r="W243" i="1"/>
  <c r="X243" i="1"/>
  <c r="Y243" i="1"/>
  <c r="Z243" i="1"/>
  <c r="AA243" i="1"/>
  <c r="AB243" i="1"/>
  <c r="U244" i="1"/>
  <c r="V244" i="1"/>
  <c r="W244" i="1"/>
  <c r="X244" i="1"/>
  <c r="Y244" i="1"/>
  <c r="Z244" i="1"/>
  <c r="AA244" i="1"/>
  <c r="AB244" i="1"/>
  <c r="U245" i="1"/>
  <c r="V245" i="1"/>
  <c r="W245" i="1"/>
  <c r="X245" i="1"/>
  <c r="Y245" i="1"/>
  <c r="Z245" i="1"/>
  <c r="AA245" i="1"/>
  <c r="AB245" i="1"/>
  <c r="U246" i="1"/>
  <c r="V246" i="1"/>
  <c r="W246" i="1"/>
  <c r="X246" i="1"/>
  <c r="Y246" i="1"/>
  <c r="Z246" i="1"/>
  <c r="AA246" i="1"/>
  <c r="AB246" i="1"/>
  <c r="U247" i="1"/>
  <c r="V247" i="1"/>
  <c r="W247" i="1"/>
  <c r="X247" i="1"/>
  <c r="Y247" i="1"/>
  <c r="Z247" i="1"/>
  <c r="AA247" i="1"/>
  <c r="AB247" i="1"/>
  <c r="U248" i="1"/>
  <c r="V248" i="1"/>
  <c r="W248" i="1"/>
  <c r="X248" i="1"/>
  <c r="Y248" i="1"/>
  <c r="Z248" i="1"/>
  <c r="AA248" i="1"/>
  <c r="AB248" i="1"/>
  <c r="U249" i="1"/>
  <c r="V249" i="1"/>
  <c r="W249" i="1"/>
  <c r="X249" i="1"/>
  <c r="Y249" i="1"/>
  <c r="Z249" i="1"/>
  <c r="AA249" i="1"/>
  <c r="AB249" i="1"/>
  <c r="U250" i="1"/>
  <c r="V250" i="1"/>
  <c r="W250" i="1"/>
  <c r="X250" i="1"/>
  <c r="Y250" i="1"/>
  <c r="Z250" i="1"/>
  <c r="AA250" i="1"/>
  <c r="AB250" i="1"/>
  <c r="U251" i="1"/>
  <c r="V251" i="1"/>
  <c r="W251" i="1"/>
  <c r="X251" i="1"/>
  <c r="Y251" i="1"/>
  <c r="Z251" i="1"/>
  <c r="AA251" i="1"/>
  <c r="AB251" i="1"/>
  <c r="U252" i="1"/>
  <c r="V252" i="1"/>
  <c r="W252" i="1"/>
  <c r="X252" i="1"/>
  <c r="Y252" i="1"/>
  <c r="Z252" i="1"/>
  <c r="AA252" i="1"/>
  <c r="AB252" i="1"/>
  <c r="U253" i="1"/>
  <c r="V253" i="1"/>
  <c r="W253" i="1"/>
  <c r="X253" i="1"/>
  <c r="Y253" i="1"/>
  <c r="Z253" i="1"/>
  <c r="AA253" i="1"/>
  <c r="AB253" i="1"/>
  <c r="U254" i="1"/>
  <c r="V254" i="1"/>
  <c r="W254" i="1"/>
  <c r="X254" i="1"/>
  <c r="Y254" i="1"/>
  <c r="Z254" i="1"/>
  <c r="AA254" i="1"/>
  <c r="AB254" i="1"/>
  <c r="U255" i="1"/>
  <c r="V255" i="1"/>
  <c r="W255" i="1"/>
  <c r="X255" i="1"/>
  <c r="Y255" i="1"/>
  <c r="Z255" i="1"/>
  <c r="AA255" i="1"/>
  <c r="AB255" i="1"/>
  <c r="U256" i="1"/>
  <c r="V256" i="1"/>
  <c r="W256" i="1"/>
  <c r="X256" i="1"/>
  <c r="Y256" i="1"/>
  <c r="Z256" i="1"/>
  <c r="AA256" i="1"/>
  <c r="AB256" i="1"/>
  <c r="U257" i="1"/>
  <c r="V257" i="1"/>
  <c r="W257" i="1"/>
  <c r="X257" i="1"/>
  <c r="Y257" i="1"/>
  <c r="Z257" i="1"/>
  <c r="AA257" i="1"/>
  <c r="AB257" i="1"/>
  <c r="U258" i="1"/>
  <c r="V258" i="1"/>
  <c r="W258" i="1"/>
  <c r="X258" i="1"/>
  <c r="Y258" i="1"/>
  <c r="Z258" i="1"/>
  <c r="AA258" i="1"/>
  <c r="AB258" i="1"/>
  <c r="U259" i="1"/>
  <c r="V259" i="1"/>
  <c r="W259" i="1"/>
  <c r="X259" i="1"/>
  <c r="Y259" i="1"/>
  <c r="Z259" i="1"/>
  <c r="AA259" i="1"/>
  <c r="AB259" i="1"/>
  <c r="U260" i="1"/>
  <c r="V260" i="1"/>
  <c r="W260" i="1"/>
  <c r="X260" i="1"/>
  <c r="Y260" i="1"/>
  <c r="Z260" i="1"/>
  <c r="AA260" i="1"/>
  <c r="AB260" i="1"/>
  <c r="U261" i="1"/>
  <c r="V261" i="1"/>
  <c r="W261" i="1"/>
  <c r="X261" i="1"/>
  <c r="Y261" i="1"/>
  <c r="Z261" i="1"/>
  <c r="AA261" i="1"/>
  <c r="AB261" i="1"/>
  <c r="U262" i="1"/>
  <c r="V262" i="1"/>
  <c r="W262" i="1"/>
  <c r="X262" i="1"/>
  <c r="Y262" i="1"/>
  <c r="Z262" i="1"/>
  <c r="AA262" i="1"/>
  <c r="AB262" i="1"/>
  <c r="U263" i="1"/>
  <c r="V263" i="1"/>
  <c r="W263" i="1"/>
  <c r="X263" i="1"/>
  <c r="Y263" i="1"/>
  <c r="Z263" i="1"/>
  <c r="AA263" i="1"/>
  <c r="AB263" i="1"/>
  <c r="U264" i="1"/>
  <c r="V264" i="1"/>
  <c r="W264" i="1"/>
  <c r="X264" i="1"/>
  <c r="Y264" i="1"/>
  <c r="Z264" i="1"/>
  <c r="AA264" i="1"/>
  <c r="AB264" i="1"/>
  <c r="U265" i="1"/>
  <c r="V265" i="1"/>
  <c r="W265" i="1"/>
  <c r="X265" i="1"/>
  <c r="Y265" i="1"/>
  <c r="Z265" i="1"/>
  <c r="AA265" i="1"/>
  <c r="AB265" i="1"/>
  <c r="U266" i="1"/>
  <c r="V266" i="1"/>
  <c r="W266" i="1"/>
  <c r="X266" i="1"/>
  <c r="Y266" i="1"/>
  <c r="Z266" i="1"/>
  <c r="AA266" i="1"/>
  <c r="AB266" i="1"/>
  <c r="U267" i="1"/>
  <c r="V267" i="1"/>
  <c r="W267" i="1"/>
  <c r="X267" i="1"/>
  <c r="Y267" i="1"/>
  <c r="Z267" i="1"/>
  <c r="AA267" i="1"/>
  <c r="AB267" i="1"/>
  <c r="U268" i="1"/>
  <c r="V268" i="1"/>
  <c r="W268" i="1"/>
  <c r="X268" i="1"/>
  <c r="Y268" i="1"/>
  <c r="Z268" i="1"/>
  <c r="AA268" i="1"/>
  <c r="AB268" i="1"/>
  <c r="U269" i="1"/>
  <c r="V269" i="1"/>
  <c r="W269" i="1"/>
  <c r="X269" i="1"/>
  <c r="Y269" i="1"/>
  <c r="Z269" i="1"/>
  <c r="AA269" i="1"/>
  <c r="AB269" i="1"/>
  <c r="U270" i="1"/>
  <c r="V270" i="1"/>
  <c r="W270" i="1"/>
  <c r="X270" i="1"/>
  <c r="Y270" i="1"/>
  <c r="Z270" i="1"/>
  <c r="AA270" i="1"/>
  <c r="AB270" i="1"/>
  <c r="U271" i="1"/>
  <c r="V271" i="1"/>
  <c r="W271" i="1"/>
  <c r="X271" i="1"/>
  <c r="Y271" i="1"/>
  <c r="Z271" i="1"/>
  <c r="AA271" i="1"/>
  <c r="AB271" i="1"/>
  <c r="U272" i="1"/>
  <c r="V272" i="1"/>
  <c r="W272" i="1"/>
  <c r="X272" i="1"/>
  <c r="Y272" i="1"/>
  <c r="Z272" i="1"/>
  <c r="AA272" i="1"/>
  <c r="AB272" i="1"/>
  <c r="U273" i="1"/>
  <c r="V273" i="1"/>
  <c r="W273" i="1"/>
  <c r="X273" i="1"/>
  <c r="Y273" i="1"/>
  <c r="Z273" i="1"/>
  <c r="AA273" i="1"/>
  <c r="AB273" i="1"/>
  <c r="U274" i="1"/>
  <c r="V274" i="1"/>
  <c r="W274" i="1"/>
  <c r="X274" i="1"/>
  <c r="Y274" i="1"/>
  <c r="Z274" i="1"/>
  <c r="AA274" i="1"/>
  <c r="AB274" i="1"/>
  <c r="U275" i="1"/>
  <c r="V275" i="1"/>
  <c r="W275" i="1"/>
  <c r="X275" i="1"/>
  <c r="Y275" i="1"/>
  <c r="Z275" i="1"/>
  <c r="AA275" i="1"/>
  <c r="AB275" i="1"/>
  <c r="U276" i="1"/>
  <c r="V276" i="1"/>
  <c r="W276" i="1"/>
  <c r="X276" i="1"/>
  <c r="Y276" i="1"/>
  <c r="Z276" i="1"/>
  <c r="AA276" i="1"/>
  <c r="AB276" i="1"/>
  <c r="U277" i="1"/>
  <c r="V277" i="1"/>
  <c r="W277" i="1"/>
  <c r="X277" i="1"/>
  <c r="Y277" i="1"/>
  <c r="Z277" i="1"/>
  <c r="AA277" i="1"/>
  <c r="AB277" i="1"/>
  <c r="U278" i="1"/>
  <c r="V278" i="1"/>
  <c r="W278" i="1"/>
  <c r="X278" i="1"/>
  <c r="Y278" i="1"/>
  <c r="Z278" i="1"/>
  <c r="AA278" i="1"/>
  <c r="AB278" i="1"/>
  <c r="U279" i="1"/>
  <c r="V279" i="1"/>
  <c r="W279" i="1"/>
  <c r="X279" i="1"/>
  <c r="Y279" i="1"/>
  <c r="Z279" i="1"/>
  <c r="AA279" i="1"/>
  <c r="AB279" i="1"/>
  <c r="U280" i="1"/>
  <c r="V280" i="1"/>
  <c r="W280" i="1"/>
  <c r="X280" i="1"/>
  <c r="Y280" i="1"/>
  <c r="Z280" i="1"/>
  <c r="AA280" i="1"/>
  <c r="AB280" i="1"/>
  <c r="U281" i="1"/>
  <c r="V281" i="1"/>
  <c r="W281" i="1"/>
  <c r="X281" i="1"/>
  <c r="Y281" i="1"/>
  <c r="Z281" i="1"/>
  <c r="AA281" i="1"/>
  <c r="AB281" i="1"/>
  <c r="U282" i="1"/>
  <c r="V282" i="1"/>
  <c r="W282" i="1"/>
  <c r="X282" i="1"/>
  <c r="Y282" i="1"/>
  <c r="Z282" i="1"/>
  <c r="AA282" i="1"/>
  <c r="AB282" i="1"/>
  <c r="U283" i="1"/>
  <c r="V283" i="1"/>
  <c r="W283" i="1"/>
  <c r="X283" i="1"/>
  <c r="Y283" i="1"/>
  <c r="Z283" i="1"/>
  <c r="AA283" i="1"/>
  <c r="AB283" i="1"/>
  <c r="U284" i="1"/>
  <c r="V284" i="1"/>
  <c r="W284" i="1"/>
  <c r="X284" i="1"/>
  <c r="Y284" i="1"/>
  <c r="Z284" i="1"/>
  <c r="AA284" i="1"/>
  <c r="AB284" i="1"/>
  <c r="U285" i="1"/>
  <c r="V285" i="1"/>
  <c r="W285" i="1"/>
  <c r="X285" i="1"/>
  <c r="Y285" i="1"/>
  <c r="Z285" i="1"/>
  <c r="AA285" i="1"/>
  <c r="AB285" i="1"/>
  <c r="U286" i="1"/>
  <c r="V286" i="1"/>
  <c r="W286" i="1"/>
  <c r="X286" i="1"/>
  <c r="Y286" i="1"/>
  <c r="Z286" i="1"/>
  <c r="AA286" i="1"/>
  <c r="AB286" i="1"/>
  <c r="U287" i="1"/>
  <c r="V287" i="1"/>
  <c r="W287" i="1"/>
  <c r="X287" i="1"/>
  <c r="Y287" i="1"/>
  <c r="Z287" i="1"/>
  <c r="AA287" i="1"/>
  <c r="AB287" i="1"/>
  <c r="U288" i="1"/>
  <c r="V288" i="1"/>
  <c r="W288" i="1"/>
  <c r="X288" i="1"/>
  <c r="Y288" i="1"/>
  <c r="Z288" i="1"/>
  <c r="AA288" i="1"/>
  <c r="AB288" i="1"/>
  <c r="U289" i="1"/>
  <c r="V289" i="1"/>
  <c r="W289" i="1"/>
  <c r="X289" i="1"/>
  <c r="Y289" i="1"/>
  <c r="Z289" i="1"/>
  <c r="AA289" i="1"/>
  <c r="AB289" i="1"/>
  <c r="U290" i="1"/>
  <c r="V290" i="1"/>
  <c r="W290" i="1"/>
  <c r="X290" i="1"/>
  <c r="Y290" i="1"/>
  <c r="Z290" i="1"/>
  <c r="AA290" i="1"/>
  <c r="AB290" i="1"/>
  <c r="U291" i="1"/>
  <c r="V291" i="1"/>
  <c r="W291" i="1"/>
  <c r="X291" i="1"/>
  <c r="Y291" i="1"/>
  <c r="Z291" i="1"/>
  <c r="AA291" i="1"/>
  <c r="AB291" i="1"/>
  <c r="U292" i="1"/>
  <c r="V292" i="1"/>
  <c r="W292" i="1"/>
  <c r="X292" i="1"/>
  <c r="Y292" i="1"/>
  <c r="Z292" i="1"/>
  <c r="AA292" i="1"/>
  <c r="AB292" i="1"/>
  <c r="U293" i="1"/>
  <c r="V293" i="1"/>
  <c r="W293" i="1"/>
  <c r="X293" i="1"/>
  <c r="Y293" i="1"/>
  <c r="Z293" i="1"/>
  <c r="AA293" i="1"/>
  <c r="AB293" i="1"/>
  <c r="U294" i="1"/>
  <c r="V294" i="1"/>
  <c r="W294" i="1"/>
  <c r="X294" i="1"/>
  <c r="Y294" i="1"/>
  <c r="Z294" i="1"/>
  <c r="AA294" i="1"/>
  <c r="AB294" i="1"/>
  <c r="U295" i="1"/>
  <c r="V295" i="1"/>
  <c r="W295" i="1"/>
  <c r="X295" i="1"/>
  <c r="Y295" i="1"/>
  <c r="Z295" i="1"/>
  <c r="AA295" i="1"/>
  <c r="AB295" i="1"/>
  <c r="U296" i="1"/>
  <c r="V296" i="1"/>
  <c r="W296" i="1"/>
  <c r="X296" i="1"/>
  <c r="Y296" i="1"/>
  <c r="Z296" i="1"/>
  <c r="AA296" i="1"/>
  <c r="AB296" i="1"/>
  <c r="U297" i="1"/>
  <c r="V297" i="1"/>
  <c r="W297" i="1"/>
  <c r="X297" i="1"/>
  <c r="Y297" i="1"/>
  <c r="Z297" i="1"/>
  <c r="AA297" i="1"/>
  <c r="AB297" i="1"/>
  <c r="U298" i="1"/>
  <c r="V298" i="1"/>
  <c r="W298" i="1"/>
  <c r="X298" i="1"/>
  <c r="Y298" i="1"/>
  <c r="Z298" i="1"/>
  <c r="AA298" i="1"/>
  <c r="AB298" i="1"/>
  <c r="U299" i="1"/>
  <c r="V299" i="1"/>
  <c r="W299" i="1"/>
  <c r="X299" i="1"/>
  <c r="Y299" i="1"/>
  <c r="Z299" i="1"/>
  <c r="AA299" i="1"/>
  <c r="AB299" i="1"/>
  <c r="U300" i="1"/>
  <c r="V300" i="1"/>
  <c r="W300" i="1"/>
  <c r="X300" i="1"/>
  <c r="Y300" i="1"/>
  <c r="Z300" i="1"/>
  <c r="AA300" i="1"/>
  <c r="AB300" i="1"/>
  <c r="U301" i="1"/>
  <c r="V301" i="1"/>
  <c r="W301" i="1"/>
  <c r="X301" i="1"/>
  <c r="Y301" i="1"/>
  <c r="Z301" i="1"/>
  <c r="AA301" i="1"/>
  <c r="AB301" i="1"/>
  <c r="U302" i="1"/>
  <c r="V302" i="1"/>
  <c r="W302" i="1"/>
  <c r="X302" i="1"/>
  <c r="Y302" i="1"/>
  <c r="Z302" i="1"/>
  <c r="AA302" i="1"/>
  <c r="AB302" i="1"/>
  <c r="U303" i="1"/>
  <c r="V303" i="1"/>
  <c r="W303" i="1"/>
  <c r="X303" i="1"/>
  <c r="Y303" i="1"/>
  <c r="Z303" i="1"/>
  <c r="AA303" i="1"/>
  <c r="AB303" i="1"/>
  <c r="U304" i="1"/>
  <c r="V304" i="1"/>
  <c r="W304" i="1"/>
  <c r="X304" i="1"/>
  <c r="Y304" i="1"/>
  <c r="Z304" i="1"/>
  <c r="AA304" i="1"/>
  <c r="AB304" i="1"/>
  <c r="U305" i="1"/>
  <c r="V305" i="1"/>
  <c r="W305" i="1"/>
  <c r="X305" i="1"/>
  <c r="Y305" i="1"/>
  <c r="Z305" i="1"/>
  <c r="AA305" i="1"/>
  <c r="AB305" i="1"/>
  <c r="U306" i="1"/>
  <c r="V306" i="1"/>
  <c r="W306" i="1"/>
  <c r="X306" i="1"/>
  <c r="Y306" i="1"/>
  <c r="Z306" i="1"/>
  <c r="AA306" i="1"/>
  <c r="AB306" i="1"/>
  <c r="U307" i="1"/>
  <c r="V307" i="1"/>
  <c r="W307" i="1"/>
  <c r="X307" i="1"/>
  <c r="Y307" i="1"/>
  <c r="Z307" i="1"/>
  <c r="AA307" i="1"/>
  <c r="AB307" i="1"/>
  <c r="U308" i="1"/>
  <c r="V308" i="1"/>
  <c r="W308" i="1"/>
  <c r="X308" i="1"/>
  <c r="Y308" i="1"/>
  <c r="Z308" i="1"/>
  <c r="AA308" i="1"/>
  <c r="AB308" i="1"/>
  <c r="U309" i="1"/>
  <c r="V309" i="1"/>
  <c r="W309" i="1"/>
  <c r="X309" i="1"/>
  <c r="Y309" i="1"/>
  <c r="Z309" i="1"/>
  <c r="AA309" i="1"/>
  <c r="AB309" i="1"/>
  <c r="U310" i="1"/>
  <c r="V310" i="1"/>
  <c r="W310" i="1"/>
  <c r="X310" i="1"/>
  <c r="Y310" i="1"/>
  <c r="Z310" i="1"/>
  <c r="AA310" i="1"/>
  <c r="AB310" i="1"/>
  <c r="U311" i="1"/>
  <c r="V311" i="1"/>
  <c r="W311" i="1"/>
  <c r="X311" i="1"/>
  <c r="Y311" i="1"/>
  <c r="Z311" i="1"/>
  <c r="AA311" i="1"/>
  <c r="AB311" i="1"/>
  <c r="U312" i="1"/>
  <c r="V312" i="1"/>
  <c r="W312" i="1"/>
  <c r="X312" i="1"/>
  <c r="Y312" i="1"/>
  <c r="Z312" i="1"/>
  <c r="AA312" i="1"/>
  <c r="AB312" i="1"/>
  <c r="U313" i="1"/>
  <c r="V313" i="1"/>
  <c r="W313" i="1"/>
  <c r="X313" i="1"/>
  <c r="Y313" i="1"/>
  <c r="Z313" i="1"/>
  <c r="AA313" i="1"/>
  <c r="AB313" i="1"/>
  <c r="U314" i="1"/>
  <c r="V314" i="1"/>
  <c r="W314" i="1"/>
  <c r="X314" i="1"/>
  <c r="Y314" i="1"/>
  <c r="Z314" i="1"/>
  <c r="AA314" i="1"/>
  <c r="AB314" i="1"/>
  <c r="U315" i="1"/>
  <c r="V315" i="1"/>
  <c r="W315" i="1"/>
  <c r="X315" i="1"/>
  <c r="Y315" i="1"/>
  <c r="Z315" i="1"/>
  <c r="AA315" i="1"/>
  <c r="AB315" i="1"/>
  <c r="U316" i="1"/>
  <c r="V316" i="1"/>
  <c r="W316" i="1"/>
  <c r="X316" i="1"/>
  <c r="Y316" i="1"/>
  <c r="Z316" i="1"/>
  <c r="AA316" i="1"/>
  <c r="AB316" i="1"/>
  <c r="U317" i="1"/>
  <c r="V317" i="1"/>
  <c r="W317" i="1"/>
  <c r="X317" i="1"/>
  <c r="Y317" i="1"/>
  <c r="Z317" i="1"/>
  <c r="AA317" i="1"/>
  <c r="AB317" i="1"/>
  <c r="U318" i="1"/>
  <c r="V318" i="1"/>
  <c r="W318" i="1"/>
  <c r="X318" i="1"/>
  <c r="Y318" i="1"/>
  <c r="Z318" i="1"/>
  <c r="AA318" i="1"/>
  <c r="AB318" i="1"/>
  <c r="U319" i="1"/>
  <c r="V319" i="1"/>
  <c r="W319" i="1"/>
  <c r="X319" i="1"/>
  <c r="Y319" i="1"/>
  <c r="Z319" i="1"/>
  <c r="AA319" i="1"/>
  <c r="AB319" i="1"/>
  <c r="U320" i="1"/>
  <c r="V320" i="1"/>
  <c r="W320" i="1"/>
  <c r="X320" i="1"/>
  <c r="Y320" i="1"/>
  <c r="Z320" i="1"/>
  <c r="AA320" i="1"/>
  <c r="AB320" i="1"/>
  <c r="U321" i="1"/>
  <c r="V321" i="1"/>
  <c r="W321" i="1"/>
  <c r="X321" i="1"/>
  <c r="Y321" i="1"/>
  <c r="Z321" i="1"/>
  <c r="AA321" i="1"/>
  <c r="AB321" i="1"/>
  <c r="U322" i="1"/>
  <c r="V322" i="1"/>
  <c r="W322" i="1"/>
  <c r="X322" i="1"/>
  <c r="Y322" i="1"/>
  <c r="Z322" i="1"/>
  <c r="AA322" i="1"/>
  <c r="AB322" i="1"/>
  <c r="U323" i="1"/>
  <c r="V323" i="1"/>
  <c r="W323" i="1"/>
  <c r="X323" i="1"/>
  <c r="Y323" i="1"/>
  <c r="Z323" i="1"/>
  <c r="AA323" i="1"/>
  <c r="AB323" i="1"/>
  <c r="U324" i="1"/>
  <c r="V324" i="1"/>
  <c r="W324" i="1"/>
  <c r="X324" i="1"/>
  <c r="Y324" i="1"/>
  <c r="Z324" i="1"/>
  <c r="AA324" i="1"/>
  <c r="AB324" i="1"/>
  <c r="U325" i="1"/>
  <c r="V325" i="1"/>
  <c r="W325" i="1"/>
  <c r="X325" i="1"/>
  <c r="Y325" i="1"/>
  <c r="Z325" i="1"/>
  <c r="AA325" i="1"/>
  <c r="AB325" i="1"/>
  <c r="U326" i="1"/>
  <c r="V326" i="1"/>
  <c r="W326" i="1"/>
  <c r="X326" i="1"/>
  <c r="Y326" i="1"/>
  <c r="Z326" i="1"/>
  <c r="AA326" i="1"/>
  <c r="AB326" i="1"/>
  <c r="U327" i="1"/>
  <c r="V327" i="1"/>
  <c r="W327" i="1"/>
  <c r="X327" i="1"/>
  <c r="Y327" i="1"/>
  <c r="Z327" i="1"/>
  <c r="AA327" i="1"/>
  <c r="AB327" i="1"/>
  <c r="U328" i="1"/>
  <c r="V328" i="1"/>
  <c r="W328" i="1"/>
  <c r="X328" i="1"/>
  <c r="Y328" i="1"/>
  <c r="Z328" i="1"/>
  <c r="AA328" i="1"/>
  <c r="AB328" i="1"/>
  <c r="U329" i="1"/>
  <c r="V329" i="1"/>
  <c r="W329" i="1"/>
  <c r="X329" i="1"/>
  <c r="Y329" i="1"/>
  <c r="Z329" i="1"/>
  <c r="AA329" i="1"/>
  <c r="AB329" i="1"/>
  <c r="U330" i="1"/>
  <c r="V330" i="1"/>
  <c r="W330" i="1"/>
  <c r="X330" i="1"/>
  <c r="Y330" i="1"/>
  <c r="Z330" i="1"/>
  <c r="AA330" i="1"/>
  <c r="AB330" i="1"/>
  <c r="U331" i="1"/>
  <c r="V331" i="1"/>
  <c r="W331" i="1"/>
  <c r="X331" i="1"/>
  <c r="Y331" i="1"/>
  <c r="Z331" i="1"/>
  <c r="AA331" i="1"/>
  <c r="AB331" i="1"/>
  <c r="U332" i="1"/>
  <c r="V332" i="1"/>
  <c r="W332" i="1"/>
  <c r="X332" i="1"/>
  <c r="Y332" i="1"/>
  <c r="Z332" i="1"/>
  <c r="AA332" i="1"/>
  <c r="AB332" i="1"/>
  <c r="U333" i="1"/>
  <c r="V333" i="1"/>
  <c r="W333" i="1"/>
  <c r="X333" i="1"/>
  <c r="Y333" i="1"/>
  <c r="Z333" i="1"/>
  <c r="AA333" i="1"/>
  <c r="AB333" i="1"/>
  <c r="U334" i="1"/>
  <c r="V334" i="1"/>
  <c r="W334" i="1"/>
  <c r="X334" i="1"/>
  <c r="Y334" i="1"/>
  <c r="Z334" i="1"/>
  <c r="AA334" i="1"/>
  <c r="AB334" i="1"/>
  <c r="U335" i="1"/>
  <c r="V335" i="1"/>
  <c r="W335" i="1"/>
  <c r="X335" i="1"/>
  <c r="Y335" i="1"/>
  <c r="Z335" i="1"/>
  <c r="AA335" i="1"/>
  <c r="AB335" i="1"/>
  <c r="U336" i="1"/>
  <c r="V336" i="1"/>
  <c r="W336" i="1"/>
  <c r="X336" i="1"/>
  <c r="Y336" i="1"/>
  <c r="Z336" i="1"/>
  <c r="AA336" i="1"/>
  <c r="AB336" i="1"/>
  <c r="U337" i="1"/>
  <c r="V337" i="1"/>
  <c r="W337" i="1"/>
  <c r="X337" i="1"/>
  <c r="Y337" i="1"/>
  <c r="Z337" i="1"/>
  <c r="AA337" i="1"/>
  <c r="AB337" i="1"/>
  <c r="U338" i="1"/>
  <c r="V338" i="1"/>
  <c r="W338" i="1"/>
  <c r="X338" i="1"/>
  <c r="Y338" i="1"/>
  <c r="Z338" i="1"/>
  <c r="AA338" i="1"/>
  <c r="AB338" i="1"/>
  <c r="U339" i="1"/>
  <c r="V339" i="1"/>
  <c r="W339" i="1"/>
  <c r="X339" i="1"/>
  <c r="Y339" i="1"/>
  <c r="Z339" i="1"/>
  <c r="AA339" i="1"/>
  <c r="AB339" i="1"/>
  <c r="U340" i="1"/>
  <c r="V340" i="1"/>
  <c r="W340" i="1"/>
  <c r="X340" i="1"/>
  <c r="Y340" i="1"/>
  <c r="Z340" i="1"/>
  <c r="AA340" i="1"/>
  <c r="AB340" i="1"/>
  <c r="U341" i="1"/>
  <c r="V341" i="1"/>
  <c r="W341" i="1"/>
  <c r="X341" i="1"/>
  <c r="Y341" i="1"/>
  <c r="Z341" i="1"/>
  <c r="AA341" i="1"/>
  <c r="AB341" i="1"/>
  <c r="U342" i="1"/>
  <c r="V342" i="1"/>
  <c r="W342" i="1"/>
  <c r="X342" i="1"/>
  <c r="Y342" i="1"/>
  <c r="Z342" i="1"/>
  <c r="AA342" i="1"/>
  <c r="AB342" i="1"/>
  <c r="U343" i="1"/>
  <c r="V343" i="1"/>
  <c r="W343" i="1"/>
  <c r="X343" i="1"/>
  <c r="Y343" i="1"/>
  <c r="Z343" i="1"/>
  <c r="AA343" i="1"/>
  <c r="AB343" i="1"/>
  <c r="U344" i="1"/>
  <c r="V344" i="1"/>
  <c r="W344" i="1"/>
  <c r="X344" i="1"/>
  <c r="Y344" i="1"/>
  <c r="Z344" i="1"/>
  <c r="AA344" i="1"/>
  <c r="AB344" i="1"/>
  <c r="U345" i="1"/>
  <c r="V345" i="1"/>
  <c r="W345" i="1"/>
  <c r="X345" i="1"/>
  <c r="Y345" i="1"/>
  <c r="Z345" i="1"/>
  <c r="AA345" i="1"/>
  <c r="AB345" i="1"/>
  <c r="U346" i="1"/>
  <c r="V346" i="1"/>
  <c r="W346" i="1"/>
  <c r="X346" i="1"/>
  <c r="Y346" i="1"/>
  <c r="Z346" i="1"/>
  <c r="AA346" i="1"/>
  <c r="AB346" i="1"/>
  <c r="U347" i="1"/>
  <c r="V347" i="1"/>
  <c r="W347" i="1"/>
  <c r="X347" i="1"/>
  <c r="Y347" i="1"/>
  <c r="Z347" i="1"/>
  <c r="AA347" i="1"/>
  <c r="AB347" i="1"/>
  <c r="U348" i="1"/>
  <c r="V348" i="1"/>
  <c r="W348" i="1"/>
  <c r="X348" i="1"/>
  <c r="Y348" i="1"/>
  <c r="Z348" i="1"/>
  <c r="AA348" i="1"/>
  <c r="AB348" i="1"/>
  <c r="U349" i="1"/>
  <c r="V349" i="1"/>
  <c r="W349" i="1"/>
  <c r="X349" i="1"/>
  <c r="Y349" i="1"/>
  <c r="Z349" i="1"/>
  <c r="AA349" i="1"/>
  <c r="AB349" i="1"/>
  <c r="U350" i="1"/>
  <c r="V350" i="1"/>
  <c r="W350" i="1"/>
  <c r="X350" i="1"/>
  <c r="Y350" i="1"/>
  <c r="Z350" i="1"/>
  <c r="AA350" i="1"/>
  <c r="AB350" i="1"/>
  <c r="U351" i="1"/>
  <c r="V351" i="1"/>
  <c r="W351" i="1"/>
  <c r="X351" i="1"/>
  <c r="Y351" i="1"/>
  <c r="Z351" i="1"/>
  <c r="AA351" i="1"/>
  <c r="AB351" i="1"/>
  <c r="U352" i="1"/>
  <c r="V352" i="1"/>
  <c r="W352" i="1"/>
  <c r="X352" i="1"/>
  <c r="Y352" i="1"/>
  <c r="Z352" i="1"/>
  <c r="AA352" i="1"/>
  <c r="AB352" i="1"/>
  <c r="U353" i="1"/>
  <c r="V353" i="1"/>
  <c r="W353" i="1"/>
  <c r="X353" i="1"/>
  <c r="Y353" i="1"/>
  <c r="Z353" i="1"/>
  <c r="AA353" i="1"/>
  <c r="AB353" i="1"/>
  <c r="U354" i="1"/>
  <c r="V354" i="1"/>
  <c r="W354" i="1"/>
  <c r="X354" i="1"/>
  <c r="Y354" i="1"/>
  <c r="Z354" i="1"/>
  <c r="AA354" i="1"/>
  <c r="AB354" i="1"/>
  <c r="U355" i="1"/>
  <c r="V355" i="1"/>
  <c r="W355" i="1"/>
  <c r="X355" i="1"/>
  <c r="Y355" i="1"/>
  <c r="Z355" i="1"/>
  <c r="AA355" i="1"/>
  <c r="AB355" i="1"/>
  <c r="U356" i="1"/>
  <c r="V356" i="1"/>
  <c r="W356" i="1"/>
  <c r="X356" i="1"/>
  <c r="Y356" i="1"/>
  <c r="Z356" i="1"/>
  <c r="AA356" i="1"/>
  <c r="AB356" i="1"/>
  <c r="U357" i="1"/>
  <c r="V357" i="1"/>
  <c r="W357" i="1"/>
  <c r="X357" i="1"/>
  <c r="Y357" i="1"/>
  <c r="Z357" i="1"/>
  <c r="AA357" i="1"/>
  <c r="AB357" i="1"/>
  <c r="U358" i="1"/>
  <c r="V358" i="1"/>
  <c r="W358" i="1"/>
  <c r="X358" i="1"/>
  <c r="Y358" i="1"/>
  <c r="Z358" i="1"/>
  <c r="AA358" i="1"/>
  <c r="AB358" i="1"/>
  <c r="U359" i="1"/>
  <c r="V359" i="1"/>
  <c r="W359" i="1"/>
  <c r="X359" i="1"/>
  <c r="Y359" i="1"/>
  <c r="Z359" i="1"/>
  <c r="AA359" i="1"/>
  <c r="AB359" i="1"/>
  <c r="U360" i="1"/>
  <c r="V360" i="1"/>
  <c r="W360" i="1"/>
  <c r="X360" i="1"/>
  <c r="Y360" i="1"/>
  <c r="Z360" i="1"/>
  <c r="AA360" i="1"/>
  <c r="AB360" i="1"/>
  <c r="U361" i="1"/>
  <c r="V361" i="1"/>
  <c r="W361" i="1"/>
  <c r="X361" i="1"/>
  <c r="Y361" i="1"/>
  <c r="Z361" i="1"/>
  <c r="AA361" i="1"/>
  <c r="AB361" i="1"/>
  <c r="U362" i="1"/>
  <c r="V362" i="1"/>
  <c r="W362" i="1"/>
  <c r="X362" i="1"/>
  <c r="Y362" i="1"/>
  <c r="Z362" i="1"/>
  <c r="AA362" i="1"/>
  <c r="AB362" i="1"/>
  <c r="U363" i="1"/>
  <c r="V363" i="1"/>
  <c r="W363" i="1"/>
  <c r="X363" i="1"/>
  <c r="Y363" i="1"/>
  <c r="Z363" i="1"/>
  <c r="AA363" i="1"/>
  <c r="AB363" i="1"/>
  <c r="U364" i="1"/>
  <c r="V364" i="1"/>
  <c r="W364" i="1"/>
  <c r="X364" i="1"/>
  <c r="Y364" i="1"/>
  <c r="Z364" i="1"/>
  <c r="AA364" i="1"/>
  <c r="AB364" i="1"/>
  <c r="U365" i="1"/>
  <c r="V365" i="1"/>
  <c r="W365" i="1"/>
  <c r="X365" i="1"/>
  <c r="Y365" i="1"/>
  <c r="Z365" i="1"/>
  <c r="AA365" i="1"/>
  <c r="AB365" i="1"/>
  <c r="U366" i="1"/>
  <c r="V366" i="1"/>
  <c r="W366" i="1"/>
  <c r="X366" i="1"/>
  <c r="Y366" i="1"/>
  <c r="Z366" i="1"/>
  <c r="AA366" i="1"/>
  <c r="AB366" i="1"/>
  <c r="U367" i="1"/>
  <c r="V367" i="1"/>
  <c r="W367" i="1"/>
  <c r="X367" i="1"/>
  <c r="Y367" i="1"/>
  <c r="Z367" i="1"/>
  <c r="AA367" i="1"/>
  <c r="AB367" i="1"/>
  <c r="U368" i="1"/>
  <c r="V368" i="1"/>
  <c r="W368" i="1"/>
  <c r="X368" i="1"/>
  <c r="Y368" i="1"/>
  <c r="Z368" i="1"/>
  <c r="AA368" i="1"/>
  <c r="AB368" i="1"/>
  <c r="U369" i="1"/>
  <c r="V369" i="1"/>
  <c r="W369" i="1"/>
  <c r="X369" i="1"/>
  <c r="Y369" i="1"/>
  <c r="Z369" i="1"/>
  <c r="AA369" i="1"/>
  <c r="AB369" i="1"/>
  <c r="U370" i="1"/>
  <c r="V370" i="1"/>
  <c r="W370" i="1"/>
  <c r="X370" i="1"/>
  <c r="Y370" i="1"/>
  <c r="Z370" i="1"/>
  <c r="AA370" i="1"/>
  <c r="AB370" i="1"/>
  <c r="U371" i="1"/>
  <c r="V371" i="1"/>
  <c r="W371" i="1"/>
  <c r="X371" i="1"/>
  <c r="Y371" i="1"/>
  <c r="Z371" i="1"/>
  <c r="AA371" i="1"/>
  <c r="AB371" i="1"/>
  <c r="U372" i="1"/>
  <c r="V372" i="1"/>
  <c r="W372" i="1"/>
  <c r="X372" i="1"/>
  <c r="Y372" i="1"/>
  <c r="Z372" i="1"/>
  <c r="AA372" i="1"/>
  <c r="AB372" i="1"/>
  <c r="U373" i="1"/>
  <c r="V373" i="1"/>
  <c r="W373" i="1"/>
  <c r="X373" i="1"/>
  <c r="Y373" i="1"/>
  <c r="Z373" i="1"/>
  <c r="AA373" i="1"/>
  <c r="AB373" i="1"/>
  <c r="U374" i="1"/>
  <c r="V374" i="1"/>
  <c r="W374" i="1"/>
  <c r="X374" i="1"/>
  <c r="Y374" i="1"/>
  <c r="Z374" i="1"/>
  <c r="AA374" i="1"/>
  <c r="AB374" i="1"/>
  <c r="U375" i="1"/>
  <c r="V375" i="1"/>
  <c r="W375" i="1"/>
  <c r="X375" i="1"/>
  <c r="Y375" i="1"/>
  <c r="Z375" i="1"/>
  <c r="AA375" i="1"/>
  <c r="AB375" i="1"/>
  <c r="U376" i="1"/>
  <c r="V376" i="1"/>
  <c r="W376" i="1"/>
  <c r="X376" i="1"/>
  <c r="Y376" i="1"/>
  <c r="Z376" i="1"/>
  <c r="AA376" i="1"/>
  <c r="AB376" i="1"/>
  <c r="U377" i="1"/>
  <c r="V377" i="1"/>
  <c r="W377" i="1"/>
  <c r="X377" i="1"/>
  <c r="Y377" i="1"/>
  <c r="Z377" i="1"/>
  <c r="AA377" i="1"/>
  <c r="AB377" i="1"/>
  <c r="U378" i="1"/>
  <c r="V378" i="1"/>
  <c r="W378" i="1"/>
  <c r="X378" i="1"/>
  <c r="Y378" i="1"/>
  <c r="Z378" i="1"/>
  <c r="AA378" i="1"/>
  <c r="AB378" i="1"/>
  <c r="U379" i="1"/>
  <c r="V379" i="1"/>
  <c r="W379" i="1"/>
  <c r="X379" i="1"/>
  <c r="Y379" i="1"/>
  <c r="Z379" i="1"/>
  <c r="AA379" i="1"/>
  <c r="AB379" i="1"/>
  <c r="U380" i="1"/>
  <c r="V380" i="1"/>
  <c r="W380" i="1"/>
  <c r="X380" i="1"/>
  <c r="Y380" i="1"/>
  <c r="Z380" i="1"/>
  <c r="AA380" i="1"/>
  <c r="AB380" i="1"/>
  <c r="U381" i="1"/>
  <c r="V381" i="1"/>
  <c r="W381" i="1"/>
  <c r="X381" i="1"/>
  <c r="Y381" i="1"/>
  <c r="Z381" i="1"/>
  <c r="AA381" i="1"/>
  <c r="AB381" i="1"/>
  <c r="U382" i="1"/>
  <c r="V382" i="1"/>
  <c r="W382" i="1"/>
  <c r="X382" i="1"/>
  <c r="Y382" i="1"/>
  <c r="Z382" i="1"/>
  <c r="AA382" i="1"/>
  <c r="AB382" i="1"/>
  <c r="U383" i="1"/>
  <c r="V383" i="1"/>
  <c r="W383" i="1"/>
  <c r="X383" i="1"/>
  <c r="Y383" i="1"/>
  <c r="Z383" i="1"/>
  <c r="AA383" i="1"/>
  <c r="AB383" i="1"/>
  <c r="U384" i="1"/>
  <c r="V384" i="1"/>
  <c r="W384" i="1"/>
  <c r="X384" i="1"/>
  <c r="Y384" i="1"/>
  <c r="Z384" i="1"/>
  <c r="AA384" i="1"/>
  <c r="AB384" i="1"/>
  <c r="U385" i="1"/>
  <c r="V385" i="1"/>
  <c r="W385" i="1"/>
  <c r="X385" i="1"/>
  <c r="Y385" i="1"/>
  <c r="Z385" i="1"/>
  <c r="AA385" i="1"/>
  <c r="AB385" i="1"/>
  <c r="U386" i="1"/>
  <c r="V386" i="1"/>
  <c r="W386" i="1"/>
  <c r="X386" i="1"/>
  <c r="Y386" i="1"/>
  <c r="Z386" i="1"/>
  <c r="AA386" i="1"/>
  <c r="AB386" i="1"/>
  <c r="U387" i="1"/>
  <c r="V387" i="1"/>
  <c r="W387" i="1"/>
  <c r="X387" i="1"/>
  <c r="Y387" i="1"/>
  <c r="Z387" i="1"/>
  <c r="AA387" i="1"/>
  <c r="AB387" i="1"/>
  <c r="U388" i="1"/>
  <c r="V388" i="1"/>
  <c r="W388" i="1"/>
  <c r="X388" i="1"/>
  <c r="Y388" i="1"/>
  <c r="Z388" i="1"/>
  <c r="AA388" i="1"/>
  <c r="AB388" i="1"/>
  <c r="U389" i="1"/>
  <c r="V389" i="1"/>
  <c r="W389" i="1"/>
  <c r="X389" i="1"/>
  <c r="Y389" i="1"/>
  <c r="Z389" i="1"/>
  <c r="AA389" i="1"/>
  <c r="AB389" i="1"/>
  <c r="U390" i="1"/>
  <c r="V390" i="1"/>
  <c r="W390" i="1"/>
  <c r="X390" i="1"/>
  <c r="Y390" i="1"/>
  <c r="Z390" i="1"/>
  <c r="AA390" i="1"/>
  <c r="AB390" i="1"/>
  <c r="U391" i="1"/>
  <c r="V391" i="1"/>
  <c r="W391" i="1"/>
  <c r="X391" i="1"/>
  <c r="Y391" i="1"/>
  <c r="Z391" i="1"/>
  <c r="AA391" i="1"/>
  <c r="AB391" i="1"/>
  <c r="U392" i="1"/>
  <c r="V392" i="1"/>
  <c r="W392" i="1"/>
  <c r="X392" i="1"/>
  <c r="Y392" i="1"/>
  <c r="Z392" i="1"/>
  <c r="AA392" i="1"/>
  <c r="AB392" i="1"/>
  <c r="U393" i="1"/>
  <c r="V393" i="1"/>
  <c r="W393" i="1"/>
  <c r="X393" i="1"/>
  <c r="Y393" i="1"/>
  <c r="Z393" i="1"/>
  <c r="AA393" i="1"/>
  <c r="AB393" i="1"/>
  <c r="U394" i="1"/>
  <c r="V394" i="1"/>
  <c r="W394" i="1"/>
  <c r="X394" i="1"/>
  <c r="Y394" i="1"/>
  <c r="Z394" i="1"/>
  <c r="AA394" i="1"/>
  <c r="AB394" i="1"/>
  <c r="U395" i="1"/>
  <c r="V395" i="1"/>
  <c r="W395" i="1"/>
  <c r="X395" i="1"/>
  <c r="Y395" i="1"/>
  <c r="Z395" i="1"/>
  <c r="AA395" i="1"/>
  <c r="AB395" i="1"/>
  <c r="U396" i="1"/>
  <c r="V396" i="1"/>
  <c r="W396" i="1"/>
  <c r="X396" i="1"/>
  <c r="Y396" i="1"/>
  <c r="Z396" i="1"/>
  <c r="AA396" i="1"/>
  <c r="AB396" i="1"/>
  <c r="U397" i="1"/>
  <c r="V397" i="1"/>
  <c r="W397" i="1"/>
  <c r="X397" i="1"/>
  <c r="Y397" i="1"/>
  <c r="Z397" i="1"/>
  <c r="AA397" i="1"/>
  <c r="AB397" i="1"/>
  <c r="U398" i="1"/>
  <c r="V398" i="1"/>
  <c r="W398" i="1"/>
  <c r="X398" i="1"/>
  <c r="Y398" i="1"/>
  <c r="Z398" i="1"/>
  <c r="AA398" i="1"/>
  <c r="AB398" i="1"/>
  <c r="U399" i="1"/>
  <c r="V399" i="1"/>
  <c r="W399" i="1"/>
  <c r="X399" i="1"/>
  <c r="Y399" i="1"/>
  <c r="Z399" i="1"/>
  <c r="AA399" i="1"/>
  <c r="AB399" i="1"/>
  <c r="U400" i="1"/>
  <c r="V400" i="1"/>
  <c r="W400" i="1"/>
  <c r="X400" i="1"/>
  <c r="Y400" i="1"/>
  <c r="Z400" i="1"/>
  <c r="AA400" i="1"/>
  <c r="AB400" i="1"/>
  <c r="U401" i="1"/>
  <c r="V401" i="1"/>
  <c r="W401" i="1"/>
  <c r="X401" i="1"/>
  <c r="Y401" i="1"/>
  <c r="Z401" i="1"/>
  <c r="AA401" i="1"/>
  <c r="AB401" i="1"/>
  <c r="U402" i="1"/>
  <c r="V402" i="1"/>
  <c r="W402" i="1"/>
  <c r="X402" i="1"/>
  <c r="Y402" i="1"/>
  <c r="Z402" i="1"/>
  <c r="AA402" i="1"/>
  <c r="AB402" i="1"/>
  <c r="U403" i="1"/>
  <c r="V403" i="1"/>
  <c r="W403" i="1"/>
  <c r="X403" i="1"/>
  <c r="Y403" i="1"/>
  <c r="Z403" i="1"/>
  <c r="AA403" i="1"/>
  <c r="AB403" i="1"/>
  <c r="U404" i="1"/>
  <c r="V404" i="1"/>
  <c r="W404" i="1"/>
  <c r="X404" i="1"/>
  <c r="Y404" i="1"/>
  <c r="Z404" i="1"/>
  <c r="AA404" i="1"/>
  <c r="AB404" i="1"/>
  <c r="U405" i="1"/>
  <c r="V405" i="1"/>
  <c r="W405" i="1"/>
  <c r="X405" i="1"/>
  <c r="Y405" i="1"/>
  <c r="Z405" i="1"/>
  <c r="AA405" i="1"/>
  <c r="AB405" i="1"/>
  <c r="U406" i="1"/>
  <c r="V406" i="1"/>
  <c r="W406" i="1"/>
  <c r="X406" i="1"/>
  <c r="Y406" i="1"/>
  <c r="Z406" i="1"/>
  <c r="AA406" i="1"/>
  <c r="AB406" i="1"/>
  <c r="U407" i="1"/>
  <c r="V407" i="1"/>
  <c r="W407" i="1"/>
  <c r="X407" i="1"/>
  <c r="Y407" i="1"/>
  <c r="Z407" i="1"/>
  <c r="AA407" i="1"/>
  <c r="AB407" i="1"/>
  <c r="U408" i="1"/>
  <c r="V408" i="1"/>
  <c r="W408" i="1"/>
  <c r="X408" i="1"/>
  <c r="Y408" i="1"/>
  <c r="Z408" i="1"/>
  <c r="AA408" i="1"/>
  <c r="AB408" i="1"/>
  <c r="U409" i="1"/>
  <c r="V409" i="1"/>
  <c r="W409" i="1"/>
  <c r="X409" i="1"/>
  <c r="Y409" i="1"/>
  <c r="Z409" i="1"/>
  <c r="AA409" i="1"/>
  <c r="AB409" i="1"/>
  <c r="U410" i="1"/>
  <c r="V410" i="1"/>
  <c r="W410" i="1"/>
  <c r="X410" i="1"/>
  <c r="Y410" i="1"/>
  <c r="Z410" i="1"/>
  <c r="AA410" i="1"/>
  <c r="AB410" i="1"/>
  <c r="U411" i="1"/>
  <c r="V411" i="1"/>
  <c r="W411" i="1"/>
  <c r="X411" i="1"/>
  <c r="Y411" i="1"/>
  <c r="Z411" i="1"/>
  <c r="AA411" i="1"/>
  <c r="AB411" i="1"/>
  <c r="U412" i="1"/>
  <c r="V412" i="1"/>
  <c r="W412" i="1"/>
  <c r="X412" i="1"/>
  <c r="Y412" i="1"/>
  <c r="Z412" i="1"/>
  <c r="AA412" i="1"/>
  <c r="AB412" i="1"/>
  <c r="U413" i="1"/>
  <c r="V413" i="1"/>
  <c r="W413" i="1"/>
  <c r="X413" i="1"/>
  <c r="Y413" i="1"/>
  <c r="Z413" i="1"/>
  <c r="AA413" i="1"/>
  <c r="AB413" i="1"/>
  <c r="U414" i="1"/>
  <c r="V414" i="1"/>
  <c r="W414" i="1"/>
  <c r="X414" i="1"/>
  <c r="Y414" i="1"/>
  <c r="Z414" i="1"/>
  <c r="AA414" i="1"/>
  <c r="AB414" i="1"/>
  <c r="U415" i="1"/>
  <c r="V415" i="1"/>
  <c r="W415" i="1"/>
  <c r="X415" i="1"/>
  <c r="Y415" i="1"/>
  <c r="Z415" i="1"/>
  <c r="AA415" i="1"/>
  <c r="AB415" i="1"/>
  <c r="U416" i="1"/>
  <c r="V416" i="1"/>
  <c r="W416" i="1"/>
  <c r="X416" i="1"/>
  <c r="Y416" i="1"/>
  <c r="Z416" i="1"/>
  <c r="AA416" i="1"/>
  <c r="AB416" i="1"/>
  <c r="U417" i="1"/>
  <c r="V417" i="1"/>
  <c r="W417" i="1"/>
  <c r="X417" i="1"/>
  <c r="Y417" i="1"/>
  <c r="Z417" i="1"/>
  <c r="AA417" i="1"/>
  <c r="AB417" i="1"/>
  <c r="U418" i="1"/>
  <c r="V418" i="1"/>
  <c r="W418" i="1"/>
  <c r="X418" i="1"/>
  <c r="Y418" i="1"/>
  <c r="Z418" i="1"/>
  <c r="AA418" i="1"/>
  <c r="AB418" i="1"/>
  <c r="U419" i="1"/>
  <c r="V419" i="1"/>
  <c r="W419" i="1"/>
  <c r="X419" i="1"/>
  <c r="Y419" i="1"/>
  <c r="Z419" i="1"/>
  <c r="AA419" i="1"/>
  <c r="AB419" i="1"/>
  <c r="U420" i="1"/>
  <c r="V420" i="1"/>
  <c r="W420" i="1"/>
  <c r="X420" i="1"/>
  <c r="Y420" i="1"/>
  <c r="Z420" i="1"/>
  <c r="AA420" i="1"/>
  <c r="AB420" i="1"/>
  <c r="U421" i="1"/>
  <c r="V421" i="1"/>
  <c r="W421" i="1"/>
  <c r="X421" i="1"/>
  <c r="Y421" i="1"/>
  <c r="Z421" i="1"/>
  <c r="AA421" i="1"/>
  <c r="AB421" i="1"/>
  <c r="U422" i="1"/>
  <c r="V422" i="1"/>
  <c r="W422" i="1"/>
  <c r="X422" i="1"/>
  <c r="Y422" i="1"/>
  <c r="Z422" i="1"/>
  <c r="AA422" i="1"/>
  <c r="AB422" i="1"/>
  <c r="U423" i="1"/>
  <c r="V423" i="1"/>
  <c r="W423" i="1"/>
  <c r="X423" i="1"/>
  <c r="Y423" i="1"/>
  <c r="Z423" i="1"/>
  <c r="AA423" i="1"/>
  <c r="AB423" i="1"/>
  <c r="U424" i="1"/>
  <c r="V424" i="1"/>
  <c r="W424" i="1"/>
  <c r="X424" i="1"/>
  <c r="Y424" i="1"/>
  <c r="Z424" i="1"/>
  <c r="AA424" i="1"/>
  <c r="AB424" i="1"/>
  <c r="U425" i="1"/>
  <c r="V425" i="1"/>
  <c r="W425" i="1"/>
  <c r="X425" i="1"/>
  <c r="Y425" i="1"/>
  <c r="Z425" i="1"/>
  <c r="AA425" i="1"/>
  <c r="AB425" i="1"/>
  <c r="U426" i="1"/>
  <c r="V426" i="1"/>
  <c r="W426" i="1"/>
  <c r="X426" i="1"/>
  <c r="Y426" i="1"/>
  <c r="Z426" i="1"/>
  <c r="AA426" i="1"/>
  <c r="AB426" i="1"/>
  <c r="U427" i="1"/>
  <c r="V427" i="1"/>
  <c r="W427" i="1"/>
  <c r="X427" i="1"/>
  <c r="Y427" i="1"/>
  <c r="Z427" i="1"/>
  <c r="AA427" i="1"/>
  <c r="AB427" i="1"/>
  <c r="U428" i="1"/>
  <c r="V428" i="1"/>
  <c r="W428" i="1"/>
  <c r="X428" i="1"/>
  <c r="Y428" i="1"/>
  <c r="Z428" i="1"/>
  <c r="AA428" i="1"/>
  <c r="AB428" i="1"/>
  <c r="U429" i="1"/>
  <c r="V429" i="1"/>
  <c r="W429" i="1"/>
  <c r="X429" i="1"/>
  <c r="Y429" i="1"/>
  <c r="Z429" i="1"/>
  <c r="AA429" i="1"/>
  <c r="AB429" i="1"/>
  <c r="U430" i="1"/>
  <c r="V430" i="1"/>
  <c r="W430" i="1"/>
  <c r="X430" i="1"/>
  <c r="Y430" i="1"/>
  <c r="Z430" i="1"/>
  <c r="AA430" i="1"/>
  <c r="AB430" i="1"/>
  <c r="U431" i="1"/>
  <c r="V431" i="1"/>
  <c r="W431" i="1"/>
  <c r="X431" i="1"/>
  <c r="Y431" i="1"/>
  <c r="Z431" i="1"/>
  <c r="AA431" i="1"/>
  <c r="AB431" i="1"/>
  <c r="U432" i="1"/>
  <c r="V432" i="1"/>
  <c r="W432" i="1"/>
  <c r="X432" i="1"/>
  <c r="Y432" i="1"/>
  <c r="Z432" i="1"/>
  <c r="AA432" i="1"/>
  <c r="AB432" i="1"/>
  <c r="U433" i="1"/>
  <c r="V433" i="1"/>
  <c r="W433" i="1"/>
  <c r="X433" i="1"/>
  <c r="Y433" i="1"/>
  <c r="Z433" i="1"/>
  <c r="AA433" i="1"/>
  <c r="AB433" i="1"/>
  <c r="U434" i="1"/>
  <c r="V434" i="1"/>
  <c r="W434" i="1"/>
  <c r="X434" i="1"/>
  <c r="Y434" i="1"/>
  <c r="Z434" i="1"/>
  <c r="AA434" i="1"/>
  <c r="AB434" i="1"/>
  <c r="U435" i="1"/>
  <c r="V435" i="1"/>
  <c r="W435" i="1"/>
  <c r="X435" i="1"/>
  <c r="Y435" i="1"/>
  <c r="Z435" i="1"/>
  <c r="AA435" i="1"/>
  <c r="AB435" i="1"/>
  <c r="U436" i="1"/>
  <c r="V436" i="1"/>
  <c r="W436" i="1"/>
  <c r="X436" i="1"/>
  <c r="Y436" i="1"/>
  <c r="Z436" i="1"/>
  <c r="AA436" i="1"/>
  <c r="AB436" i="1"/>
  <c r="U437" i="1"/>
  <c r="V437" i="1"/>
  <c r="W437" i="1"/>
  <c r="X437" i="1"/>
  <c r="Y437" i="1"/>
  <c r="Z437" i="1"/>
  <c r="AA437" i="1"/>
  <c r="AB437" i="1"/>
  <c r="U438" i="1"/>
  <c r="V438" i="1"/>
  <c r="W438" i="1"/>
  <c r="X438" i="1"/>
  <c r="Y438" i="1"/>
  <c r="Z438" i="1"/>
  <c r="AA438" i="1"/>
  <c r="AB438" i="1"/>
  <c r="U439" i="1"/>
  <c r="V439" i="1"/>
  <c r="W439" i="1"/>
  <c r="X439" i="1"/>
  <c r="Y439" i="1"/>
  <c r="Z439" i="1"/>
  <c r="AA439" i="1"/>
  <c r="AB439" i="1"/>
  <c r="U440" i="1"/>
  <c r="V440" i="1"/>
  <c r="W440" i="1"/>
  <c r="X440" i="1"/>
  <c r="Y440" i="1"/>
  <c r="Z440" i="1"/>
  <c r="AA440" i="1"/>
  <c r="AB440" i="1"/>
  <c r="U441" i="1"/>
  <c r="V441" i="1"/>
  <c r="W441" i="1"/>
  <c r="X441" i="1"/>
  <c r="Y441" i="1"/>
  <c r="Z441" i="1"/>
  <c r="AA441" i="1"/>
  <c r="AB441" i="1"/>
  <c r="U442" i="1"/>
  <c r="V442" i="1"/>
  <c r="W442" i="1"/>
  <c r="X442" i="1"/>
  <c r="Y442" i="1"/>
  <c r="Z442" i="1"/>
  <c r="AA442" i="1"/>
  <c r="AB442" i="1"/>
  <c r="U443" i="1"/>
  <c r="V443" i="1"/>
  <c r="W443" i="1"/>
  <c r="X443" i="1"/>
  <c r="Y443" i="1"/>
  <c r="Z443" i="1"/>
  <c r="AA443" i="1"/>
  <c r="AB443" i="1"/>
  <c r="U444" i="1"/>
  <c r="V444" i="1"/>
  <c r="W444" i="1"/>
  <c r="X444" i="1"/>
  <c r="Y444" i="1"/>
  <c r="Z444" i="1"/>
  <c r="AA444" i="1"/>
  <c r="AB444" i="1"/>
  <c r="U445" i="1"/>
  <c r="V445" i="1"/>
  <c r="W445" i="1"/>
  <c r="X445" i="1"/>
  <c r="Y445" i="1"/>
  <c r="Z445" i="1"/>
  <c r="AA445" i="1"/>
  <c r="AB445" i="1"/>
  <c r="U446" i="1"/>
  <c r="V446" i="1"/>
  <c r="W446" i="1"/>
  <c r="X446" i="1"/>
  <c r="Y446" i="1"/>
  <c r="Z446" i="1"/>
  <c r="AA446" i="1"/>
  <c r="AB446" i="1"/>
  <c r="U447" i="1"/>
  <c r="V447" i="1"/>
  <c r="W447" i="1"/>
  <c r="X447" i="1"/>
  <c r="Y447" i="1"/>
  <c r="Z447" i="1"/>
  <c r="AA447" i="1"/>
  <c r="AB447" i="1"/>
  <c r="U448" i="1"/>
  <c r="V448" i="1"/>
  <c r="W448" i="1"/>
  <c r="X448" i="1"/>
  <c r="Y448" i="1"/>
  <c r="Z448" i="1"/>
  <c r="AA448" i="1"/>
  <c r="AB448" i="1"/>
  <c r="U449" i="1"/>
  <c r="V449" i="1"/>
  <c r="W449" i="1"/>
  <c r="X449" i="1"/>
  <c r="Y449" i="1"/>
  <c r="Z449" i="1"/>
  <c r="AA449" i="1"/>
  <c r="AB449" i="1"/>
  <c r="U450" i="1"/>
  <c r="V450" i="1"/>
  <c r="W450" i="1"/>
  <c r="X450" i="1"/>
  <c r="Y450" i="1"/>
  <c r="Z450" i="1"/>
  <c r="AA450" i="1"/>
  <c r="AB450" i="1"/>
  <c r="U451" i="1"/>
  <c r="V451" i="1"/>
  <c r="W451" i="1"/>
  <c r="X451" i="1"/>
  <c r="Y451" i="1"/>
  <c r="Z451" i="1"/>
  <c r="AA451" i="1"/>
  <c r="AB451" i="1"/>
  <c r="U452" i="1"/>
  <c r="V452" i="1"/>
  <c r="W452" i="1"/>
  <c r="X452" i="1"/>
  <c r="Y452" i="1"/>
  <c r="Z452" i="1"/>
  <c r="AA452" i="1"/>
  <c r="AB452" i="1"/>
  <c r="U453" i="1"/>
  <c r="V453" i="1"/>
  <c r="W453" i="1"/>
  <c r="X453" i="1"/>
  <c r="Y453" i="1"/>
  <c r="Z453" i="1"/>
  <c r="AA453" i="1"/>
  <c r="AB453" i="1"/>
  <c r="U454" i="1"/>
  <c r="V454" i="1"/>
  <c r="W454" i="1"/>
  <c r="X454" i="1"/>
  <c r="Y454" i="1"/>
  <c r="Z454" i="1"/>
  <c r="AA454" i="1"/>
  <c r="AB454" i="1"/>
  <c r="U455" i="1"/>
  <c r="V455" i="1"/>
  <c r="W455" i="1"/>
  <c r="X455" i="1"/>
  <c r="Y455" i="1"/>
  <c r="Z455" i="1"/>
  <c r="AA455" i="1"/>
  <c r="AB455" i="1"/>
  <c r="U456" i="1"/>
  <c r="V456" i="1"/>
  <c r="W456" i="1"/>
  <c r="X456" i="1"/>
  <c r="Y456" i="1"/>
  <c r="Z456" i="1"/>
  <c r="AA456" i="1"/>
  <c r="AB456" i="1"/>
  <c r="U457" i="1"/>
  <c r="V457" i="1"/>
  <c r="W457" i="1"/>
  <c r="X457" i="1"/>
  <c r="Y457" i="1"/>
  <c r="Z457" i="1"/>
  <c r="AA457" i="1"/>
  <c r="AB457" i="1"/>
  <c r="U458" i="1"/>
  <c r="V458" i="1"/>
  <c r="W458" i="1"/>
  <c r="X458" i="1"/>
  <c r="Y458" i="1"/>
  <c r="Z458" i="1"/>
  <c r="AA458" i="1"/>
  <c r="AB458" i="1"/>
  <c r="U459" i="1"/>
  <c r="V459" i="1"/>
  <c r="W459" i="1"/>
  <c r="X459" i="1"/>
  <c r="Y459" i="1"/>
  <c r="Z459" i="1"/>
  <c r="AA459" i="1"/>
  <c r="AB459" i="1"/>
  <c r="U460" i="1"/>
  <c r="V460" i="1"/>
  <c r="W460" i="1"/>
  <c r="X460" i="1"/>
  <c r="Y460" i="1"/>
  <c r="Z460" i="1"/>
  <c r="AA460" i="1"/>
  <c r="AB460" i="1"/>
  <c r="U461" i="1"/>
  <c r="V461" i="1"/>
  <c r="W461" i="1"/>
  <c r="X461" i="1"/>
  <c r="Y461" i="1"/>
  <c r="Z461" i="1"/>
  <c r="AA461" i="1"/>
  <c r="AB461" i="1"/>
  <c r="U462" i="1"/>
  <c r="V462" i="1"/>
  <c r="W462" i="1"/>
  <c r="X462" i="1"/>
  <c r="Y462" i="1"/>
  <c r="Z462" i="1"/>
  <c r="AA462" i="1"/>
  <c r="AB462" i="1"/>
  <c r="U463" i="1"/>
  <c r="V463" i="1"/>
  <c r="W463" i="1"/>
  <c r="X463" i="1"/>
  <c r="Y463" i="1"/>
  <c r="Z463" i="1"/>
  <c r="AA463" i="1"/>
  <c r="AB463" i="1"/>
  <c r="U464" i="1"/>
  <c r="V464" i="1"/>
  <c r="W464" i="1"/>
  <c r="X464" i="1"/>
  <c r="Y464" i="1"/>
  <c r="Z464" i="1"/>
  <c r="AA464" i="1"/>
  <c r="AB464" i="1"/>
  <c r="U465" i="1"/>
  <c r="V465" i="1"/>
  <c r="W465" i="1"/>
  <c r="X465" i="1"/>
  <c r="Y465" i="1"/>
  <c r="Z465" i="1"/>
  <c r="AA465" i="1"/>
  <c r="AB465" i="1"/>
  <c r="U466" i="1"/>
  <c r="V466" i="1"/>
  <c r="W466" i="1"/>
  <c r="X466" i="1"/>
  <c r="Y466" i="1"/>
  <c r="Z466" i="1"/>
  <c r="AA466" i="1"/>
  <c r="AB466" i="1"/>
  <c r="U467" i="1"/>
  <c r="V467" i="1"/>
  <c r="W467" i="1"/>
  <c r="X467" i="1"/>
  <c r="Y467" i="1"/>
  <c r="Z467" i="1"/>
  <c r="AA467" i="1"/>
  <c r="AB467" i="1"/>
  <c r="U468" i="1"/>
  <c r="V468" i="1"/>
  <c r="W468" i="1"/>
  <c r="X468" i="1"/>
  <c r="Y468" i="1"/>
  <c r="Z468" i="1"/>
  <c r="AA468" i="1"/>
  <c r="AB468" i="1"/>
  <c r="U469" i="1"/>
  <c r="V469" i="1"/>
  <c r="W469" i="1"/>
  <c r="X469" i="1"/>
  <c r="Y469" i="1"/>
  <c r="Z469" i="1"/>
  <c r="AA469" i="1"/>
  <c r="AB469" i="1"/>
  <c r="U470" i="1"/>
  <c r="V470" i="1"/>
  <c r="W470" i="1"/>
  <c r="X470" i="1"/>
  <c r="Y470" i="1"/>
  <c r="Z470" i="1"/>
  <c r="AA470" i="1"/>
  <c r="AB470" i="1"/>
  <c r="U471" i="1"/>
  <c r="V471" i="1"/>
  <c r="W471" i="1"/>
  <c r="X471" i="1"/>
  <c r="Y471" i="1"/>
  <c r="Z471" i="1"/>
  <c r="AA471" i="1"/>
  <c r="AB471" i="1"/>
  <c r="U472" i="1"/>
  <c r="V472" i="1"/>
  <c r="W472" i="1"/>
  <c r="X472" i="1"/>
  <c r="Y472" i="1"/>
  <c r="Z472" i="1"/>
  <c r="AA472" i="1"/>
  <c r="AB472" i="1"/>
  <c r="U473" i="1"/>
  <c r="V473" i="1"/>
  <c r="W473" i="1"/>
  <c r="X473" i="1"/>
  <c r="Y473" i="1"/>
  <c r="Z473" i="1"/>
  <c r="AA473" i="1"/>
  <c r="AB473" i="1"/>
  <c r="U474" i="1"/>
  <c r="V474" i="1"/>
  <c r="W474" i="1"/>
  <c r="X474" i="1"/>
  <c r="Y474" i="1"/>
  <c r="Z474" i="1"/>
  <c r="AA474" i="1"/>
  <c r="AB474" i="1"/>
  <c r="U475" i="1"/>
  <c r="V475" i="1"/>
  <c r="W475" i="1"/>
  <c r="X475" i="1"/>
  <c r="Y475" i="1"/>
  <c r="Z475" i="1"/>
  <c r="AA475" i="1"/>
  <c r="AB475" i="1"/>
  <c r="U476" i="1"/>
  <c r="V476" i="1"/>
  <c r="W476" i="1"/>
  <c r="X476" i="1"/>
  <c r="Y476" i="1"/>
  <c r="Z476" i="1"/>
  <c r="AA476" i="1"/>
  <c r="AB476" i="1"/>
  <c r="U477" i="1"/>
  <c r="V477" i="1"/>
  <c r="W477" i="1"/>
  <c r="X477" i="1"/>
  <c r="Y477" i="1"/>
  <c r="Z477" i="1"/>
  <c r="AA477" i="1"/>
  <c r="AB477" i="1"/>
  <c r="U478" i="1"/>
  <c r="V478" i="1"/>
  <c r="W478" i="1"/>
  <c r="X478" i="1"/>
  <c r="Y478" i="1"/>
  <c r="Z478" i="1"/>
  <c r="AA478" i="1"/>
  <c r="AB478" i="1"/>
  <c r="U479" i="1"/>
  <c r="V479" i="1"/>
  <c r="W479" i="1"/>
  <c r="X479" i="1"/>
  <c r="Y479" i="1"/>
  <c r="Z479" i="1"/>
  <c r="AA479" i="1"/>
  <c r="AB479" i="1"/>
  <c r="U480" i="1"/>
  <c r="V480" i="1"/>
  <c r="W480" i="1"/>
  <c r="X480" i="1"/>
  <c r="Y480" i="1"/>
  <c r="Z480" i="1"/>
  <c r="AA480" i="1"/>
  <c r="AB480" i="1"/>
  <c r="U481" i="1"/>
  <c r="V481" i="1"/>
  <c r="W481" i="1"/>
  <c r="X481" i="1"/>
  <c r="Y481" i="1"/>
  <c r="Z481" i="1"/>
  <c r="AA481" i="1"/>
  <c r="AB481" i="1"/>
  <c r="U482" i="1"/>
  <c r="V482" i="1"/>
  <c r="W482" i="1"/>
  <c r="X482" i="1"/>
  <c r="Y482" i="1"/>
  <c r="Z482" i="1"/>
  <c r="AA482" i="1"/>
  <c r="AB482" i="1"/>
  <c r="U483" i="1"/>
  <c r="V483" i="1"/>
  <c r="W483" i="1"/>
  <c r="X483" i="1"/>
  <c r="Y483" i="1"/>
  <c r="Z483" i="1"/>
  <c r="AA483" i="1"/>
  <c r="AB483" i="1"/>
  <c r="U484" i="1"/>
  <c r="V484" i="1"/>
  <c r="W484" i="1"/>
  <c r="X484" i="1"/>
  <c r="Y484" i="1"/>
  <c r="Z484" i="1"/>
  <c r="AA484" i="1"/>
  <c r="AB484" i="1"/>
  <c r="U485" i="1"/>
  <c r="V485" i="1"/>
  <c r="W485" i="1"/>
  <c r="X485" i="1"/>
  <c r="Y485" i="1"/>
  <c r="Z485" i="1"/>
  <c r="AA485" i="1"/>
  <c r="AB485" i="1"/>
  <c r="U486" i="1"/>
  <c r="V486" i="1"/>
  <c r="W486" i="1"/>
  <c r="X486" i="1"/>
  <c r="Y486" i="1"/>
  <c r="Z486" i="1"/>
  <c r="AA486" i="1"/>
  <c r="AB486" i="1"/>
  <c r="U487" i="1"/>
  <c r="V487" i="1"/>
  <c r="W487" i="1"/>
  <c r="X487" i="1"/>
  <c r="Y487" i="1"/>
  <c r="Z487" i="1"/>
  <c r="AA487" i="1"/>
  <c r="AB487" i="1"/>
  <c r="U488" i="1"/>
  <c r="V488" i="1"/>
  <c r="W488" i="1"/>
  <c r="X488" i="1"/>
  <c r="Y488" i="1"/>
  <c r="Z488" i="1"/>
  <c r="AA488" i="1"/>
  <c r="AB488" i="1"/>
  <c r="U489" i="1"/>
  <c r="V489" i="1"/>
  <c r="W489" i="1"/>
  <c r="X489" i="1"/>
  <c r="Y489" i="1"/>
  <c r="Z489" i="1"/>
  <c r="AA489" i="1"/>
  <c r="AB489" i="1"/>
  <c r="U490" i="1"/>
  <c r="V490" i="1"/>
  <c r="W490" i="1"/>
  <c r="X490" i="1"/>
  <c r="Y490" i="1"/>
  <c r="Z490" i="1"/>
  <c r="AA490" i="1"/>
  <c r="AB490" i="1"/>
  <c r="U491" i="1"/>
  <c r="V491" i="1"/>
  <c r="W491" i="1"/>
  <c r="X491" i="1"/>
  <c r="Y491" i="1"/>
  <c r="Z491" i="1"/>
  <c r="AA491" i="1"/>
  <c r="AB491" i="1"/>
  <c r="U492" i="1"/>
  <c r="V492" i="1"/>
  <c r="W492" i="1"/>
  <c r="X492" i="1"/>
  <c r="Y492" i="1"/>
  <c r="Z492" i="1"/>
  <c r="AA492" i="1"/>
  <c r="AB492" i="1"/>
  <c r="U493" i="1"/>
  <c r="V493" i="1"/>
  <c r="W493" i="1"/>
  <c r="X493" i="1"/>
  <c r="Y493" i="1"/>
  <c r="Z493" i="1"/>
  <c r="AA493" i="1"/>
  <c r="AB493" i="1"/>
  <c r="U494" i="1"/>
  <c r="V494" i="1"/>
  <c r="W494" i="1"/>
  <c r="X494" i="1"/>
  <c r="Y494" i="1"/>
  <c r="Z494" i="1"/>
  <c r="AA494" i="1"/>
  <c r="AB494" i="1"/>
  <c r="U495" i="1"/>
  <c r="V495" i="1"/>
  <c r="W495" i="1"/>
  <c r="X495" i="1"/>
  <c r="Y495" i="1"/>
  <c r="Z495" i="1"/>
  <c r="AA495" i="1"/>
  <c r="AB495" i="1"/>
  <c r="U496" i="1"/>
  <c r="V496" i="1"/>
  <c r="W496" i="1"/>
  <c r="X496" i="1"/>
  <c r="Y496" i="1"/>
  <c r="Z496" i="1"/>
  <c r="AA496" i="1"/>
  <c r="AB496" i="1"/>
  <c r="V2" i="1"/>
  <c r="W2" i="1"/>
  <c r="X2" i="1"/>
  <c r="Y2" i="1"/>
  <c r="Z2" i="1"/>
  <c r="AA2" i="1"/>
  <c r="AB2" i="1"/>
  <c r="U2" i="1"/>
</calcChain>
</file>

<file path=xl/sharedStrings.xml><?xml version="1.0" encoding="utf-8"?>
<sst xmlns="http://schemas.openxmlformats.org/spreadsheetml/2006/main" count="26792" uniqueCount="525">
  <si>
    <t>Chave</t>
  </si>
  <si>
    <t>1A vs</t>
  </si>
  <si>
    <t>1B vs</t>
  </si>
  <si>
    <t>1D vs</t>
  </si>
  <si>
    <t>1E vs</t>
  </si>
  <si>
    <t>1G vs</t>
  </si>
  <si>
    <t>1I vs</t>
  </si>
  <si>
    <t>1K vs</t>
  </si>
  <si>
    <t>1L vs</t>
  </si>
  <si>
    <t>EFGHIJKL</t>
  </si>
  <si>
    <t>3E</t>
  </si>
  <si>
    <t>3J</t>
  </si>
  <si>
    <t>3I</t>
  </si>
  <si>
    <t>3F</t>
  </si>
  <si>
    <t>3H</t>
  </si>
  <si>
    <t>3G</t>
  </si>
  <si>
    <t>3L</t>
  </si>
  <si>
    <t>3K</t>
  </si>
  <si>
    <t>DFGHIJKL</t>
  </si>
  <si>
    <t>3D</t>
  </si>
  <si>
    <t>DEGHIJKL</t>
  </si>
  <si>
    <t>DEFHIJKL</t>
  </si>
  <si>
    <t>DEFGIJKL</t>
  </si>
  <si>
    <t>DEFGHJKL</t>
  </si>
  <si>
    <t>DEFGHIKL</t>
  </si>
  <si>
    <t>DEFGHIJL</t>
  </si>
  <si>
    <t>DEFGHIJK</t>
  </si>
  <si>
    <t>CFGHIJKL</t>
  </si>
  <si>
    <t>3C</t>
  </si>
  <si>
    <t>CEGHIJKL</t>
  </si>
  <si>
    <t>CEFHIJKL</t>
  </si>
  <si>
    <t>CEFGIJKL</t>
  </si>
  <si>
    <t>CEFGHJKL</t>
  </si>
  <si>
    <t>CEFGHIKL</t>
  </si>
  <si>
    <t>CEFGHIJL</t>
  </si>
  <si>
    <t>CEFGHIJK</t>
  </si>
  <si>
    <t>CDGHIJKL</t>
  </si>
  <si>
    <t>CDFHIJKL</t>
  </si>
  <si>
    <t>CDFGIJKL</t>
  </si>
  <si>
    <t>CDFGHJKL</t>
  </si>
  <si>
    <t>CDFGHIKL</t>
  </si>
  <si>
    <t>CDFGHIJL</t>
  </si>
  <si>
    <t>CDFGHIJK</t>
  </si>
  <si>
    <t>CDEHIJKL</t>
  </si>
  <si>
    <t>CDEGIJKL</t>
  </si>
  <si>
    <t>CDEGHJKL</t>
  </si>
  <si>
    <t>CDEGHIKL</t>
  </si>
  <si>
    <t>CDEGHIJL</t>
  </si>
  <si>
    <t>CDEGHIJK</t>
  </si>
  <si>
    <t>CDEFIJKL</t>
  </si>
  <si>
    <t>CDEFHJKL</t>
  </si>
  <si>
    <t>CDEFHIKL</t>
  </si>
  <si>
    <t>CDEFHIJL</t>
  </si>
  <si>
    <t>CDEFHIJK</t>
  </si>
  <si>
    <t>CDEFGJKL</t>
  </si>
  <si>
    <t>CDEFGIKL</t>
  </si>
  <si>
    <t>CDEFGIJL</t>
  </si>
  <si>
    <t>CDEFGIJK</t>
  </si>
  <si>
    <t>CDEFGHKL</t>
  </si>
  <si>
    <t>CDEFGHJL</t>
  </si>
  <si>
    <t>CDEFGHJK</t>
  </si>
  <si>
    <t>CDEFGHIL</t>
  </si>
  <si>
    <t>CDEFGHIK</t>
  </si>
  <si>
    <t>CDEFGHIJ</t>
  </si>
  <si>
    <t>BFGHIJKL</t>
  </si>
  <si>
    <t>3B</t>
  </si>
  <si>
    <t>BEGHIJKL</t>
  </si>
  <si>
    <t>BEFHIJKL</t>
  </si>
  <si>
    <t>BEFGIJKL</t>
  </si>
  <si>
    <t>BEFGHJKL</t>
  </si>
  <si>
    <t>BEFGHIKL</t>
  </si>
  <si>
    <t>BEFGHIJL</t>
  </si>
  <si>
    <t>BEFGHIJK</t>
  </si>
  <si>
    <t>BDGHIJKL</t>
  </si>
  <si>
    <t>BDFHIJKL</t>
  </si>
  <si>
    <t>BDFGIJKL</t>
  </si>
  <si>
    <t>BDFGHJKL</t>
  </si>
  <si>
    <t>BDFGHIKL</t>
  </si>
  <si>
    <t>BDFGHIJL</t>
  </si>
  <si>
    <t>BDFGHIJK</t>
  </si>
  <si>
    <t>BDEHIJKL</t>
  </si>
  <si>
    <t>BDEGIJKL</t>
  </si>
  <si>
    <t>BDEGHJKL</t>
  </si>
  <si>
    <t>BDEGHIKL</t>
  </si>
  <si>
    <t>BDEGHIJL</t>
  </si>
  <si>
    <t>BDEGHIJK</t>
  </si>
  <si>
    <t>BDEFIJKL</t>
  </si>
  <si>
    <t>BDEFHJKL</t>
  </si>
  <si>
    <t>BDEFHIKL</t>
  </si>
  <si>
    <t>BDEFHIJL</t>
  </si>
  <si>
    <t>BDEFHIJK</t>
  </si>
  <si>
    <t>BDEFGJKL</t>
  </si>
  <si>
    <t>BDEFGIKL</t>
  </si>
  <si>
    <t>BDEFGIJL</t>
  </si>
  <si>
    <t>BDEFGIJK</t>
  </si>
  <si>
    <t>BDEFGHKL</t>
  </si>
  <si>
    <t>BDEFGHJL</t>
  </si>
  <si>
    <t>BDEFGHJK</t>
  </si>
  <si>
    <t>BDEFGHIL</t>
  </si>
  <si>
    <t>BDEFGHIK</t>
  </si>
  <si>
    <t>BDEFGHIJ</t>
  </si>
  <si>
    <t>BCGHIJKL</t>
  </si>
  <si>
    <t>BCFHIJKL</t>
  </si>
  <si>
    <t>BCFGIJKL</t>
  </si>
  <si>
    <t>BCFGHJKL</t>
  </si>
  <si>
    <t>BCFGHIKL</t>
  </si>
  <si>
    <t>BCFGHIJL</t>
  </si>
  <si>
    <t>BCFGHIJK</t>
  </si>
  <si>
    <t>BCEHIJKL</t>
  </si>
  <si>
    <t>BCEGIJKL</t>
  </si>
  <si>
    <t>BCEGHJKL</t>
  </si>
  <si>
    <t>BCEGHIKL</t>
  </si>
  <si>
    <t>BCEGHIJL</t>
  </si>
  <si>
    <t>BCEGHIJK</t>
  </si>
  <si>
    <t>BCEFIJKL</t>
  </si>
  <si>
    <t>BCEFHJKL</t>
  </si>
  <si>
    <t>BCEFHIKL</t>
  </si>
  <si>
    <t>BCEFHIJL</t>
  </si>
  <si>
    <t>BCEFHIJK</t>
  </si>
  <si>
    <t>BCEFGJKL</t>
  </si>
  <si>
    <t>BCEFGIKL</t>
  </si>
  <si>
    <t>BCEFGIJL</t>
  </si>
  <si>
    <t>BCEFGIJK</t>
  </si>
  <si>
    <t>BCEFGHKL</t>
  </si>
  <si>
    <t>BCEFGHJL</t>
  </si>
  <si>
    <t>BCEFGHJK</t>
  </si>
  <si>
    <t>BCEFGHIL</t>
  </si>
  <si>
    <t>BCEFGHIK</t>
  </si>
  <si>
    <t>BCEFGHIJ</t>
  </si>
  <si>
    <t>BCDHIJKL</t>
  </si>
  <si>
    <t>BCDGIJKL</t>
  </si>
  <si>
    <t>BCDGHJKL</t>
  </si>
  <si>
    <t>BCDGHIKL</t>
  </si>
  <si>
    <t>BCDGHIJL</t>
  </si>
  <si>
    <t>BCDGHIJK</t>
  </si>
  <si>
    <t>BCDFIJKL</t>
  </si>
  <si>
    <t>BCDFHJKL</t>
  </si>
  <si>
    <t>BCDFHIKL</t>
  </si>
  <si>
    <t>BCDFHIJL</t>
  </si>
  <si>
    <t>BCDFHIJK</t>
  </si>
  <si>
    <t>BCDFGJKL</t>
  </si>
  <si>
    <t>BCDFGIKL</t>
  </si>
  <si>
    <t>BCDFGIJL</t>
  </si>
  <si>
    <t>BCDFGIJK</t>
  </si>
  <si>
    <t>BCDFGHKL</t>
  </si>
  <si>
    <t>BCDFGHJL</t>
  </si>
  <si>
    <t>BCDFGHJK</t>
  </si>
  <si>
    <t>BCDFGHIL</t>
  </si>
  <si>
    <t>BCDFGHIK</t>
  </si>
  <si>
    <t>BCDFGHIJ</t>
  </si>
  <si>
    <t>BCDEIJKL</t>
  </si>
  <si>
    <t>BCDEHJKL</t>
  </si>
  <si>
    <t>BCDEHIKL</t>
  </si>
  <si>
    <t>BCDEHIJL</t>
  </si>
  <si>
    <t>BCDEHIJK</t>
  </si>
  <si>
    <t>BCDEGJKL</t>
  </si>
  <si>
    <t>BCDEGIKL</t>
  </si>
  <si>
    <t>BCDEGIJL</t>
  </si>
  <si>
    <t>BCDEGIJK</t>
  </si>
  <si>
    <t>BCDEGHKL</t>
  </si>
  <si>
    <t>BCDEGHJL</t>
  </si>
  <si>
    <t>BCDEGHJK</t>
  </si>
  <si>
    <t>BCDEGHIL</t>
  </si>
  <si>
    <t>BCDEGHIK</t>
  </si>
  <si>
    <t>BCDEGHIJ</t>
  </si>
  <si>
    <t>BCDEFJKL</t>
  </si>
  <si>
    <t>BCDEFIKL</t>
  </si>
  <si>
    <t>BCDEFIJL</t>
  </si>
  <si>
    <t>BCDEFIJK</t>
  </si>
  <si>
    <t>BCDEFHKL</t>
  </si>
  <si>
    <t>BCDEFHJL</t>
  </si>
  <si>
    <t>BCDEFHJK</t>
  </si>
  <si>
    <t>BCDEFHIL</t>
  </si>
  <si>
    <t>BCDEFHIK</t>
  </si>
  <si>
    <t>BCDEFHIJ</t>
  </si>
  <si>
    <t>BCDEFGKL</t>
  </si>
  <si>
    <t>BCDEFGJL</t>
  </si>
  <si>
    <t>BCDEFGJK</t>
  </si>
  <si>
    <t>BCDEFGIL</t>
  </si>
  <si>
    <t>BCDEFGIK</t>
  </si>
  <si>
    <t>BCDEFGIJ</t>
  </si>
  <si>
    <t>BCDEFGHL</t>
  </si>
  <si>
    <t>BCDEFGHK</t>
  </si>
  <si>
    <t>BCDEFGHJ</t>
  </si>
  <si>
    <t>BCDEFGHI</t>
  </si>
  <si>
    <t>AFGHIJKL</t>
  </si>
  <si>
    <t>3A</t>
  </si>
  <si>
    <t>AEGHIJKL</t>
  </si>
  <si>
    <t>AEFHIJKL</t>
  </si>
  <si>
    <t>AEFGIJKL</t>
  </si>
  <si>
    <t>AEFGHJKL</t>
  </si>
  <si>
    <t>AEFGHIKL</t>
  </si>
  <si>
    <t>AEFGHIJL</t>
  </si>
  <si>
    <t>AEFGHIJK</t>
  </si>
  <si>
    <t>ADGHIJKL</t>
  </si>
  <si>
    <t>ADFHIJKL</t>
  </si>
  <si>
    <t>ADFGIJKL</t>
  </si>
  <si>
    <t>ADFGHJKL</t>
  </si>
  <si>
    <t>ADFGHIKL</t>
  </si>
  <si>
    <t>ADFGHIJL</t>
  </si>
  <si>
    <t>ADFGHIJK</t>
  </si>
  <si>
    <t>ADEHIJKL</t>
  </si>
  <si>
    <t>ADEGIJKL</t>
  </si>
  <si>
    <t>ADEGHJKL</t>
  </si>
  <si>
    <t>ADEGHIKL</t>
  </si>
  <si>
    <t>ADEGHIJL</t>
  </si>
  <si>
    <t>ADEGHIJK</t>
  </si>
  <si>
    <t>ADEFIJKL</t>
  </si>
  <si>
    <t>ADEFHJKL</t>
  </si>
  <si>
    <t>ADEFHIKL</t>
  </si>
  <si>
    <t>ADEFHIJL</t>
  </si>
  <si>
    <t>ADEFHIJK</t>
  </si>
  <si>
    <t>ADEFGJKL</t>
  </si>
  <si>
    <t>ADEFGIKL</t>
  </si>
  <si>
    <t>ADEFGIJL</t>
  </si>
  <si>
    <t>ADEFGIJK</t>
  </si>
  <si>
    <t>ADEFGHKL</t>
  </si>
  <si>
    <t>ADEFGHJL</t>
  </si>
  <si>
    <t>ADEFGHJK</t>
  </si>
  <si>
    <t>ADEFGHIL</t>
  </si>
  <si>
    <t>ADEFGHIK</t>
  </si>
  <si>
    <t>ADEFGHIJ</t>
  </si>
  <si>
    <t>ACGHIJKL</t>
  </si>
  <si>
    <t>ACFHIJKL</t>
  </si>
  <si>
    <t>ACFGIJKL</t>
  </si>
  <si>
    <t>ACFGHJKL</t>
  </si>
  <si>
    <t>ACFGHIKL</t>
  </si>
  <si>
    <t>ACFGHIJL</t>
  </si>
  <si>
    <t>ACFGHIJK</t>
  </si>
  <si>
    <t>ACEHIJKL</t>
  </si>
  <si>
    <t>ACEGIJKL</t>
  </si>
  <si>
    <t>ACEGHJKL</t>
  </si>
  <si>
    <t>ACEGHIKL</t>
  </si>
  <si>
    <t>ACEGHIJL</t>
  </si>
  <si>
    <t>ACEGHIJK</t>
  </si>
  <si>
    <t>ACEFIJKL</t>
  </si>
  <si>
    <t>ACEFHJKL</t>
  </si>
  <si>
    <t>ACEFHIKL</t>
  </si>
  <si>
    <t>ACEFHIJL</t>
  </si>
  <si>
    <t>ACEFHIJK</t>
  </si>
  <si>
    <t>ACEFGJKL</t>
  </si>
  <si>
    <t>ACEFGIKL</t>
  </si>
  <si>
    <t>ACEFGIJL</t>
  </si>
  <si>
    <t>ACEFGIJK</t>
  </si>
  <si>
    <t>ACEFGHKL</t>
  </si>
  <si>
    <t>ACEFGHJL</t>
  </si>
  <si>
    <t>ACEFGHJK</t>
  </si>
  <si>
    <t>ACEFGHIL</t>
  </si>
  <si>
    <t>ACEFGHIK</t>
  </si>
  <si>
    <t>ACEFGHIJ</t>
  </si>
  <si>
    <t>ACDHIJKL</t>
  </si>
  <si>
    <t>ACDGIJKL</t>
  </si>
  <si>
    <t>ACDGHJKL</t>
  </si>
  <si>
    <t>ACDGHIKL</t>
  </si>
  <si>
    <t>ACDGHIJL</t>
  </si>
  <si>
    <t>ACDGHIJK</t>
  </si>
  <si>
    <t>ACDFIJKL</t>
  </si>
  <si>
    <t>ACDFHJKL</t>
  </si>
  <si>
    <t>ACDFHIKL</t>
  </si>
  <si>
    <t>ACDFHIJL</t>
  </si>
  <si>
    <t>ACDFHIJK</t>
  </si>
  <si>
    <t>ACDFGJKL</t>
  </si>
  <si>
    <t>ACDFGIKL</t>
  </si>
  <si>
    <t>ACDFGIJL</t>
  </si>
  <si>
    <t>ACDFGIJK</t>
  </si>
  <si>
    <t>ACDFGHKL</t>
  </si>
  <si>
    <t>ACDFGHJL</t>
  </si>
  <si>
    <t>ACDFGHJK</t>
  </si>
  <si>
    <t>ACDFGHIL</t>
  </si>
  <si>
    <t>ACDFGHIK</t>
  </si>
  <si>
    <t>ACDFGHIJ</t>
  </si>
  <si>
    <t>ACDEIJKL</t>
  </si>
  <si>
    <t>ACDEHJKL</t>
  </si>
  <si>
    <t>ACDEHIKL</t>
  </si>
  <si>
    <t>ACDEHIJL</t>
  </si>
  <si>
    <t>ACDEHIJK</t>
  </si>
  <si>
    <t>ACDEGJKL</t>
  </si>
  <si>
    <t>ACDEGIKL</t>
  </si>
  <si>
    <t>ACDEGIJL</t>
  </si>
  <si>
    <t>ACDEGIJK</t>
  </si>
  <si>
    <t>ACDEGHKL</t>
  </si>
  <si>
    <t>ACDEGHJL</t>
  </si>
  <si>
    <t>ACDEGHJK</t>
  </si>
  <si>
    <t>ACDEGHIL</t>
  </si>
  <si>
    <t>ACDEGHIK</t>
  </si>
  <si>
    <t>ACDEGHIJ</t>
  </si>
  <si>
    <t>ACDEFJKL</t>
  </si>
  <si>
    <t>ACDEFIKL</t>
  </si>
  <si>
    <t>ACDEFIJL</t>
  </si>
  <si>
    <t>ACDEFIJK</t>
  </si>
  <si>
    <t>ACDEFHKL</t>
  </si>
  <si>
    <t>ACDEFHJL</t>
  </si>
  <si>
    <t>ACDEFHJK</t>
  </si>
  <si>
    <t>ACDEFHIL</t>
  </si>
  <si>
    <t>ACDEFHIK</t>
  </si>
  <si>
    <t>ACDEFHIJ</t>
  </si>
  <si>
    <t>ACDEFGKL</t>
  </si>
  <si>
    <t>ACDEFGJL</t>
  </si>
  <si>
    <t>ACDEFGJK</t>
  </si>
  <si>
    <t>ACDEFGIL</t>
  </si>
  <si>
    <t>ACDEFGIK</t>
  </si>
  <si>
    <t>ACDEFGIJ</t>
  </si>
  <si>
    <t>ACDEFGHL</t>
  </si>
  <si>
    <t>ACDEFGHK</t>
  </si>
  <si>
    <t>ACDEFGHJ</t>
  </si>
  <si>
    <t>ACDEFGHI</t>
  </si>
  <si>
    <t>ABGHIJKL</t>
  </si>
  <si>
    <t>ABFHIJKL</t>
  </si>
  <si>
    <t>ABFGIJKL</t>
  </si>
  <si>
    <t>ABFGHJKL</t>
  </si>
  <si>
    <t>ABFGHIKL</t>
  </si>
  <si>
    <t>ABFGHIJL</t>
  </si>
  <si>
    <t>ABFGHIJK</t>
  </si>
  <si>
    <t>ABEHIJKL</t>
  </si>
  <si>
    <t>ABEGIJKL</t>
  </si>
  <si>
    <t>ABEGHJKL</t>
  </si>
  <si>
    <t>ABEGHIKL</t>
  </si>
  <si>
    <t>ABEGHIJL</t>
  </si>
  <si>
    <t>ABEGHIJK</t>
  </si>
  <si>
    <t>ABEFIJKL</t>
  </si>
  <si>
    <t>ABEFHJKL</t>
  </si>
  <si>
    <t>ABEFHIKL</t>
  </si>
  <si>
    <t>ABEFHIJL</t>
  </si>
  <si>
    <t>ABEFHIJK</t>
  </si>
  <si>
    <t>ABEFGJKL</t>
  </si>
  <si>
    <t>ABEFGIKL</t>
  </si>
  <si>
    <t>ABEFGIJL</t>
  </si>
  <si>
    <t>ABEFGIJK</t>
  </si>
  <si>
    <t>ABEFGHKL</t>
  </si>
  <si>
    <t>ABEFGHJL</t>
  </si>
  <si>
    <t>ABEFGHJK</t>
  </si>
  <si>
    <t>ABEFGHIL</t>
  </si>
  <si>
    <t>ABEFGHIK</t>
  </si>
  <si>
    <t>ABEFGHIJ</t>
  </si>
  <si>
    <t>ABDHIJKL</t>
  </si>
  <si>
    <t>ABDGIJKL</t>
  </si>
  <si>
    <t>ABDGHJKL</t>
  </si>
  <si>
    <t>ABDGHIKL</t>
  </si>
  <si>
    <t>ABDGHIJL</t>
  </si>
  <si>
    <t>ABDGHIJK</t>
  </si>
  <si>
    <t>ABDFIJKL</t>
  </si>
  <si>
    <t>ABDFHJKL</t>
  </si>
  <si>
    <t>ABDFHIKL</t>
  </si>
  <si>
    <t>ABDFHIJL</t>
  </si>
  <si>
    <t>ABDFHIJK</t>
  </si>
  <si>
    <t>ABDFGJKL</t>
  </si>
  <si>
    <t>ABDFGIKL</t>
  </si>
  <si>
    <t>ABDFGIJL</t>
  </si>
  <si>
    <t>ABDFGIJK</t>
  </si>
  <si>
    <t>ABDFGHKL</t>
  </si>
  <si>
    <t>ABDFGHJL</t>
  </si>
  <si>
    <t>ABDFGHJK</t>
  </si>
  <si>
    <t>ABDFGHIL</t>
  </si>
  <si>
    <t>ABDFGHIK</t>
  </si>
  <si>
    <t>ABDFGHIJ</t>
  </si>
  <si>
    <t>ABDEIJKL</t>
  </si>
  <si>
    <t>ABDEHJKL</t>
  </si>
  <si>
    <t>ABDEHIKL</t>
  </si>
  <si>
    <t>ABDEHIJL</t>
  </si>
  <si>
    <t>ABDEHIJK</t>
  </si>
  <si>
    <t>ABDEGJKL</t>
  </si>
  <si>
    <t>ABDEGIKL</t>
  </si>
  <si>
    <t>ABDEGIJL</t>
  </si>
  <si>
    <t>ABDEGIJK</t>
  </si>
  <si>
    <t>ABDEGHKL</t>
  </si>
  <si>
    <t>ABDEGHJL</t>
  </si>
  <si>
    <t>ABDEGHJK</t>
  </si>
  <si>
    <t>ABDEGHIL</t>
  </si>
  <si>
    <t>ABDEGHIK</t>
  </si>
  <si>
    <t>ABDEGHIJ</t>
  </si>
  <si>
    <t>ABDEFJKL</t>
  </si>
  <si>
    <t>ABDEFIKL</t>
  </si>
  <si>
    <t>ABDEFIJL</t>
  </si>
  <si>
    <t>ABDEFIJK</t>
  </si>
  <si>
    <t>ABDEFHKL</t>
  </si>
  <si>
    <t>ABDEFHJL</t>
  </si>
  <si>
    <t>ABDEFHJK</t>
  </si>
  <si>
    <t>ABDEFHIL</t>
  </si>
  <si>
    <t>ABDEFHIK</t>
  </si>
  <si>
    <t>ABDEFHIJ</t>
  </si>
  <si>
    <t>ABDEFGKL</t>
  </si>
  <si>
    <t>ABDEFGJL</t>
  </si>
  <si>
    <t>ABDEFGJK</t>
  </si>
  <si>
    <t>ABDEFGIL</t>
  </si>
  <si>
    <t>ABDEFGIK</t>
  </si>
  <si>
    <t>ABDEFGIJ</t>
  </si>
  <si>
    <t>ABDEFGHL</t>
  </si>
  <si>
    <t>ABDEFGHK</t>
  </si>
  <si>
    <t>ABDEFGHJ</t>
  </si>
  <si>
    <t>ABDEFGHI</t>
  </si>
  <si>
    <t>ABCHIJKL</t>
  </si>
  <si>
    <t>ABCGIJKL</t>
  </si>
  <si>
    <t>ABCGHJKL</t>
  </si>
  <si>
    <t>ABCGHIKL</t>
  </si>
  <si>
    <t>ABCGHIJL</t>
  </si>
  <si>
    <t>ABCGHIJK</t>
  </si>
  <si>
    <t>ABCFIJKL</t>
  </si>
  <si>
    <t>ABCFHJKL</t>
  </si>
  <si>
    <t>ABCFHIKL</t>
  </si>
  <si>
    <t>ABCFHIJL</t>
  </si>
  <si>
    <t>ABCFHIJK</t>
  </si>
  <si>
    <t>ABCFGJKL</t>
  </si>
  <si>
    <t>ABCFGIKL</t>
  </si>
  <si>
    <t>ABCFGIJL</t>
  </si>
  <si>
    <t>ABCFGIJK</t>
  </si>
  <si>
    <t>ABCFGHKL</t>
  </si>
  <si>
    <t>ABCFGHJL</t>
  </si>
  <si>
    <t>ABCFGHJK</t>
  </si>
  <si>
    <t>ABCFGHIL</t>
  </si>
  <si>
    <t>ABCFGHIK</t>
  </si>
  <si>
    <t>ABCFGHIJ</t>
  </si>
  <si>
    <t>ABCEIJKL</t>
  </si>
  <si>
    <t>ABCEHJKL</t>
  </si>
  <si>
    <t>ABCEHIKL</t>
  </si>
  <si>
    <t>ABCEHIJL</t>
  </si>
  <si>
    <t>ABCEHIJK</t>
  </si>
  <si>
    <t>ABCEGJKL</t>
  </si>
  <si>
    <t>ABCEGIKL</t>
  </si>
  <si>
    <t>ABCEGIJL</t>
  </si>
  <si>
    <t>ABCEGIJK</t>
  </si>
  <si>
    <t>ABCEGHKL</t>
  </si>
  <si>
    <t>ABCEGHJL</t>
  </si>
  <si>
    <t>ABCEGHJK</t>
  </si>
  <si>
    <t>ABCEGHIL</t>
  </si>
  <si>
    <t>ABCEGHIK</t>
  </si>
  <si>
    <t>ABCEGHIJ</t>
  </si>
  <si>
    <t>ABCEFJKL</t>
  </si>
  <si>
    <t>ABCEFIKL</t>
  </si>
  <si>
    <t>ABCEFIJL</t>
  </si>
  <si>
    <t>ABCEFIJK</t>
  </si>
  <si>
    <t>ABCEFHKL</t>
  </si>
  <si>
    <t>ABCEFHJL</t>
  </si>
  <si>
    <t>ABCEFHJK</t>
  </si>
  <si>
    <t>ABCEFHIL</t>
  </si>
  <si>
    <t>ABCEFHIK</t>
  </si>
  <si>
    <t>ABCEFHIJ</t>
  </si>
  <si>
    <t>ABCEFGKL</t>
  </si>
  <si>
    <t>ABCEFGJL</t>
  </si>
  <si>
    <t>ABCEFGJK</t>
  </si>
  <si>
    <t>ABCEFGIL</t>
  </si>
  <si>
    <t>ABCEFGIK</t>
  </si>
  <si>
    <t>ABCEFGIJ</t>
  </si>
  <si>
    <t>ABCEFGHL</t>
  </si>
  <si>
    <t>ABCEFGHK</t>
  </si>
  <si>
    <t>ABCEFGHJ</t>
  </si>
  <si>
    <t>ABCEFGHI</t>
  </si>
  <si>
    <t>ABCDIJKL</t>
  </si>
  <si>
    <t>ABCDHJKL</t>
  </si>
  <si>
    <t>ABCDHIKL</t>
  </si>
  <si>
    <t>ABCDHIJL</t>
  </si>
  <si>
    <t>ABCDHIJK</t>
  </si>
  <si>
    <t>ABCDGJKL</t>
  </si>
  <si>
    <t>ABCDGIKL</t>
  </si>
  <si>
    <t>ABCDGIJL</t>
  </si>
  <si>
    <t>ABCDGIJK</t>
  </si>
  <si>
    <t>ABCDGHKL</t>
  </si>
  <si>
    <t>ABCDGHJL</t>
  </si>
  <si>
    <t>ABCDGHJK</t>
  </si>
  <si>
    <t>ABCDGHIL</t>
  </si>
  <si>
    <t>ABCDGHIK</t>
  </si>
  <si>
    <t>ABCDGHIJ</t>
  </si>
  <si>
    <t>ABCDFJKL</t>
  </si>
  <si>
    <t>ABCDFIKL</t>
  </si>
  <si>
    <t>ABCDFIJL</t>
  </si>
  <si>
    <t>ABCDFIJK</t>
  </si>
  <si>
    <t>ABCDFHKL</t>
  </si>
  <si>
    <t>ABCDFHJL</t>
  </si>
  <si>
    <t>ABCDFHJK</t>
  </si>
  <si>
    <t>ABCDFHIL</t>
  </si>
  <si>
    <t>ABCDFHIK</t>
  </si>
  <si>
    <t>ABCDFHIJ</t>
  </si>
  <si>
    <t>ABCDFGKL</t>
  </si>
  <si>
    <t>ABCDFGJL</t>
  </si>
  <si>
    <t>ABCDFGJK</t>
  </si>
  <si>
    <t>ABCDFGIL</t>
  </si>
  <si>
    <t>ABCDFGIK</t>
  </si>
  <si>
    <t>ABCDFGIJ</t>
  </si>
  <si>
    <t>ABCDFGHL</t>
  </si>
  <si>
    <t>ABCDFGHK</t>
  </si>
  <si>
    <t>ABCDFGHJ</t>
  </si>
  <si>
    <t>ABCDFGHI</t>
  </si>
  <si>
    <t>ABCDEJKL</t>
  </si>
  <si>
    <t>ABCDEIKL</t>
  </si>
  <si>
    <t>ABCDEIJL</t>
  </si>
  <si>
    <t>ABCDEIJK</t>
  </si>
  <si>
    <t>ABCDEHKL</t>
  </si>
  <si>
    <t>ABCDEHJL</t>
  </si>
  <si>
    <t>ABCDEHJK</t>
  </si>
  <si>
    <t>ABCDEHIL</t>
  </si>
  <si>
    <t>ABCDEHIK</t>
  </si>
  <si>
    <t>ABCDEHIJ</t>
  </si>
  <si>
    <t>ABCDEGKL</t>
  </si>
  <si>
    <t>ABCDEGJL</t>
  </si>
  <si>
    <t>ABCDEGJK</t>
  </si>
  <si>
    <t>ABCDEGIL</t>
  </si>
  <si>
    <t>ABCDEGIK</t>
  </si>
  <si>
    <t>ABCDEGIJ</t>
  </si>
  <si>
    <t>ABCDEGHL</t>
  </si>
  <si>
    <t>ABCDEGHK</t>
  </si>
  <si>
    <t>ABCDEGHJ</t>
  </si>
  <si>
    <t>ABCDEGHI</t>
  </si>
  <si>
    <t>ABCDEFKL</t>
  </si>
  <si>
    <t>ABCDEFJL</t>
  </si>
  <si>
    <t>ABCDEFJK</t>
  </si>
  <si>
    <t>ABCDEFIL</t>
  </si>
  <si>
    <t>ABCDEFIK</t>
  </si>
  <si>
    <t>ABCDEFIJ</t>
  </si>
  <si>
    <t>ABCDEFHL</t>
  </si>
  <si>
    <t>ABCDEFHK</t>
  </si>
  <si>
    <t>ABCDEFHJ</t>
  </si>
  <si>
    <t>ABCDEFHI</t>
  </si>
  <si>
    <t>ABCDEFGL</t>
  </si>
  <si>
    <t>ABCDEFGK</t>
  </si>
  <si>
    <t>ABCDEFGJ</t>
  </si>
  <si>
    <t>ABCDEFGI</t>
  </si>
  <si>
    <t>ABCDEFGH</t>
  </si>
  <si>
    <t>Campo</t>
  </si>
  <si>
    <t>Valor</t>
  </si>
  <si>
    <t>Fonte principal</t>
  </si>
  <si>
    <t>https://en.wikipedia.org/wiki/Template:2026_FIFA_World_Cup_third-place_table</t>
  </si>
  <si>
    <t>Página consultada</t>
  </si>
  <si>
    <t>https://en.wikipedia.org/wiki/2026_FIFA_World_Cup_knockout_stage</t>
  </si>
  <si>
    <t>Observação</t>
  </si>
  <si>
    <t>Tabela de combinações de confrontos do Round of 32; coluna No. original removida.</t>
  </si>
  <si>
    <t>Linhas exportadas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</si>
</sst>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rlito"/>
    </font>
    <font>
      <b/>
      <sz val="11"/>
      <name val="Carlito"/>
    </font>
    <font>
      <b/>
      <sz val="11"/>
      <name val="Calibri"/>
      <family val="2"/>
    </font>
    <font>
      <sz val="11"/>
      <name val="Calibri"/>
      <family val="2"/>
    </font>
    <font>
      <b/>
      <sz val="9"/>
      <color rgb="FFFFFFFF"/>
      <name val="Arial"/>
      <family val="2"/>
    </font>
    <font>
      <b/>
      <sz val="9"/>
      <color rgb="FF7B1FA2"/>
      <name val="Arial"/>
      <family val="2"/>
    </font>
    <font>
      <sz val="9"/>
      <color rgb="FF1A1A2E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7B1FA2"/>
        <bgColor rgb="FF7B1FA2"/>
      </patternFill>
    </fill>
    <fill>
      <patternFill patternType="solid">
        <fgColor rgb="FFF3E5F5"/>
        <bgColor rgb="FFF3E5F5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0" xfId="0" applyNumberFormat="1" applyFont="1" applyFill="1" applyBorder="1" applyAlignment="1">
      <alignment horizontal="center"/>
    </xf>
    <xf numFmtId="0" fontId="3" fillId="0" borderId="0" xfId="0" applyNumberFormat="1" applyFont="1" applyFill="1" applyBorder="1" applyAlignment="1">
      <alignment horizontal="center"/>
    </xf>
    <xf numFmtId="0" fontId="1" fillId="2" borderId="0" xfId="0" applyNumberFormat="1" applyFont="1" applyFill="1" applyBorder="1" applyAlignment="1">
      <alignment wrapText="1"/>
    </xf>
    <xf numFmtId="0" fontId="0" fillId="0" borderId="0" xfId="0" applyNumberFormat="1" applyFont="1" applyFill="1" applyBorder="1" applyAlignment="1">
      <alignment wrapText="1"/>
    </xf>
    <xf numFmtId="0" fontId="4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263B71F-47D4-4A7D-A02B-227DD511CB3E}" name="_R32Matchups3" displayName="_R32Matchups3" ref="A1:I496">
  <autoFilter ref="A1:I496" xr:uid="{7E439161-01AF-47FE-BBC0-071549622CE0}"/>
  <sortState xmlns:xlrd2="http://schemas.microsoft.com/office/spreadsheetml/2017/richdata2" ref="A2:I496">
    <sortCondition ref="A1:A496"/>
  </sortState>
  <tableColumns count="9">
    <tableColumn id="1" xr3:uid="{9878C186-F302-4E5A-B42C-C2E70110E93D}" name="Chave"/>
    <tableColumn id="2" xr3:uid="{040E1728-A46D-47A9-B85A-79375E20E86F}" name="1A vs"/>
    <tableColumn id="3" xr3:uid="{606048D4-09EE-4D24-B367-458EE85E100B}" name="1B vs"/>
    <tableColumn id="4" xr3:uid="{F1C77488-1C94-47EF-B957-BA5461B774D2}" name="1D vs"/>
    <tableColumn id="5" xr3:uid="{17B9F42F-5711-430D-8440-63118D82CD99}" name="1E vs"/>
    <tableColumn id="6" xr3:uid="{A81590AA-61A6-4EB5-8788-A26F5FDCCEAC}" name="1G vs"/>
    <tableColumn id="7" xr3:uid="{F917927E-D18B-4276-A3B9-75B2131C7AF8}" name="1I vs"/>
    <tableColumn id="8" xr3:uid="{0DA84508-23C4-47D8-96D1-AF6E512E7848}" name="1K vs"/>
    <tableColumn id="9" xr3:uid="{3ACDE877-3F68-4A64-8B58-D4C117DCABC9}" name="1L v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32Matchups" displayName="_R32Matchups" ref="A1:I496">
  <tableColumns count="9">
    <tableColumn id="1" xr3:uid="{00000000-0010-0000-0000-000001000000}" name="Chave"/>
    <tableColumn id="2" xr3:uid="{00000000-0010-0000-0000-000002000000}" name="1A vs"/>
    <tableColumn id="3" xr3:uid="{00000000-0010-0000-0000-000003000000}" name="1B vs"/>
    <tableColumn id="4" xr3:uid="{00000000-0010-0000-0000-000004000000}" name="1D vs"/>
    <tableColumn id="5" xr3:uid="{00000000-0010-0000-0000-000005000000}" name="1E vs"/>
    <tableColumn id="6" xr3:uid="{00000000-0010-0000-0000-000006000000}" name="1G vs"/>
    <tableColumn id="7" xr3:uid="{00000000-0010-0000-0000-000007000000}" name="1I vs"/>
    <tableColumn id="8" xr3:uid="{00000000-0010-0000-0000-000008000000}" name="1K vs"/>
    <tableColumn id="9" xr3:uid="{00000000-0010-0000-0000-000009000000}" name="1L v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6D8C6-3AE2-45FE-8A6A-1F265ED55E8E}">
  <dimension ref="A1:I496"/>
  <sheetViews>
    <sheetView tabSelected="1" workbookViewId="0">
      <selection activeCell="A2" sqref="A2"/>
    </sheetView>
  </sheetViews>
  <sheetFormatPr defaultRowHeight="13.8"/>
  <cols>
    <col min="1" max="1" width="14" customWidth="1"/>
    <col min="2" max="9" width="10" customWidth="1"/>
  </cols>
  <sheetData>
    <row r="1" spans="1:9" ht="14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4.4">
      <c r="A2" s="2" t="s">
        <v>515</v>
      </c>
      <c r="B2" s="2" t="s">
        <v>14</v>
      </c>
      <c r="C2" s="2" t="s">
        <v>15</v>
      </c>
      <c r="D2" s="2" t="s">
        <v>65</v>
      </c>
      <c r="E2" s="2" t="s">
        <v>28</v>
      </c>
      <c r="F2" s="2" t="s">
        <v>186</v>
      </c>
      <c r="G2" s="2" t="s">
        <v>13</v>
      </c>
      <c r="H2" s="2" t="s">
        <v>19</v>
      </c>
      <c r="I2" s="2" t="s">
        <v>10</v>
      </c>
    </row>
    <row r="3" spans="1:9" ht="14.4">
      <c r="A3" s="2" t="s">
        <v>514</v>
      </c>
      <c r="B3" s="2" t="s">
        <v>28</v>
      </c>
      <c r="C3" s="2" t="s">
        <v>15</v>
      </c>
      <c r="D3" s="2" t="s">
        <v>65</v>
      </c>
      <c r="E3" s="2" t="s">
        <v>19</v>
      </c>
      <c r="F3" s="2" t="s">
        <v>186</v>
      </c>
      <c r="G3" s="2" t="s">
        <v>13</v>
      </c>
      <c r="H3" s="2" t="s">
        <v>10</v>
      </c>
      <c r="I3" s="2" t="s">
        <v>12</v>
      </c>
    </row>
    <row r="4" spans="1:9" ht="14.4">
      <c r="A4" s="2" t="s">
        <v>513</v>
      </c>
      <c r="B4" s="2" t="s">
        <v>28</v>
      </c>
      <c r="C4" s="2" t="s">
        <v>15</v>
      </c>
      <c r="D4" s="2" t="s">
        <v>65</v>
      </c>
      <c r="E4" s="2" t="s">
        <v>19</v>
      </c>
      <c r="F4" s="2" t="s">
        <v>186</v>
      </c>
      <c r="G4" s="2" t="s">
        <v>13</v>
      </c>
      <c r="H4" s="2" t="s">
        <v>10</v>
      </c>
      <c r="I4" s="2" t="s">
        <v>11</v>
      </c>
    </row>
    <row r="5" spans="1:9" ht="14.4">
      <c r="A5" s="2" t="s">
        <v>512</v>
      </c>
      <c r="B5" s="2" t="s">
        <v>28</v>
      </c>
      <c r="C5" s="2" t="s">
        <v>15</v>
      </c>
      <c r="D5" s="2" t="s">
        <v>65</v>
      </c>
      <c r="E5" s="2" t="s">
        <v>19</v>
      </c>
      <c r="F5" s="2" t="s">
        <v>186</v>
      </c>
      <c r="G5" s="2" t="s">
        <v>13</v>
      </c>
      <c r="H5" s="2" t="s">
        <v>10</v>
      </c>
      <c r="I5" s="2" t="s">
        <v>17</v>
      </c>
    </row>
    <row r="6" spans="1:9" ht="14.4">
      <c r="A6" s="2" t="s">
        <v>511</v>
      </c>
      <c r="B6" s="2" t="s">
        <v>28</v>
      </c>
      <c r="C6" s="2" t="s">
        <v>15</v>
      </c>
      <c r="D6" s="2" t="s">
        <v>65</v>
      </c>
      <c r="E6" s="2" t="s">
        <v>19</v>
      </c>
      <c r="F6" s="2" t="s">
        <v>186</v>
      </c>
      <c r="G6" s="2" t="s">
        <v>13</v>
      </c>
      <c r="H6" s="2" t="s">
        <v>16</v>
      </c>
      <c r="I6" s="2" t="s">
        <v>10</v>
      </c>
    </row>
    <row r="7" spans="1:9" ht="14.4">
      <c r="A7" s="2" t="s">
        <v>510</v>
      </c>
      <c r="B7" s="2" t="s">
        <v>14</v>
      </c>
      <c r="C7" s="2" t="s">
        <v>10</v>
      </c>
      <c r="D7" s="2" t="s">
        <v>65</v>
      </c>
      <c r="E7" s="2" t="s">
        <v>28</v>
      </c>
      <c r="F7" s="2" t="s">
        <v>186</v>
      </c>
      <c r="G7" s="2" t="s">
        <v>13</v>
      </c>
      <c r="H7" s="2" t="s">
        <v>19</v>
      </c>
      <c r="I7" s="2" t="s">
        <v>12</v>
      </c>
    </row>
    <row r="8" spans="1:9" ht="14.4">
      <c r="A8" s="2" t="s">
        <v>509</v>
      </c>
      <c r="B8" s="2" t="s">
        <v>14</v>
      </c>
      <c r="C8" s="2" t="s">
        <v>11</v>
      </c>
      <c r="D8" s="2" t="s">
        <v>65</v>
      </c>
      <c r="E8" s="2" t="s">
        <v>28</v>
      </c>
      <c r="F8" s="2" t="s">
        <v>186</v>
      </c>
      <c r="G8" s="2" t="s">
        <v>13</v>
      </c>
      <c r="H8" s="2" t="s">
        <v>19</v>
      </c>
      <c r="I8" s="2" t="s">
        <v>10</v>
      </c>
    </row>
    <row r="9" spans="1:9" ht="14.4">
      <c r="A9" s="2" t="s">
        <v>508</v>
      </c>
      <c r="B9" s="2" t="s">
        <v>14</v>
      </c>
      <c r="C9" s="2" t="s">
        <v>10</v>
      </c>
      <c r="D9" s="2" t="s">
        <v>65</v>
      </c>
      <c r="E9" s="2" t="s">
        <v>28</v>
      </c>
      <c r="F9" s="2" t="s">
        <v>186</v>
      </c>
      <c r="G9" s="2" t="s">
        <v>13</v>
      </c>
      <c r="H9" s="2" t="s">
        <v>19</v>
      </c>
      <c r="I9" s="2" t="s">
        <v>17</v>
      </c>
    </row>
    <row r="10" spans="1:9" ht="14.4">
      <c r="A10" s="2" t="s">
        <v>507</v>
      </c>
      <c r="B10" s="2" t="s">
        <v>14</v>
      </c>
      <c r="C10" s="2" t="s">
        <v>13</v>
      </c>
      <c r="D10" s="2" t="s">
        <v>65</v>
      </c>
      <c r="E10" s="2" t="s">
        <v>28</v>
      </c>
      <c r="F10" s="2" t="s">
        <v>186</v>
      </c>
      <c r="G10" s="2" t="s">
        <v>19</v>
      </c>
      <c r="H10" s="2" t="s">
        <v>16</v>
      </c>
      <c r="I10" s="2" t="s">
        <v>10</v>
      </c>
    </row>
    <row r="11" spans="1:9" ht="14.4">
      <c r="A11" s="2" t="s">
        <v>506</v>
      </c>
      <c r="B11" s="2" t="s">
        <v>28</v>
      </c>
      <c r="C11" s="2" t="s">
        <v>11</v>
      </c>
      <c r="D11" s="2" t="s">
        <v>65</v>
      </c>
      <c r="E11" s="2" t="s">
        <v>19</v>
      </c>
      <c r="F11" s="2" t="s">
        <v>186</v>
      </c>
      <c r="G11" s="2" t="s">
        <v>13</v>
      </c>
      <c r="H11" s="2" t="s">
        <v>10</v>
      </c>
      <c r="I11" s="2" t="s">
        <v>12</v>
      </c>
    </row>
    <row r="12" spans="1:9" ht="14.4">
      <c r="A12" s="2" t="s">
        <v>505</v>
      </c>
      <c r="B12" s="2" t="s">
        <v>28</v>
      </c>
      <c r="C12" s="2" t="s">
        <v>10</v>
      </c>
      <c r="D12" s="2" t="s">
        <v>65</v>
      </c>
      <c r="E12" s="2" t="s">
        <v>19</v>
      </c>
      <c r="F12" s="2" t="s">
        <v>186</v>
      </c>
      <c r="G12" s="2" t="s">
        <v>13</v>
      </c>
      <c r="H12" s="2" t="s">
        <v>12</v>
      </c>
      <c r="I12" s="2" t="s">
        <v>17</v>
      </c>
    </row>
    <row r="13" spans="1:9" ht="14.4">
      <c r="A13" s="2" t="s">
        <v>504</v>
      </c>
      <c r="B13" s="2" t="s">
        <v>28</v>
      </c>
      <c r="C13" s="2" t="s">
        <v>10</v>
      </c>
      <c r="D13" s="2" t="s">
        <v>65</v>
      </c>
      <c r="E13" s="2" t="s">
        <v>19</v>
      </c>
      <c r="F13" s="2" t="s">
        <v>186</v>
      </c>
      <c r="G13" s="2" t="s">
        <v>13</v>
      </c>
      <c r="H13" s="2" t="s">
        <v>16</v>
      </c>
      <c r="I13" s="2" t="s">
        <v>12</v>
      </c>
    </row>
    <row r="14" spans="1:9" ht="14.4">
      <c r="A14" s="2" t="s">
        <v>503</v>
      </c>
      <c r="B14" s="2" t="s">
        <v>28</v>
      </c>
      <c r="C14" s="2" t="s">
        <v>11</v>
      </c>
      <c r="D14" s="2" t="s">
        <v>65</v>
      </c>
      <c r="E14" s="2" t="s">
        <v>19</v>
      </c>
      <c r="F14" s="2" t="s">
        <v>186</v>
      </c>
      <c r="G14" s="2" t="s">
        <v>13</v>
      </c>
      <c r="H14" s="2" t="s">
        <v>10</v>
      </c>
      <c r="I14" s="2" t="s">
        <v>17</v>
      </c>
    </row>
    <row r="15" spans="1:9" ht="14.4">
      <c r="A15" s="2" t="s">
        <v>502</v>
      </c>
      <c r="B15" s="2" t="s">
        <v>28</v>
      </c>
      <c r="C15" s="2" t="s">
        <v>11</v>
      </c>
      <c r="D15" s="2" t="s">
        <v>65</v>
      </c>
      <c r="E15" s="2" t="s">
        <v>19</v>
      </c>
      <c r="F15" s="2" t="s">
        <v>186</v>
      </c>
      <c r="G15" s="2" t="s">
        <v>13</v>
      </c>
      <c r="H15" s="2" t="s">
        <v>16</v>
      </c>
      <c r="I15" s="2" t="s">
        <v>10</v>
      </c>
    </row>
    <row r="16" spans="1:9" ht="14.4">
      <c r="A16" s="2" t="s">
        <v>501</v>
      </c>
      <c r="B16" s="2" t="s">
        <v>28</v>
      </c>
      <c r="C16" s="2" t="s">
        <v>10</v>
      </c>
      <c r="D16" s="2" t="s">
        <v>65</v>
      </c>
      <c r="E16" s="2" t="s">
        <v>19</v>
      </c>
      <c r="F16" s="2" t="s">
        <v>186</v>
      </c>
      <c r="G16" s="2" t="s">
        <v>13</v>
      </c>
      <c r="H16" s="2" t="s">
        <v>16</v>
      </c>
      <c r="I16" s="2" t="s">
        <v>17</v>
      </c>
    </row>
    <row r="17" spans="1:9" ht="14.4">
      <c r="A17" s="2" t="s">
        <v>500</v>
      </c>
      <c r="B17" s="2" t="s">
        <v>14</v>
      </c>
      <c r="C17" s="2" t="s">
        <v>15</v>
      </c>
      <c r="D17" s="2" t="s">
        <v>65</v>
      </c>
      <c r="E17" s="2" t="s">
        <v>28</v>
      </c>
      <c r="F17" s="2" t="s">
        <v>186</v>
      </c>
      <c r="G17" s="2" t="s">
        <v>19</v>
      </c>
      <c r="H17" s="2" t="s">
        <v>10</v>
      </c>
      <c r="I17" s="2" t="s">
        <v>12</v>
      </c>
    </row>
    <row r="18" spans="1:9" ht="14.4">
      <c r="A18" s="2" t="s">
        <v>499</v>
      </c>
      <c r="B18" s="2" t="s">
        <v>14</v>
      </c>
      <c r="C18" s="2" t="s">
        <v>15</v>
      </c>
      <c r="D18" s="2" t="s">
        <v>65</v>
      </c>
      <c r="E18" s="2" t="s">
        <v>28</v>
      </c>
      <c r="F18" s="2" t="s">
        <v>186</v>
      </c>
      <c r="G18" s="2" t="s">
        <v>19</v>
      </c>
      <c r="H18" s="2" t="s">
        <v>10</v>
      </c>
      <c r="I18" s="2" t="s">
        <v>11</v>
      </c>
    </row>
    <row r="19" spans="1:9" ht="14.4">
      <c r="A19" s="2" t="s">
        <v>498</v>
      </c>
      <c r="B19" s="2" t="s">
        <v>14</v>
      </c>
      <c r="C19" s="2" t="s">
        <v>15</v>
      </c>
      <c r="D19" s="2" t="s">
        <v>65</v>
      </c>
      <c r="E19" s="2" t="s">
        <v>28</v>
      </c>
      <c r="F19" s="2" t="s">
        <v>186</v>
      </c>
      <c r="G19" s="2" t="s">
        <v>19</v>
      </c>
      <c r="H19" s="2" t="s">
        <v>10</v>
      </c>
      <c r="I19" s="2" t="s">
        <v>17</v>
      </c>
    </row>
    <row r="20" spans="1:9" ht="14.4">
      <c r="A20" s="2" t="s">
        <v>497</v>
      </c>
      <c r="B20" s="2" t="s">
        <v>14</v>
      </c>
      <c r="C20" s="2" t="s">
        <v>15</v>
      </c>
      <c r="D20" s="2" t="s">
        <v>65</v>
      </c>
      <c r="E20" s="2" t="s">
        <v>28</v>
      </c>
      <c r="F20" s="2" t="s">
        <v>186</v>
      </c>
      <c r="G20" s="2" t="s">
        <v>19</v>
      </c>
      <c r="H20" s="2" t="s">
        <v>16</v>
      </c>
      <c r="I20" s="2" t="s">
        <v>10</v>
      </c>
    </row>
    <row r="21" spans="1:9" ht="14.4">
      <c r="A21" s="2" t="s">
        <v>496</v>
      </c>
      <c r="B21" s="2" t="s">
        <v>10</v>
      </c>
      <c r="C21" s="2" t="s">
        <v>15</v>
      </c>
      <c r="D21" s="2" t="s">
        <v>65</v>
      </c>
      <c r="E21" s="2" t="s">
        <v>28</v>
      </c>
      <c r="F21" s="2" t="s">
        <v>186</v>
      </c>
      <c r="G21" s="2" t="s">
        <v>19</v>
      </c>
      <c r="H21" s="2" t="s">
        <v>12</v>
      </c>
      <c r="I21" s="2" t="s">
        <v>11</v>
      </c>
    </row>
    <row r="22" spans="1:9" ht="14.4">
      <c r="A22" s="2" t="s">
        <v>495</v>
      </c>
      <c r="B22" s="2" t="s">
        <v>10</v>
      </c>
      <c r="C22" s="2" t="s">
        <v>15</v>
      </c>
      <c r="D22" s="2" t="s">
        <v>65</v>
      </c>
      <c r="E22" s="2" t="s">
        <v>28</v>
      </c>
      <c r="F22" s="2" t="s">
        <v>186</v>
      </c>
      <c r="G22" s="2" t="s">
        <v>19</v>
      </c>
      <c r="H22" s="2" t="s">
        <v>12</v>
      </c>
      <c r="I22" s="2" t="s">
        <v>17</v>
      </c>
    </row>
    <row r="23" spans="1:9" ht="14.4">
      <c r="A23" s="2" t="s">
        <v>494</v>
      </c>
      <c r="B23" s="2" t="s">
        <v>10</v>
      </c>
      <c r="C23" s="2" t="s">
        <v>15</v>
      </c>
      <c r="D23" s="2" t="s">
        <v>65</v>
      </c>
      <c r="E23" s="2" t="s">
        <v>28</v>
      </c>
      <c r="F23" s="2" t="s">
        <v>186</v>
      </c>
      <c r="G23" s="2" t="s">
        <v>19</v>
      </c>
      <c r="H23" s="2" t="s">
        <v>16</v>
      </c>
      <c r="I23" s="2" t="s">
        <v>12</v>
      </c>
    </row>
    <row r="24" spans="1:9" ht="14.4">
      <c r="A24" s="2" t="s">
        <v>493</v>
      </c>
      <c r="B24" s="2" t="s">
        <v>10</v>
      </c>
      <c r="C24" s="2" t="s">
        <v>15</v>
      </c>
      <c r="D24" s="2" t="s">
        <v>65</v>
      </c>
      <c r="E24" s="2" t="s">
        <v>28</v>
      </c>
      <c r="F24" s="2" t="s">
        <v>186</v>
      </c>
      <c r="G24" s="2" t="s">
        <v>19</v>
      </c>
      <c r="H24" s="2" t="s">
        <v>11</v>
      </c>
      <c r="I24" s="2" t="s">
        <v>17</v>
      </c>
    </row>
    <row r="25" spans="1:9" ht="14.4">
      <c r="A25" s="2" t="s">
        <v>492</v>
      </c>
      <c r="B25" s="2" t="s">
        <v>10</v>
      </c>
      <c r="C25" s="2" t="s">
        <v>15</v>
      </c>
      <c r="D25" s="2" t="s">
        <v>65</v>
      </c>
      <c r="E25" s="2" t="s">
        <v>28</v>
      </c>
      <c r="F25" s="2" t="s">
        <v>186</v>
      </c>
      <c r="G25" s="2" t="s">
        <v>19</v>
      </c>
      <c r="H25" s="2" t="s">
        <v>16</v>
      </c>
      <c r="I25" s="2" t="s">
        <v>11</v>
      </c>
    </row>
    <row r="26" spans="1:9" ht="14.4">
      <c r="A26" s="2" t="s">
        <v>491</v>
      </c>
      <c r="B26" s="2" t="s">
        <v>10</v>
      </c>
      <c r="C26" s="2" t="s">
        <v>15</v>
      </c>
      <c r="D26" s="2" t="s">
        <v>65</v>
      </c>
      <c r="E26" s="2" t="s">
        <v>28</v>
      </c>
      <c r="F26" s="2" t="s">
        <v>186</v>
      </c>
      <c r="G26" s="2" t="s">
        <v>19</v>
      </c>
      <c r="H26" s="2" t="s">
        <v>16</v>
      </c>
      <c r="I26" s="2" t="s">
        <v>17</v>
      </c>
    </row>
    <row r="27" spans="1:9" ht="14.4">
      <c r="A27" s="2" t="s">
        <v>490</v>
      </c>
      <c r="B27" s="2" t="s">
        <v>14</v>
      </c>
      <c r="C27" s="2" t="s">
        <v>11</v>
      </c>
      <c r="D27" s="2" t="s">
        <v>65</v>
      </c>
      <c r="E27" s="2" t="s">
        <v>28</v>
      </c>
      <c r="F27" s="2" t="s">
        <v>186</v>
      </c>
      <c r="G27" s="2" t="s">
        <v>19</v>
      </c>
      <c r="H27" s="2" t="s">
        <v>10</v>
      </c>
      <c r="I27" s="2" t="s">
        <v>12</v>
      </c>
    </row>
    <row r="28" spans="1:9" ht="14.4">
      <c r="A28" s="2" t="s">
        <v>489</v>
      </c>
      <c r="B28" s="2" t="s">
        <v>14</v>
      </c>
      <c r="C28" s="2" t="s">
        <v>10</v>
      </c>
      <c r="D28" s="2" t="s">
        <v>65</v>
      </c>
      <c r="E28" s="2" t="s">
        <v>28</v>
      </c>
      <c r="F28" s="2" t="s">
        <v>186</v>
      </c>
      <c r="G28" s="2" t="s">
        <v>19</v>
      </c>
      <c r="H28" s="2" t="s">
        <v>12</v>
      </c>
      <c r="I28" s="2" t="s">
        <v>17</v>
      </c>
    </row>
    <row r="29" spans="1:9" ht="14.4">
      <c r="A29" s="2" t="s">
        <v>488</v>
      </c>
      <c r="B29" s="2" t="s">
        <v>14</v>
      </c>
      <c r="C29" s="2" t="s">
        <v>10</v>
      </c>
      <c r="D29" s="2" t="s">
        <v>65</v>
      </c>
      <c r="E29" s="2" t="s">
        <v>28</v>
      </c>
      <c r="F29" s="2" t="s">
        <v>186</v>
      </c>
      <c r="G29" s="2" t="s">
        <v>19</v>
      </c>
      <c r="H29" s="2" t="s">
        <v>16</v>
      </c>
      <c r="I29" s="2" t="s">
        <v>12</v>
      </c>
    </row>
    <row r="30" spans="1:9" ht="14.4">
      <c r="A30" s="2" t="s">
        <v>487</v>
      </c>
      <c r="B30" s="2" t="s">
        <v>14</v>
      </c>
      <c r="C30" s="2" t="s">
        <v>11</v>
      </c>
      <c r="D30" s="2" t="s">
        <v>65</v>
      </c>
      <c r="E30" s="2" t="s">
        <v>28</v>
      </c>
      <c r="F30" s="2" t="s">
        <v>186</v>
      </c>
      <c r="G30" s="2" t="s">
        <v>19</v>
      </c>
      <c r="H30" s="2" t="s">
        <v>10</v>
      </c>
      <c r="I30" s="2" t="s">
        <v>17</v>
      </c>
    </row>
    <row r="31" spans="1:9" ht="14.4">
      <c r="A31" s="2" t="s">
        <v>486</v>
      </c>
      <c r="B31" s="2" t="s">
        <v>14</v>
      </c>
      <c r="C31" s="2" t="s">
        <v>11</v>
      </c>
      <c r="D31" s="2" t="s">
        <v>65</v>
      </c>
      <c r="E31" s="2" t="s">
        <v>28</v>
      </c>
      <c r="F31" s="2" t="s">
        <v>186</v>
      </c>
      <c r="G31" s="2" t="s">
        <v>19</v>
      </c>
      <c r="H31" s="2" t="s">
        <v>16</v>
      </c>
      <c r="I31" s="2" t="s">
        <v>10</v>
      </c>
    </row>
    <row r="32" spans="1:9" ht="14.4">
      <c r="A32" s="2" t="s">
        <v>485</v>
      </c>
      <c r="B32" s="2" t="s">
        <v>14</v>
      </c>
      <c r="C32" s="2" t="s">
        <v>10</v>
      </c>
      <c r="D32" s="2" t="s">
        <v>65</v>
      </c>
      <c r="E32" s="2" t="s">
        <v>28</v>
      </c>
      <c r="F32" s="2" t="s">
        <v>186</v>
      </c>
      <c r="G32" s="2" t="s">
        <v>19</v>
      </c>
      <c r="H32" s="2" t="s">
        <v>16</v>
      </c>
      <c r="I32" s="2" t="s">
        <v>17</v>
      </c>
    </row>
    <row r="33" spans="1:9" ht="14.4">
      <c r="A33" s="2" t="s">
        <v>484</v>
      </c>
      <c r="B33" s="2" t="s">
        <v>10</v>
      </c>
      <c r="C33" s="2" t="s">
        <v>11</v>
      </c>
      <c r="D33" s="2" t="s">
        <v>65</v>
      </c>
      <c r="E33" s="2" t="s">
        <v>28</v>
      </c>
      <c r="F33" s="2" t="s">
        <v>186</v>
      </c>
      <c r="G33" s="2" t="s">
        <v>19</v>
      </c>
      <c r="H33" s="2" t="s">
        <v>12</v>
      </c>
      <c r="I33" s="2" t="s">
        <v>17</v>
      </c>
    </row>
    <row r="34" spans="1:9" ht="14.4">
      <c r="A34" s="2" t="s">
        <v>483</v>
      </c>
      <c r="B34" s="2" t="s">
        <v>10</v>
      </c>
      <c r="C34" s="2" t="s">
        <v>11</v>
      </c>
      <c r="D34" s="2" t="s">
        <v>65</v>
      </c>
      <c r="E34" s="2" t="s">
        <v>28</v>
      </c>
      <c r="F34" s="2" t="s">
        <v>186</v>
      </c>
      <c r="G34" s="2" t="s">
        <v>19</v>
      </c>
      <c r="H34" s="2" t="s">
        <v>16</v>
      </c>
      <c r="I34" s="2" t="s">
        <v>12</v>
      </c>
    </row>
    <row r="35" spans="1:9" ht="14.4">
      <c r="A35" s="2" t="s">
        <v>482</v>
      </c>
      <c r="B35" s="2" t="s">
        <v>10</v>
      </c>
      <c r="C35" s="2" t="s">
        <v>12</v>
      </c>
      <c r="D35" s="2" t="s">
        <v>65</v>
      </c>
      <c r="E35" s="2" t="s">
        <v>28</v>
      </c>
      <c r="F35" s="2" t="s">
        <v>186</v>
      </c>
      <c r="G35" s="2" t="s">
        <v>19</v>
      </c>
      <c r="H35" s="2" t="s">
        <v>16</v>
      </c>
      <c r="I35" s="2" t="s">
        <v>17</v>
      </c>
    </row>
    <row r="36" spans="1:9" ht="14.4">
      <c r="A36" s="2" t="s">
        <v>481</v>
      </c>
      <c r="B36" s="2" t="s">
        <v>10</v>
      </c>
      <c r="C36" s="2" t="s">
        <v>11</v>
      </c>
      <c r="D36" s="2" t="s">
        <v>65</v>
      </c>
      <c r="E36" s="2" t="s">
        <v>28</v>
      </c>
      <c r="F36" s="2" t="s">
        <v>186</v>
      </c>
      <c r="G36" s="2" t="s">
        <v>19</v>
      </c>
      <c r="H36" s="2" t="s">
        <v>16</v>
      </c>
      <c r="I36" s="2" t="s">
        <v>17</v>
      </c>
    </row>
    <row r="37" spans="1:9" ht="14.4">
      <c r="A37" s="2" t="s">
        <v>480</v>
      </c>
      <c r="B37" s="2" t="s">
        <v>14</v>
      </c>
      <c r="C37" s="2" t="s">
        <v>15</v>
      </c>
      <c r="D37" s="2" t="s">
        <v>65</v>
      </c>
      <c r="E37" s="2" t="s">
        <v>28</v>
      </c>
      <c r="F37" s="2" t="s">
        <v>186</v>
      </c>
      <c r="G37" s="2" t="s">
        <v>13</v>
      </c>
      <c r="H37" s="2" t="s">
        <v>19</v>
      </c>
      <c r="I37" s="2" t="s">
        <v>12</v>
      </c>
    </row>
    <row r="38" spans="1:9" ht="14.4">
      <c r="A38" s="2" t="s">
        <v>479</v>
      </c>
      <c r="B38" s="2" t="s">
        <v>14</v>
      </c>
      <c r="C38" s="2" t="s">
        <v>15</v>
      </c>
      <c r="D38" s="2" t="s">
        <v>65</v>
      </c>
      <c r="E38" s="2" t="s">
        <v>28</v>
      </c>
      <c r="F38" s="2" t="s">
        <v>186</v>
      </c>
      <c r="G38" s="2" t="s">
        <v>13</v>
      </c>
      <c r="H38" s="2" t="s">
        <v>19</v>
      </c>
      <c r="I38" s="2" t="s">
        <v>11</v>
      </c>
    </row>
    <row r="39" spans="1:9" ht="14.4">
      <c r="A39" s="2" t="s">
        <v>478</v>
      </c>
      <c r="B39" s="2" t="s">
        <v>14</v>
      </c>
      <c r="C39" s="2" t="s">
        <v>15</v>
      </c>
      <c r="D39" s="2" t="s">
        <v>65</v>
      </c>
      <c r="E39" s="2" t="s">
        <v>28</v>
      </c>
      <c r="F39" s="2" t="s">
        <v>186</v>
      </c>
      <c r="G39" s="2" t="s">
        <v>13</v>
      </c>
      <c r="H39" s="2" t="s">
        <v>19</v>
      </c>
      <c r="I39" s="2" t="s">
        <v>17</v>
      </c>
    </row>
    <row r="40" spans="1:9" ht="14.4">
      <c r="A40" s="2" t="s">
        <v>477</v>
      </c>
      <c r="B40" s="2" t="s">
        <v>28</v>
      </c>
      <c r="C40" s="2" t="s">
        <v>15</v>
      </c>
      <c r="D40" s="2" t="s">
        <v>65</v>
      </c>
      <c r="E40" s="2" t="s">
        <v>19</v>
      </c>
      <c r="F40" s="2" t="s">
        <v>186</v>
      </c>
      <c r="G40" s="2" t="s">
        <v>13</v>
      </c>
      <c r="H40" s="2" t="s">
        <v>16</v>
      </c>
      <c r="I40" s="2" t="s">
        <v>14</v>
      </c>
    </row>
    <row r="41" spans="1:9" ht="14.4">
      <c r="A41" s="2" t="s">
        <v>476</v>
      </c>
      <c r="B41" s="2" t="s">
        <v>28</v>
      </c>
      <c r="C41" s="2" t="s">
        <v>15</v>
      </c>
      <c r="D41" s="2" t="s">
        <v>65</v>
      </c>
      <c r="E41" s="2" t="s">
        <v>19</v>
      </c>
      <c r="F41" s="2" t="s">
        <v>186</v>
      </c>
      <c r="G41" s="2" t="s">
        <v>13</v>
      </c>
      <c r="H41" s="2" t="s">
        <v>12</v>
      </c>
      <c r="I41" s="2" t="s">
        <v>11</v>
      </c>
    </row>
    <row r="42" spans="1:9" ht="14.4">
      <c r="A42" s="2" t="s">
        <v>475</v>
      </c>
      <c r="B42" s="2" t="s">
        <v>28</v>
      </c>
      <c r="C42" s="2" t="s">
        <v>15</v>
      </c>
      <c r="D42" s="2" t="s">
        <v>65</v>
      </c>
      <c r="E42" s="2" t="s">
        <v>19</v>
      </c>
      <c r="F42" s="2" t="s">
        <v>186</v>
      </c>
      <c r="G42" s="2" t="s">
        <v>13</v>
      </c>
      <c r="H42" s="2" t="s">
        <v>12</v>
      </c>
      <c r="I42" s="2" t="s">
        <v>17</v>
      </c>
    </row>
    <row r="43" spans="1:9" ht="14.4">
      <c r="A43" s="2" t="s">
        <v>474</v>
      </c>
      <c r="B43" s="2" t="s">
        <v>28</v>
      </c>
      <c r="C43" s="2" t="s">
        <v>15</v>
      </c>
      <c r="D43" s="2" t="s">
        <v>65</v>
      </c>
      <c r="E43" s="2" t="s">
        <v>19</v>
      </c>
      <c r="F43" s="2" t="s">
        <v>186</v>
      </c>
      <c r="G43" s="2" t="s">
        <v>13</v>
      </c>
      <c r="H43" s="2" t="s">
        <v>16</v>
      </c>
      <c r="I43" s="2" t="s">
        <v>12</v>
      </c>
    </row>
    <row r="44" spans="1:9" ht="14.4">
      <c r="A44" s="2" t="s">
        <v>473</v>
      </c>
      <c r="B44" s="2" t="s">
        <v>28</v>
      </c>
      <c r="C44" s="2" t="s">
        <v>15</v>
      </c>
      <c r="D44" s="2" t="s">
        <v>65</v>
      </c>
      <c r="E44" s="2" t="s">
        <v>19</v>
      </c>
      <c r="F44" s="2" t="s">
        <v>186</v>
      </c>
      <c r="G44" s="2" t="s">
        <v>13</v>
      </c>
      <c r="H44" s="2" t="s">
        <v>11</v>
      </c>
      <c r="I44" s="2" t="s">
        <v>17</v>
      </c>
    </row>
    <row r="45" spans="1:9" ht="14.4">
      <c r="A45" s="2" t="s">
        <v>472</v>
      </c>
      <c r="B45" s="2" t="s">
        <v>28</v>
      </c>
      <c r="C45" s="2" t="s">
        <v>15</v>
      </c>
      <c r="D45" s="2" t="s">
        <v>65</v>
      </c>
      <c r="E45" s="2" t="s">
        <v>19</v>
      </c>
      <c r="F45" s="2" t="s">
        <v>186</v>
      </c>
      <c r="G45" s="2" t="s">
        <v>13</v>
      </c>
      <c r="H45" s="2" t="s">
        <v>16</v>
      </c>
      <c r="I45" s="2" t="s">
        <v>11</v>
      </c>
    </row>
    <row r="46" spans="1:9" ht="14.4">
      <c r="A46" s="2" t="s">
        <v>471</v>
      </c>
      <c r="B46" s="2" t="s">
        <v>28</v>
      </c>
      <c r="C46" s="2" t="s">
        <v>15</v>
      </c>
      <c r="D46" s="2" t="s">
        <v>65</v>
      </c>
      <c r="E46" s="2" t="s">
        <v>19</v>
      </c>
      <c r="F46" s="2" t="s">
        <v>186</v>
      </c>
      <c r="G46" s="2" t="s">
        <v>13</v>
      </c>
      <c r="H46" s="2" t="s">
        <v>16</v>
      </c>
      <c r="I46" s="2" t="s">
        <v>17</v>
      </c>
    </row>
    <row r="47" spans="1:9" ht="14.4">
      <c r="A47" s="2" t="s">
        <v>470</v>
      </c>
      <c r="B47" s="2" t="s">
        <v>14</v>
      </c>
      <c r="C47" s="2" t="s">
        <v>11</v>
      </c>
      <c r="D47" s="2" t="s">
        <v>65</v>
      </c>
      <c r="E47" s="2" t="s">
        <v>28</v>
      </c>
      <c r="F47" s="2" t="s">
        <v>186</v>
      </c>
      <c r="G47" s="2" t="s">
        <v>13</v>
      </c>
      <c r="H47" s="2" t="s">
        <v>19</v>
      </c>
      <c r="I47" s="2" t="s">
        <v>12</v>
      </c>
    </row>
    <row r="48" spans="1:9" ht="14.4">
      <c r="A48" s="2" t="s">
        <v>469</v>
      </c>
      <c r="B48" s="2" t="s">
        <v>14</v>
      </c>
      <c r="C48" s="2" t="s">
        <v>13</v>
      </c>
      <c r="D48" s="2" t="s">
        <v>65</v>
      </c>
      <c r="E48" s="2" t="s">
        <v>28</v>
      </c>
      <c r="F48" s="2" t="s">
        <v>186</v>
      </c>
      <c r="G48" s="2" t="s">
        <v>19</v>
      </c>
      <c r="H48" s="2" t="s">
        <v>12</v>
      </c>
      <c r="I48" s="2" t="s">
        <v>17</v>
      </c>
    </row>
    <row r="49" spans="1:9" ht="14.4">
      <c r="A49" s="2" t="s">
        <v>468</v>
      </c>
      <c r="B49" s="2" t="s">
        <v>14</v>
      </c>
      <c r="C49" s="2" t="s">
        <v>13</v>
      </c>
      <c r="D49" s="2" t="s">
        <v>65</v>
      </c>
      <c r="E49" s="2" t="s">
        <v>28</v>
      </c>
      <c r="F49" s="2" t="s">
        <v>186</v>
      </c>
      <c r="G49" s="2" t="s">
        <v>19</v>
      </c>
      <c r="H49" s="2" t="s">
        <v>16</v>
      </c>
      <c r="I49" s="2" t="s">
        <v>12</v>
      </c>
    </row>
    <row r="50" spans="1:9" ht="14.4">
      <c r="A50" s="2" t="s">
        <v>467</v>
      </c>
      <c r="B50" s="2" t="s">
        <v>14</v>
      </c>
      <c r="C50" s="2" t="s">
        <v>11</v>
      </c>
      <c r="D50" s="2" t="s">
        <v>65</v>
      </c>
      <c r="E50" s="2" t="s">
        <v>28</v>
      </c>
      <c r="F50" s="2" t="s">
        <v>186</v>
      </c>
      <c r="G50" s="2" t="s">
        <v>13</v>
      </c>
      <c r="H50" s="2" t="s">
        <v>19</v>
      </c>
      <c r="I50" s="2" t="s">
        <v>17</v>
      </c>
    </row>
    <row r="51" spans="1:9" ht="14.4">
      <c r="A51" s="2" t="s">
        <v>466</v>
      </c>
      <c r="B51" s="2" t="s">
        <v>28</v>
      </c>
      <c r="C51" s="2" t="s">
        <v>11</v>
      </c>
      <c r="D51" s="2" t="s">
        <v>65</v>
      </c>
      <c r="E51" s="2" t="s">
        <v>19</v>
      </c>
      <c r="F51" s="2" t="s">
        <v>186</v>
      </c>
      <c r="G51" s="2" t="s">
        <v>13</v>
      </c>
      <c r="H51" s="2" t="s">
        <v>16</v>
      </c>
      <c r="I51" s="2" t="s">
        <v>14</v>
      </c>
    </row>
    <row r="52" spans="1:9" ht="14.4">
      <c r="A52" s="2" t="s">
        <v>465</v>
      </c>
      <c r="B52" s="2" t="s">
        <v>14</v>
      </c>
      <c r="C52" s="2" t="s">
        <v>13</v>
      </c>
      <c r="D52" s="2" t="s">
        <v>65</v>
      </c>
      <c r="E52" s="2" t="s">
        <v>28</v>
      </c>
      <c r="F52" s="2" t="s">
        <v>186</v>
      </c>
      <c r="G52" s="2" t="s">
        <v>19</v>
      </c>
      <c r="H52" s="2" t="s">
        <v>16</v>
      </c>
      <c r="I52" s="2" t="s">
        <v>17</v>
      </c>
    </row>
    <row r="53" spans="1:9" ht="14.4">
      <c r="A53" s="2" t="s">
        <v>464</v>
      </c>
      <c r="B53" s="2" t="s">
        <v>28</v>
      </c>
      <c r="C53" s="2" t="s">
        <v>11</v>
      </c>
      <c r="D53" s="2" t="s">
        <v>65</v>
      </c>
      <c r="E53" s="2" t="s">
        <v>19</v>
      </c>
      <c r="F53" s="2" t="s">
        <v>186</v>
      </c>
      <c r="G53" s="2" t="s">
        <v>13</v>
      </c>
      <c r="H53" s="2" t="s">
        <v>12</v>
      </c>
      <c r="I53" s="2" t="s">
        <v>17</v>
      </c>
    </row>
    <row r="54" spans="1:9" ht="14.4">
      <c r="A54" s="2" t="s">
        <v>463</v>
      </c>
      <c r="B54" s="2" t="s">
        <v>28</v>
      </c>
      <c r="C54" s="2" t="s">
        <v>11</v>
      </c>
      <c r="D54" s="2" t="s">
        <v>65</v>
      </c>
      <c r="E54" s="2" t="s">
        <v>19</v>
      </c>
      <c r="F54" s="2" t="s">
        <v>186</v>
      </c>
      <c r="G54" s="2" t="s">
        <v>13</v>
      </c>
      <c r="H54" s="2" t="s">
        <v>16</v>
      </c>
      <c r="I54" s="2" t="s">
        <v>12</v>
      </c>
    </row>
    <row r="55" spans="1:9" ht="14.4">
      <c r="A55" s="2" t="s">
        <v>462</v>
      </c>
      <c r="B55" s="2" t="s">
        <v>28</v>
      </c>
      <c r="C55" s="2" t="s">
        <v>12</v>
      </c>
      <c r="D55" s="2" t="s">
        <v>65</v>
      </c>
      <c r="E55" s="2" t="s">
        <v>19</v>
      </c>
      <c r="F55" s="2" t="s">
        <v>186</v>
      </c>
      <c r="G55" s="2" t="s">
        <v>13</v>
      </c>
      <c r="H55" s="2" t="s">
        <v>16</v>
      </c>
      <c r="I55" s="2" t="s">
        <v>17</v>
      </c>
    </row>
    <row r="56" spans="1:9" ht="14.4">
      <c r="A56" s="2" t="s">
        <v>461</v>
      </c>
      <c r="B56" s="2" t="s">
        <v>28</v>
      </c>
      <c r="C56" s="2" t="s">
        <v>11</v>
      </c>
      <c r="D56" s="2" t="s">
        <v>65</v>
      </c>
      <c r="E56" s="2" t="s">
        <v>19</v>
      </c>
      <c r="F56" s="2" t="s">
        <v>186</v>
      </c>
      <c r="G56" s="2" t="s">
        <v>13</v>
      </c>
      <c r="H56" s="2" t="s">
        <v>16</v>
      </c>
      <c r="I56" s="2" t="s">
        <v>17</v>
      </c>
    </row>
    <row r="57" spans="1:9" ht="14.4">
      <c r="A57" s="2" t="s">
        <v>460</v>
      </c>
      <c r="B57" s="2" t="s">
        <v>14</v>
      </c>
      <c r="C57" s="2" t="s">
        <v>15</v>
      </c>
      <c r="D57" s="2" t="s">
        <v>65</v>
      </c>
      <c r="E57" s="2" t="s">
        <v>28</v>
      </c>
      <c r="F57" s="2" t="s">
        <v>186</v>
      </c>
      <c r="G57" s="2" t="s">
        <v>19</v>
      </c>
      <c r="H57" s="2" t="s">
        <v>12</v>
      </c>
      <c r="I57" s="2" t="s">
        <v>11</v>
      </c>
    </row>
    <row r="58" spans="1:9" ht="14.4">
      <c r="A58" s="2" t="s">
        <v>459</v>
      </c>
      <c r="B58" s="2" t="s">
        <v>14</v>
      </c>
      <c r="C58" s="2" t="s">
        <v>15</v>
      </c>
      <c r="D58" s="2" t="s">
        <v>65</v>
      </c>
      <c r="E58" s="2" t="s">
        <v>28</v>
      </c>
      <c r="F58" s="2" t="s">
        <v>186</v>
      </c>
      <c r="G58" s="2" t="s">
        <v>19</v>
      </c>
      <c r="H58" s="2" t="s">
        <v>12</v>
      </c>
      <c r="I58" s="2" t="s">
        <v>17</v>
      </c>
    </row>
    <row r="59" spans="1:9" ht="14.4">
      <c r="A59" s="2" t="s">
        <v>458</v>
      </c>
      <c r="B59" s="2" t="s">
        <v>14</v>
      </c>
      <c r="C59" s="2" t="s">
        <v>15</v>
      </c>
      <c r="D59" s="2" t="s">
        <v>65</v>
      </c>
      <c r="E59" s="2" t="s">
        <v>28</v>
      </c>
      <c r="F59" s="2" t="s">
        <v>186</v>
      </c>
      <c r="G59" s="2" t="s">
        <v>19</v>
      </c>
      <c r="H59" s="2" t="s">
        <v>16</v>
      </c>
      <c r="I59" s="2" t="s">
        <v>12</v>
      </c>
    </row>
    <row r="60" spans="1:9" ht="14.4">
      <c r="A60" s="2" t="s">
        <v>457</v>
      </c>
      <c r="B60" s="2" t="s">
        <v>14</v>
      </c>
      <c r="C60" s="2" t="s">
        <v>15</v>
      </c>
      <c r="D60" s="2" t="s">
        <v>65</v>
      </c>
      <c r="E60" s="2" t="s">
        <v>28</v>
      </c>
      <c r="F60" s="2" t="s">
        <v>186</v>
      </c>
      <c r="G60" s="2" t="s">
        <v>19</v>
      </c>
      <c r="H60" s="2" t="s">
        <v>11</v>
      </c>
      <c r="I60" s="2" t="s">
        <v>17</v>
      </c>
    </row>
    <row r="61" spans="1:9" ht="14.4">
      <c r="A61" s="2" t="s">
        <v>456</v>
      </c>
      <c r="B61" s="2" t="s">
        <v>14</v>
      </c>
      <c r="C61" s="2" t="s">
        <v>15</v>
      </c>
      <c r="D61" s="2" t="s">
        <v>65</v>
      </c>
      <c r="E61" s="2" t="s">
        <v>28</v>
      </c>
      <c r="F61" s="2" t="s">
        <v>186</v>
      </c>
      <c r="G61" s="2" t="s">
        <v>19</v>
      </c>
      <c r="H61" s="2" t="s">
        <v>16</v>
      </c>
      <c r="I61" s="2" t="s">
        <v>11</v>
      </c>
    </row>
    <row r="62" spans="1:9" ht="14.4">
      <c r="A62" s="2" t="s">
        <v>455</v>
      </c>
      <c r="B62" s="2" t="s">
        <v>14</v>
      </c>
      <c r="C62" s="2" t="s">
        <v>15</v>
      </c>
      <c r="D62" s="2" t="s">
        <v>65</v>
      </c>
      <c r="E62" s="2" t="s">
        <v>28</v>
      </c>
      <c r="F62" s="2" t="s">
        <v>186</v>
      </c>
      <c r="G62" s="2" t="s">
        <v>19</v>
      </c>
      <c r="H62" s="2" t="s">
        <v>16</v>
      </c>
      <c r="I62" s="2" t="s">
        <v>17</v>
      </c>
    </row>
    <row r="63" spans="1:9" ht="14.4">
      <c r="A63" s="2" t="s">
        <v>454</v>
      </c>
      <c r="B63" s="2" t="s">
        <v>28</v>
      </c>
      <c r="C63" s="2" t="s">
        <v>11</v>
      </c>
      <c r="D63" s="2" t="s">
        <v>65</v>
      </c>
      <c r="E63" s="2" t="s">
        <v>19</v>
      </c>
      <c r="F63" s="2" t="s">
        <v>186</v>
      </c>
      <c r="G63" s="2" t="s">
        <v>15</v>
      </c>
      <c r="H63" s="2" t="s">
        <v>12</v>
      </c>
      <c r="I63" s="2" t="s">
        <v>17</v>
      </c>
    </row>
    <row r="64" spans="1:9" ht="14.4">
      <c r="A64" s="2" t="s">
        <v>453</v>
      </c>
      <c r="B64" s="2" t="s">
        <v>28</v>
      </c>
      <c r="C64" s="2" t="s">
        <v>11</v>
      </c>
      <c r="D64" s="2" t="s">
        <v>65</v>
      </c>
      <c r="E64" s="2" t="s">
        <v>19</v>
      </c>
      <c r="F64" s="2" t="s">
        <v>186</v>
      </c>
      <c r="G64" s="2" t="s">
        <v>15</v>
      </c>
      <c r="H64" s="2" t="s">
        <v>16</v>
      </c>
      <c r="I64" s="2" t="s">
        <v>12</v>
      </c>
    </row>
    <row r="65" spans="1:9" ht="14.4">
      <c r="A65" s="2" t="s">
        <v>452</v>
      </c>
      <c r="B65" s="2" t="s">
        <v>12</v>
      </c>
      <c r="C65" s="2" t="s">
        <v>15</v>
      </c>
      <c r="D65" s="2" t="s">
        <v>65</v>
      </c>
      <c r="E65" s="2" t="s">
        <v>28</v>
      </c>
      <c r="F65" s="2" t="s">
        <v>186</v>
      </c>
      <c r="G65" s="2" t="s">
        <v>19</v>
      </c>
      <c r="H65" s="2" t="s">
        <v>16</v>
      </c>
      <c r="I65" s="2" t="s">
        <v>17</v>
      </c>
    </row>
    <row r="66" spans="1:9" ht="14.4">
      <c r="A66" s="2" t="s">
        <v>451</v>
      </c>
      <c r="B66" s="2" t="s">
        <v>28</v>
      </c>
      <c r="C66" s="2" t="s">
        <v>11</v>
      </c>
      <c r="D66" s="2" t="s">
        <v>65</v>
      </c>
      <c r="E66" s="2" t="s">
        <v>19</v>
      </c>
      <c r="F66" s="2" t="s">
        <v>186</v>
      </c>
      <c r="G66" s="2" t="s">
        <v>15</v>
      </c>
      <c r="H66" s="2" t="s">
        <v>16</v>
      </c>
      <c r="I66" s="2" t="s">
        <v>17</v>
      </c>
    </row>
    <row r="67" spans="1:9" ht="14.4">
      <c r="A67" s="2" t="s">
        <v>450</v>
      </c>
      <c r="B67" s="2" t="s">
        <v>14</v>
      </c>
      <c r="C67" s="2" t="s">
        <v>11</v>
      </c>
      <c r="D67" s="2" t="s">
        <v>65</v>
      </c>
      <c r="E67" s="2" t="s">
        <v>28</v>
      </c>
      <c r="F67" s="2" t="s">
        <v>186</v>
      </c>
      <c r="G67" s="2" t="s">
        <v>19</v>
      </c>
      <c r="H67" s="2" t="s">
        <v>12</v>
      </c>
      <c r="I67" s="2" t="s">
        <v>17</v>
      </c>
    </row>
    <row r="68" spans="1:9" ht="14.4">
      <c r="A68" s="2" t="s">
        <v>449</v>
      </c>
      <c r="B68" s="2" t="s">
        <v>14</v>
      </c>
      <c r="C68" s="2" t="s">
        <v>11</v>
      </c>
      <c r="D68" s="2" t="s">
        <v>65</v>
      </c>
      <c r="E68" s="2" t="s">
        <v>28</v>
      </c>
      <c r="F68" s="2" t="s">
        <v>186</v>
      </c>
      <c r="G68" s="2" t="s">
        <v>19</v>
      </c>
      <c r="H68" s="2" t="s">
        <v>16</v>
      </c>
      <c r="I68" s="2" t="s">
        <v>12</v>
      </c>
    </row>
    <row r="69" spans="1:9" ht="14.4">
      <c r="A69" s="2" t="s">
        <v>448</v>
      </c>
      <c r="B69" s="2" t="s">
        <v>14</v>
      </c>
      <c r="C69" s="2" t="s">
        <v>12</v>
      </c>
      <c r="D69" s="2" t="s">
        <v>65</v>
      </c>
      <c r="E69" s="2" t="s">
        <v>28</v>
      </c>
      <c r="F69" s="2" t="s">
        <v>186</v>
      </c>
      <c r="G69" s="2" t="s">
        <v>19</v>
      </c>
      <c r="H69" s="2" t="s">
        <v>16</v>
      </c>
      <c r="I69" s="2" t="s">
        <v>17</v>
      </c>
    </row>
    <row r="70" spans="1:9" ht="14.4">
      <c r="A70" s="2" t="s">
        <v>447</v>
      </c>
      <c r="B70" s="2" t="s">
        <v>14</v>
      </c>
      <c r="C70" s="2" t="s">
        <v>11</v>
      </c>
      <c r="D70" s="2" t="s">
        <v>65</v>
      </c>
      <c r="E70" s="2" t="s">
        <v>28</v>
      </c>
      <c r="F70" s="2" t="s">
        <v>186</v>
      </c>
      <c r="G70" s="2" t="s">
        <v>19</v>
      </c>
      <c r="H70" s="2" t="s">
        <v>16</v>
      </c>
      <c r="I70" s="2" t="s">
        <v>17</v>
      </c>
    </row>
    <row r="71" spans="1:9" ht="14.4">
      <c r="A71" s="2" t="s">
        <v>446</v>
      </c>
      <c r="B71" s="2" t="s">
        <v>12</v>
      </c>
      <c r="C71" s="2" t="s">
        <v>11</v>
      </c>
      <c r="D71" s="2" t="s">
        <v>65</v>
      </c>
      <c r="E71" s="2" t="s">
        <v>28</v>
      </c>
      <c r="F71" s="2" t="s">
        <v>186</v>
      </c>
      <c r="G71" s="2" t="s">
        <v>19</v>
      </c>
      <c r="H71" s="2" t="s">
        <v>16</v>
      </c>
      <c r="I71" s="2" t="s">
        <v>17</v>
      </c>
    </row>
    <row r="72" spans="1:9" ht="14.4">
      <c r="A72" s="2" t="s">
        <v>445</v>
      </c>
      <c r="B72" s="2" t="s">
        <v>14</v>
      </c>
      <c r="C72" s="2" t="s">
        <v>15</v>
      </c>
      <c r="D72" s="2" t="s">
        <v>65</v>
      </c>
      <c r="E72" s="2" t="s">
        <v>28</v>
      </c>
      <c r="F72" s="2" t="s">
        <v>186</v>
      </c>
      <c r="G72" s="2" t="s">
        <v>13</v>
      </c>
      <c r="H72" s="2" t="s">
        <v>10</v>
      </c>
      <c r="I72" s="2" t="s">
        <v>12</v>
      </c>
    </row>
    <row r="73" spans="1:9" ht="14.4">
      <c r="A73" s="2" t="s">
        <v>444</v>
      </c>
      <c r="B73" s="2" t="s">
        <v>14</v>
      </c>
      <c r="C73" s="2" t="s">
        <v>15</v>
      </c>
      <c r="D73" s="2" t="s">
        <v>65</v>
      </c>
      <c r="E73" s="2" t="s">
        <v>28</v>
      </c>
      <c r="F73" s="2" t="s">
        <v>186</v>
      </c>
      <c r="G73" s="2" t="s">
        <v>13</v>
      </c>
      <c r="H73" s="2" t="s">
        <v>10</v>
      </c>
      <c r="I73" s="2" t="s">
        <v>11</v>
      </c>
    </row>
    <row r="74" spans="1:9" ht="14.4">
      <c r="A74" s="2" t="s">
        <v>443</v>
      </c>
      <c r="B74" s="2" t="s">
        <v>14</v>
      </c>
      <c r="C74" s="2" t="s">
        <v>15</v>
      </c>
      <c r="D74" s="2" t="s">
        <v>65</v>
      </c>
      <c r="E74" s="2" t="s">
        <v>28</v>
      </c>
      <c r="F74" s="2" t="s">
        <v>186</v>
      </c>
      <c r="G74" s="2" t="s">
        <v>13</v>
      </c>
      <c r="H74" s="2" t="s">
        <v>10</v>
      </c>
      <c r="I74" s="2" t="s">
        <v>17</v>
      </c>
    </row>
    <row r="75" spans="1:9" ht="14.4">
      <c r="A75" s="2" t="s">
        <v>442</v>
      </c>
      <c r="B75" s="2" t="s">
        <v>14</v>
      </c>
      <c r="C75" s="2" t="s">
        <v>15</v>
      </c>
      <c r="D75" s="2" t="s">
        <v>65</v>
      </c>
      <c r="E75" s="2" t="s">
        <v>28</v>
      </c>
      <c r="F75" s="2" t="s">
        <v>186</v>
      </c>
      <c r="G75" s="2" t="s">
        <v>13</v>
      </c>
      <c r="H75" s="2" t="s">
        <v>16</v>
      </c>
      <c r="I75" s="2" t="s">
        <v>10</v>
      </c>
    </row>
    <row r="76" spans="1:9" ht="14.4">
      <c r="A76" s="2" t="s">
        <v>441</v>
      </c>
      <c r="B76" s="2" t="s">
        <v>10</v>
      </c>
      <c r="C76" s="2" t="s">
        <v>15</v>
      </c>
      <c r="D76" s="2" t="s">
        <v>65</v>
      </c>
      <c r="E76" s="2" t="s">
        <v>28</v>
      </c>
      <c r="F76" s="2" t="s">
        <v>186</v>
      </c>
      <c r="G76" s="2" t="s">
        <v>13</v>
      </c>
      <c r="H76" s="2" t="s">
        <v>12</v>
      </c>
      <c r="I76" s="2" t="s">
        <v>11</v>
      </c>
    </row>
    <row r="77" spans="1:9" ht="14.4">
      <c r="A77" s="2" t="s">
        <v>440</v>
      </c>
      <c r="B77" s="2" t="s">
        <v>10</v>
      </c>
      <c r="C77" s="2" t="s">
        <v>15</v>
      </c>
      <c r="D77" s="2" t="s">
        <v>65</v>
      </c>
      <c r="E77" s="2" t="s">
        <v>28</v>
      </c>
      <c r="F77" s="2" t="s">
        <v>186</v>
      </c>
      <c r="G77" s="2" t="s">
        <v>13</v>
      </c>
      <c r="H77" s="2" t="s">
        <v>12</v>
      </c>
      <c r="I77" s="2" t="s">
        <v>17</v>
      </c>
    </row>
    <row r="78" spans="1:9" ht="14.4">
      <c r="A78" s="2" t="s">
        <v>439</v>
      </c>
      <c r="B78" s="2" t="s">
        <v>10</v>
      </c>
      <c r="C78" s="2" t="s">
        <v>15</v>
      </c>
      <c r="D78" s="2" t="s">
        <v>65</v>
      </c>
      <c r="E78" s="2" t="s">
        <v>28</v>
      </c>
      <c r="F78" s="2" t="s">
        <v>186</v>
      </c>
      <c r="G78" s="2" t="s">
        <v>13</v>
      </c>
      <c r="H78" s="2" t="s">
        <v>16</v>
      </c>
      <c r="I78" s="2" t="s">
        <v>12</v>
      </c>
    </row>
    <row r="79" spans="1:9" ht="14.4">
      <c r="A79" s="2" t="s">
        <v>438</v>
      </c>
      <c r="B79" s="2" t="s">
        <v>10</v>
      </c>
      <c r="C79" s="2" t="s">
        <v>15</v>
      </c>
      <c r="D79" s="2" t="s">
        <v>65</v>
      </c>
      <c r="E79" s="2" t="s">
        <v>28</v>
      </c>
      <c r="F79" s="2" t="s">
        <v>186</v>
      </c>
      <c r="G79" s="2" t="s">
        <v>13</v>
      </c>
      <c r="H79" s="2" t="s">
        <v>11</v>
      </c>
      <c r="I79" s="2" t="s">
        <v>17</v>
      </c>
    </row>
    <row r="80" spans="1:9" ht="14.4">
      <c r="A80" s="2" t="s">
        <v>437</v>
      </c>
      <c r="B80" s="2" t="s">
        <v>10</v>
      </c>
      <c r="C80" s="2" t="s">
        <v>15</v>
      </c>
      <c r="D80" s="2" t="s">
        <v>65</v>
      </c>
      <c r="E80" s="2" t="s">
        <v>28</v>
      </c>
      <c r="F80" s="2" t="s">
        <v>186</v>
      </c>
      <c r="G80" s="2" t="s">
        <v>13</v>
      </c>
      <c r="H80" s="2" t="s">
        <v>16</v>
      </c>
      <c r="I80" s="2" t="s">
        <v>11</v>
      </c>
    </row>
    <row r="81" spans="1:9" ht="14.4">
      <c r="A81" s="2" t="s">
        <v>436</v>
      </c>
      <c r="B81" s="2" t="s">
        <v>10</v>
      </c>
      <c r="C81" s="2" t="s">
        <v>15</v>
      </c>
      <c r="D81" s="2" t="s">
        <v>65</v>
      </c>
      <c r="E81" s="2" t="s">
        <v>28</v>
      </c>
      <c r="F81" s="2" t="s">
        <v>186</v>
      </c>
      <c r="G81" s="2" t="s">
        <v>13</v>
      </c>
      <c r="H81" s="2" t="s">
        <v>16</v>
      </c>
      <c r="I81" s="2" t="s">
        <v>17</v>
      </c>
    </row>
    <row r="82" spans="1:9" ht="14.4">
      <c r="A82" s="2" t="s">
        <v>435</v>
      </c>
      <c r="B82" s="2" t="s">
        <v>14</v>
      </c>
      <c r="C82" s="2" t="s">
        <v>11</v>
      </c>
      <c r="D82" s="2" t="s">
        <v>65</v>
      </c>
      <c r="E82" s="2" t="s">
        <v>28</v>
      </c>
      <c r="F82" s="2" t="s">
        <v>186</v>
      </c>
      <c r="G82" s="2" t="s">
        <v>13</v>
      </c>
      <c r="H82" s="2" t="s">
        <v>10</v>
      </c>
      <c r="I82" s="2" t="s">
        <v>12</v>
      </c>
    </row>
    <row r="83" spans="1:9" ht="14.4">
      <c r="A83" s="2" t="s">
        <v>434</v>
      </c>
      <c r="B83" s="2" t="s">
        <v>14</v>
      </c>
      <c r="C83" s="2" t="s">
        <v>10</v>
      </c>
      <c r="D83" s="2" t="s">
        <v>65</v>
      </c>
      <c r="E83" s="2" t="s">
        <v>28</v>
      </c>
      <c r="F83" s="2" t="s">
        <v>186</v>
      </c>
      <c r="G83" s="2" t="s">
        <v>13</v>
      </c>
      <c r="H83" s="2" t="s">
        <v>12</v>
      </c>
      <c r="I83" s="2" t="s">
        <v>17</v>
      </c>
    </row>
    <row r="84" spans="1:9" ht="14.4">
      <c r="A84" s="2" t="s">
        <v>433</v>
      </c>
      <c r="B84" s="2" t="s">
        <v>14</v>
      </c>
      <c r="C84" s="2" t="s">
        <v>10</v>
      </c>
      <c r="D84" s="2" t="s">
        <v>65</v>
      </c>
      <c r="E84" s="2" t="s">
        <v>28</v>
      </c>
      <c r="F84" s="2" t="s">
        <v>186</v>
      </c>
      <c r="G84" s="2" t="s">
        <v>13</v>
      </c>
      <c r="H84" s="2" t="s">
        <v>16</v>
      </c>
      <c r="I84" s="2" t="s">
        <v>12</v>
      </c>
    </row>
    <row r="85" spans="1:9" ht="14.4">
      <c r="A85" s="2" t="s">
        <v>432</v>
      </c>
      <c r="B85" s="2" t="s">
        <v>14</v>
      </c>
      <c r="C85" s="2" t="s">
        <v>11</v>
      </c>
      <c r="D85" s="2" t="s">
        <v>65</v>
      </c>
      <c r="E85" s="2" t="s">
        <v>28</v>
      </c>
      <c r="F85" s="2" t="s">
        <v>186</v>
      </c>
      <c r="G85" s="2" t="s">
        <v>13</v>
      </c>
      <c r="H85" s="2" t="s">
        <v>10</v>
      </c>
      <c r="I85" s="2" t="s">
        <v>17</v>
      </c>
    </row>
    <row r="86" spans="1:9" ht="14.4">
      <c r="A86" s="2" t="s">
        <v>431</v>
      </c>
      <c r="B86" s="2" t="s">
        <v>14</v>
      </c>
      <c r="C86" s="2" t="s">
        <v>11</v>
      </c>
      <c r="D86" s="2" t="s">
        <v>65</v>
      </c>
      <c r="E86" s="2" t="s">
        <v>28</v>
      </c>
      <c r="F86" s="2" t="s">
        <v>186</v>
      </c>
      <c r="G86" s="2" t="s">
        <v>13</v>
      </c>
      <c r="H86" s="2" t="s">
        <v>16</v>
      </c>
      <c r="I86" s="2" t="s">
        <v>10</v>
      </c>
    </row>
    <row r="87" spans="1:9" ht="14.4">
      <c r="A87" s="2" t="s">
        <v>430</v>
      </c>
      <c r="B87" s="2" t="s">
        <v>14</v>
      </c>
      <c r="C87" s="2" t="s">
        <v>10</v>
      </c>
      <c r="D87" s="2" t="s">
        <v>65</v>
      </c>
      <c r="E87" s="2" t="s">
        <v>28</v>
      </c>
      <c r="F87" s="2" t="s">
        <v>186</v>
      </c>
      <c r="G87" s="2" t="s">
        <v>13</v>
      </c>
      <c r="H87" s="2" t="s">
        <v>16</v>
      </c>
      <c r="I87" s="2" t="s">
        <v>17</v>
      </c>
    </row>
    <row r="88" spans="1:9" ht="14.4">
      <c r="A88" s="2" t="s">
        <v>429</v>
      </c>
      <c r="B88" s="2" t="s">
        <v>10</v>
      </c>
      <c r="C88" s="2" t="s">
        <v>11</v>
      </c>
      <c r="D88" s="2" t="s">
        <v>65</v>
      </c>
      <c r="E88" s="2" t="s">
        <v>28</v>
      </c>
      <c r="F88" s="2" t="s">
        <v>186</v>
      </c>
      <c r="G88" s="2" t="s">
        <v>13</v>
      </c>
      <c r="H88" s="2" t="s">
        <v>12</v>
      </c>
      <c r="I88" s="2" t="s">
        <v>17</v>
      </c>
    </row>
    <row r="89" spans="1:9" ht="14.4">
      <c r="A89" s="2" t="s">
        <v>428</v>
      </c>
      <c r="B89" s="2" t="s">
        <v>10</v>
      </c>
      <c r="C89" s="2" t="s">
        <v>11</v>
      </c>
      <c r="D89" s="2" t="s">
        <v>65</v>
      </c>
      <c r="E89" s="2" t="s">
        <v>28</v>
      </c>
      <c r="F89" s="2" t="s">
        <v>186</v>
      </c>
      <c r="G89" s="2" t="s">
        <v>13</v>
      </c>
      <c r="H89" s="2" t="s">
        <v>16</v>
      </c>
      <c r="I89" s="2" t="s">
        <v>12</v>
      </c>
    </row>
    <row r="90" spans="1:9" ht="14.4">
      <c r="A90" s="2" t="s">
        <v>427</v>
      </c>
      <c r="B90" s="2" t="s">
        <v>10</v>
      </c>
      <c r="C90" s="2" t="s">
        <v>12</v>
      </c>
      <c r="D90" s="2" t="s">
        <v>65</v>
      </c>
      <c r="E90" s="2" t="s">
        <v>28</v>
      </c>
      <c r="F90" s="2" t="s">
        <v>186</v>
      </c>
      <c r="G90" s="2" t="s">
        <v>13</v>
      </c>
      <c r="H90" s="2" t="s">
        <v>16</v>
      </c>
      <c r="I90" s="2" t="s">
        <v>17</v>
      </c>
    </row>
    <row r="91" spans="1:9" ht="14.4">
      <c r="A91" s="2" t="s">
        <v>426</v>
      </c>
      <c r="B91" s="2" t="s">
        <v>10</v>
      </c>
      <c r="C91" s="2" t="s">
        <v>11</v>
      </c>
      <c r="D91" s="2" t="s">
        <v>65</v>
      </c>
      <c r="E91" s="2" t="s">
        <v>28</v>
      </c>
      <c r="F91" s="2" t="s">
        <v>186</v>
      </c>
      <c r="G91" s="2" t="s">
        <v>13</v>
      </c>
      <c r="H91" s="2" t="s">
        <v>16</v>
      </c>
      <c r="I91" s="2" t="s">
        <v>17</v>
      </c>
    </row>
    <row r="92" spans="1:9" ht="14.4">
      <c r="A92" s="2" t="s">
        <v>425</v>
      </c>
      <c r="B92" s="2" t="s">
        <v>14</v>
      </c>
      <c r="C92" s="2" t="s">
        <v>11</v>
      </c>
      <c r="D92" s="2" t="s">
        <v>65</v>
      </c>
      <c r="E92" s="2" t="s">
        <v>28</v>
      </c>
      <c r="F92" s="2" t="s">
        <v>186</v>
      </c>
      <c r="G92" s="2" t="s">
        <v>15</v>
      </c>
      <c r="H92" s="2" t="s">
        <v>10</v>
      </c>
      <c r="I92" s="2" t="s">
        <v>12</v>
      </c>
    </row>
    <row r="93" spans="1:9" ht="14.4">
      <c r="A93" s="2" t="s">
        <v>424</v>
      </c>
      <c r="B93" s="2" t="s">
        <v>10</v>
      </c>
      <c r="C93" s="2" t="s">
        <v>15</v>
      </c>
      <c r="D93" s="2" t="s">
        <v>65</v>
      </c>
      <c r="E93" s="2" t="s">
        <v>28</v>
      </c>
      <c r="F93" s="2" t="s">
        <v>186</v>
      </c>
      <c r="G93" s="2" t="s">
        <v>14</v>
      </c>
      <c r="H93" s="2" t="s">
        <v>12</v>
      </c>
      <c r="I93" s="2" t="s">
        <v>17</v>
      </c>
    </row>
    <row r="94" spans="1:9" ht="14.4">
      <c r="A94" s="2" t="s">
        <v>423</v>
      </c>
      <c r="B94" s="2" t="s">
        <v>10</v>
      </c>
      <c r="C94" s="2" t="s">
        <v>15</v>
      </c>
      <c r="D94" s="2" t="s">
        <v>65</v>
      </c>
      <c r="E94" s="2" t="s">
        <v>28</v>
      </c>
      <c r="F94" s="2" t="s">
        <v>186</v>
      </c>
      <c r="G94" s="2" t="s">
        <v>14</v>
      </c>
      <c r="H94" s="2" t="s">
        <v>16</v>
      </c>
      <c r="I94" s="2" t="s">
        <v>12</v>
      </c>
    </row>
    <row r="95" spans="1:9" ht="14.4">
      <c r="A95" s="2" t="s">
        <v>422</v>
      </c>
      <c r="B95" s="2" t="s">
        <v>14</v>
      </c>
      <c r="C95" s="2" t="s">
        <v>11</v>
      </c>
      <c r="D95" s="2" t="s">
        <v>65</v>
      </c>
      <c r="E95" s="2" t="s">
        <v>28</v>
      </c>
      <c r="F95" s="2" t="s">
        <v>186</v>
      </c>
      <c r="G95" s="2" t="s">
        <v>15</v>
      </c>
      <c r="H95" s="2" t="s">
        <v>10</v>
      </c>
      <c r="I95" s="2" t="s">
        <v>17</v>
      </c>
    </row>
    <row r="96" spans="1:9" ht="14.4">
      <c r="A96" s="2" t="s">
        <v>421</v>
      </c>
      <c r="B96" s="2" t="s">
        <v>14</v>
      </c>
      <c r="C96" s="2" t="s">
        <v>11</v>
      </c>
      <c r="D96" s="2" t="s">
        <v>65</v>
      </c>
      <c r="E96" s="2" t="s">
        <v>28</v>
      </c>
      <c r="F96" s="2" t="s">
        <v>186</v>
      </c>
      <c r="G96" s="2" t="s">
        <v>15</v>
      </c>
      <c r="H96" s="2" t="s">
        <v>16</v>
      </c>
      <c r="I96" s="2" t="s">
        <v>10</v>
      </c>
    </row>
    <row r="97" spans="1:9" ht="14.4">
      <c r="A97" s="2" t="s">
        <v>420</v>
      </c>
      <c r="B97" s="2" t="s">
        <v>10</v>
      </c>
      <c r="C97" s="2" t="s">
        <v>15</v>
      </c>
      <c r="D97" s="2" t="s">
        <v>65</v>
      </c>
      <c r="E97" s="2" t="s">
        <v>28</v>
      </c>
      <c r="F97" s="2" t="s">
        <v>186</v>
      </c>
      <c r="G97" s="2" t="s">
        <v>14</v>
      </c>
      <c r="H97" s="2" t="s">
        <v>16</v>
      </c>
      <c r="I97" s="2" t="s">
        <v>17</v>
      </c>
    </row>
    <row r="98" spans="1:9" ht="14.4">
      <c r="A98" s="2" t="s">
        <v>419</v>
      </c>
      <c r="B98" s="2" t="s">
        <v>10</v>
      </c>
      <c r="C98" s="2" t="s">
        <v>11</v>
      </c>
      <c r="D98" s="2" t="s">
        <v>65</v>
      </c>
      <c r="E98" s="2" t="s">
        <v>28</v>
      </c>
      <c r="F98" s="2" t="s">
        <v>186</v>
      </c>
      <c r="G98" s="2" t="s">
        <v>15</v>
      </c>
      <c r="H98" s="2" t="s">
        <v>12</v>
      </c>
      <c r="I98" s="2" t="s">
        <v>17</v>
      </c>
    </row>
    <row r="99" spans="1:9" ht="14.4">
      <c r="A99" s="2" t="s">
        <v>418</v>
      </c>
      <c r="B99" s="2" t="s">
        <v>10</v>
      </c>
      <c r="C99" s="2" t="s">
        <v>11</v>
      </c>
      <c r="D99" s="2" t="s">
        <v>65</v>
      </c>
      <c r="E99" s="2" t="s">
        <v>28</v>
      </c>
      <c r="F99" s="2" t="s">
        <v>186</v>
      </c>
      <c r="G99" s="2" t="s">
        <v>15</v>
      </c>
      <c r="H99" s="2" t="s">
        <v>16</v>
      </c>
      <c r="I99" s="2" t="s">
        <v>12</v>
      </c>
    </row>
    <row r="100" spans="1:9" ht="14.4">
      <c r="A100" s="2" t="s">
        <v>417</v>
      </c>
      <c r="B100" s="2" t="s">
        <v>10</v>
      </c>
      <c r="C100" s="2" t="s">
        <v>15</v>
      </c>
      <c r="D100" s="2" t="s">
        <v>65</v>
      </c>
      <c r="E100" s="2" t="s">
        <v>186</v>
      </c>
      <c r="F100" s="2" t="s">
        <v>12</v>
      </c>
      <c r="G100" s="2" t="s">
        <v>28</v>
      </c>
      <c r="H100" s="2" t="s">
        <v>16</v>
      </c>
      <c r="I100" s="2" t="s">
        <v>17</v>
      </c>
    </row>
    <row r="101" spans="1:9" ht="14.4">
      <c r="A101" s="2" t="s">
        <v>416</v>
      </c>
      <c r="B101" s="2" t="s">
        <v>10</v>
      </c>
      <c r="C101" s="2" t="s">
        <v>11</v>
      </c>
      <c r="D101" s="2" t="s">
        <v>65</v>
      </c>
      <c r="E101" s="2" t="s">
        <v>28</v>
      </c>
      <c r="F101" s="2" t="s">
        <v>186</v>
      </c>
      <c r="G101" s="2" t="s">
        <v>15</v>
      </c>
      <c r="H101" s="2" t="s">
        <v>16</v>
      </c>
      <c r="I101" s="2" t="s">
        <v>17</v>
      </c>
    </row>
    <row r="102" spans="1:9" ht="14.4">
      <c r="A102" s="2" t="s">
        <v>415</v>
      </c>
      <c r="B102" s="2" t="s">
        <v>10</v>
      </c>
      <c r="C102" s="2" t="s">
        <v>11</v>
      </c>
      <c r="D102" s="2" t="s">
        <v>65</v>
      </c>
      <c r="E102" s="2" t="s">
        <v>28</v>
      </c>
      <c r="F102" s="2" t="s">
        <v>186</v>
      </c>
      <c r="G102" s="2" t="s">
        <v>14</v>
      </c>
      <c r="H102" s="2" t="s">
        <v>12</v>
      </c>
      <c r="I102" s="2" t="s">
        <v>17</v>
      </c>
    </row>
    <row r="103" spans="1:9" ht="14.4">
      <c r="A103" s="2" t="s">
        <v>414</v>
      </c>
      <c r="B103" s="2" t="s">
        <v>10</v>
      </c>
      <c r="C103" s="2" t="s">
        <v>11</v>
      </c>
      <c r="D103" s="2" t="s">
        <v>65</v>
      </c>
      <c r="E103" s="2" t="s">
        <v>28</v>
      </c>
      <c r="F103" s="2" t="s">
        <v>186</v>
      </c>
      <c r="G103" s="2" t="s">
        <v>14</v>
      </c>
      <c r="H103" s="2" t="s">
        <v>16</v>
      </c>
      <c r="I103" s="2" t="s">
        <v>12</v>
      </c>
    </row>
    <row r="104" spans="1:9" ht="14.4">
      <c r="A104" s="2" t="s">
        <v>413</v>
      </c>
      <c r="B104" s="2" t="s">
        <v>10</v>
      </c>
      <c r="C104" s="2" t="s">
        <v>12</v>
      </c>
      <c r="D104" s="2" t="s">
        <v>65</v>
      </c>
      <c r="E104" s="2" t="s">
        <v>28</v>
      </c>
      <c r="F104" s="2" t="s">
        <v>186</v>
      </c>
      <c r="G104" s="2" t="s">
        <v>14</v>
      </c>
      <c r="H104" s="2" t="s">
        <v>16</v>
      </c>
      <c r="I104" s="2" t="s">
        <v>17</v>
      </c>
    </row>
    <row r="105" spans="1:9" ht="14.4">
      <c r="A105" s="2" t="s">
        <v>412</v>
      </c>
      <c r="B105" s="2" t="s">
        <v>10</v>
      </c>
      <c r="C105" s="2" t="s">
        <v>11</v>
      </c>
      <c r="D105" s="2" t="s">
        <v>65</v>
      </c>
      <c r="E105" s="2" t="s">
        <v>28</v>
      </c>
      <c r="F105" s="2" t="s">
        <v>186</v>
      </c>
      <c r="G105" s="2" t="s">
        <v>14</v>
      </c>
      <c r="H105" s="2" t="s">
        <v>16</v>
      </c>
      <c r="I105" s="2" t="s">
        <v>17</v>
      </c>
    </row>
    <row r="106" spans="1:9" ht="14.4">
      <c r="A106" s="2" t="s">
        <v>411</v>
      </c>
      <c r="B106" s="2" t="s">
        <v>10</v>
      </c>
      <c r="C106" s="2" t="s">
        <v>11</v>
      </c>
      <c r="D106" s="2" t="s">
        <v>65</v>
      </c>
      <c r="E106" s="2" t="s">
        <v>186</v>
      </c>
      <c r="F106" s="2" t="s">
        <v>12</v>
      </c>
      <c r="G106" s="2" t="s">
        <v>28</v>
      </c>
      <c r="H106" s="2" t="s">
        <v>16</v>
      </c>
      <c r="I106" s="2" t="s">
        <v>17</v>
      </c>
    </row>
    <row r="107" spans="1:9" ht="14.4">
      <c r="A107" s="2" t="s">
        <v>410</v>
      </c>
      <c r="B107" s="2" t="s">
        <v>14</v>
      </c>
      <c r="C107" s="2" t="s">
        <v>15</v>
      </c>
      <c r="D107" s="2" t="s">
        <v>65</v>
      </c>
      <c r="E107" s="2" t="s">
        <v>28</v>
      </c>
      <c r="F107" s="2" t="s">
        <v>186</v>
      </c>
      <c r="G107" s="2" t="s">
        <v>13</v>
      </c>
      <c r="H107" s="2" t="s">
        <v>12</v>
      </c>
      <c r="I107" s="2" t="s">
        <v>11</v>
      </c>
    </row>
    <row r="108" spans="1:9" ht="14.4">
      <c r="A108" s="2" t="s">
        <v>409</v>
      </c>
      <c r="B108" s="2" t="s">
        <v>14</v>
      </c>
      <c r="C108" s="2" t="s">
        <v>15</v>
      </c>
      <c r="D108" s="2" t="s">
        <v>65</v>
      </c>
      <c r="E108" s="2" t="s">
        <v>28</v>
      </c>
      <c r="F108" s="2" t="s">
        <v>186</v>
      </c>
      <c r="G108" s="2" t="s">
        <v>13</v>
      </c>
      <c r="H108" s="2" t="s">
        <v>12</v>
      </c>
      <c r="I108" s="2" t="s">
        <v>17</v>
      </c>
    </row>
    <row r="109" spans="1:9" ht="14.4">
      <c r="A109" s="2" t="s">
        <v>408</v>
      </c>
      <c r="B109" s="2" t="s">
        <v>14</v>
      </c>
      <c r="C109" s="2" t="s">
        <v>15</v>
      </c>
      <c r="D109" s="2" t="s">
        <v>65</v>
      </c>
      <c r="E109" s="2" t="s">
        <v>28</v>
      </c>
      <c r="F109" s="2" t="s">
        <v>186</v>
      </c>
      <c r="G109" s="2" t="s">
        <v>13</v>
      </c>
      <c r="H109" s="2" t="s">
        <v>16</v>
      </c>
      <c r="I109" s="2" t="s">
        <v>12</v>
      </c>
    </row>
    <row r="110" spans="1:9" ht="14.4">
      <c r="A110" s="2" t="s">
        <v>407</v>
      </c>
      <c r="B110" s="2" t="s">
        <v>14</v>
      </c>
      <c r="C110" s="2" t="s">
        <v>15</v>
      </c>
      <c r="D110" s="2" t="s">
        <v>65</v>
      </c>
      <c r="E110" s="2" t="s">
        <v>28</v>
      </c>
      <c r="F110" s="2" t="s">
        <v>186</v>
      </c>
      <c r="G110" s="2" t="s">
        <v>13</v>
      </c>
      <c r="H110" s="2" t="s">
        <v>11</v>
      </c>
      <c r="I110" s="2" t="s">
        <v>17</v>
      </c>
    </row>
    <row r="111" spans="1:9" ht="14.4">
      <c r="A111" s="2" t="s">
        <v>406</v>
      </c>
      <c r="B111" s="2" t="s">
        <v>14</v>
      </c>
      <c r="C111" s="2" t="s">
        <v>15</v>
      </c>
      <c r="D111" s="2" t="s">
        <v>65</v>
      </c>
      <c r="E111" s="2" t="s">
        <v>28</v>
      </c>
      <c r="F111" s="2" t="s">
        <v>186</v>
      </c>
      <c r="G111" s="2" t="s">
        <v>13</v>
      </c>
      <c r="H111" s="2" t="s">
        <v>16</v>
      </c>
      <c r="I111" s="2" t="s">
        <v>11</v>
      </c>
    </row>
    <row r="112" spans="1:9" ht="14.4">
      <c r="A112" s="2" t="s">
        <v>405</v>
      </c>
      <c r="B112" s="2" t="s">
        <v>14</v>
      </c>
      <c r="C112" s="2" t="s">
        <v>15</v>
      </c>
      <c r="D112" s="2" t="s">
        <v>65</v>
      </c>
      <c r="E112" s="2" t="s">
        <v>28</v>
      </c>
      <c r="F112" s="2" t="s">
        <v>186</v>
      </c>
      <c r="G112" s="2" t="s">
        <v>13</v>
      </c>
      <c r="H112" s="2" t="s">
        <v>16</v>
      </c>
      <c r="I112" s="2" t="s">
        <v>17</v>
      </c>
    </row>
    <row r="113" spans="1:9" ht="14.4">
      <c r="A113" s="2" t="s">
        <v>404</v>
      </c>
      <c r="B113" s="2" t="s">
        <v>28</v>
      </c>
      <c r="C113" s="2" t="s">
        <v>11</v>
      </c>
      <c r="D113" s="2" t="s">
        <v>65</v>
      </c>
      <c r="E113" s="2" t="s">
        <v>13</v>
      </c>
      <c r="F113" s="2" t="s">
        <v>186</v>
      </c>
      <c r="G113" s="2" t="s">
        <v>15</v>
      </c>
      <c r="H113" s="2" t="s">
        <v>12</v>
      </c>
      <c r="I113" s="2" t="s">
        <v>17</v>
      </c>
    </row>
    <row r="114" spans="1:9" ht="14.4">
      <c r="A114" s="2" t="s">
        <v>403</v>
      </c>
      <c r="B114" s="2" t="s">
        <v>28</v>
      </c>
      <c r="C114" s="2" t="s">
        <v>11</v>
      </c>
      <c r="D114" s="2" t="s">
        <v>65</v>
      </c>
      <c r="E114" s="2" t="s">
        <v>13</v>
      </c>
      <c r="F114" s="2" t="s">
        <v>186</v>
      </c>
      <c r="G114" s="2" t="s">
        <v>15</v>
      </c>
      <c r="H114" s="2" t="s">
        <v>16</v>
      </c>
      <c r="I114" s="2" t="s">
        <v>12</v>
      </c>
    </row>
    <row r="115" spans="1:9" ht="14.4">
      <c r="A115" s="2" t="s">
        <v>402</v>
      </c>
      <c r="B115" s="2" t="s">
        <v>12</v>
      </c>
      <c r="C115" s="2" t="s">
        <v>15</v>
      </c>
      <c r="D115" s="2" t="s">
        <v>65</v>
      </c>
      <c r="E115" s="2" t="s">
        <v>28</v>
      </c>
      <c r="F115" s="2" t="s">
        <v>186</v>
      </c>
      <c r="G115" s="2" t="s">
        <v>13</v>
      </c>
      <c r="H115" s="2" t="s">
        <v>16</v>
      </c>
      <c r="I115" s="2" t="s">
        <v>17</v>
      </c>
    </row>
    <row r="116" spans="1:9" ht="14.4">
      <c r="A116" s="2" t="s">
        <v>401</v>
      </c>
      <c r="B116" s="2" t="s">
        <v>28</v>
      </c>
      <c r="C116" s="2" t="s">
        <v>11</v>
      </c>
      <c r="D116" s="2" t="s">
        <v>65</v>
      </c>
      <c r="E116" s="2" t="s">
        <v>13</v>
      </c>
      <c r="F116" s="2" t="s">
        <v>186</v>
      </c>
      <c r="G116" s="2" t="s">
        <v>15</v>
      </c>
      <c r="H116" s="2" t="s">
        <v>16</v>
      </c>
      <c r="I116" s="2" t="s">
        <v>17</v>
      </c>
    </row>
    <row r="117" spans="1:9" ht="14.4">
      <c r="A117" s="2" t="s">
        <v>400</v>
      </c>
      <c r="B117" s="2" t="s">
        <v>14</v>
      </c>
      <c r="C117" s="2" t="s">
        <v>11</v>
      </c>
      <c r="D117" s="2" t="s">
        <v>65</v>
      </c>
      <c r="E117" s="2" t="s">
        <v>28</v>
      </c>
      <c r="F117" s="2" t="s">
        <v>186</v>
      </c>
      <c r="G117" s="2" t="s">
        <v>13</v>
      </c>
      <c r="H117" s="2" t="s">
        <v>12</v>
      </c>
      <c r="I117" s="2" t="s">
        <v>17</v>
      </c>
    </row>
    <row r="118" spans="1:9" ht="14.4">
      <c r="A118" s="2" t="s">
        <v>399</v>
      </c>
      <c r="B118" s="2" t="s">
        <v>14</v>
      </c>
      <c r="C118" s="2" t="s">
        <v>11</v>
      </c>
      <c r="D118" s="2" t="s">
        <v>65</v>
      </c>
      <c r="E118" s="2" t="s">
        <v>28</v>
      </c>
      <c r="F118" s="2" t="s">
        <v>186</v>
      </c>
      <c r="G118" s="2" t="s">
        <v>13</v>
      </c>
      <c r="H118" s="2" t="s">
        <v>16</v>
      </c>
      <c r="I118" s="2" t="s">
        <v>12</v>
      </c>
    </row>
    <row r="119" spans="1:9" ht="14.4">
      <c r="A119" s="2" t="s">
        <v>398</v>
      </c>
      <c r="B119" s="2" t="s">
        <v>14</v>
      </c>
      <c r="C119" s="2" t="s">
        <v>12</v>
      </c>
      <c r="D119" s="2" t="s">
        <v>65</v>
      </c>
      <c r="E119" s="2" t="s">
        <v>28</v>
      </c>
      <c r="F119" s="2" t="s">
        <v>186</v>
      </c>
      <c r="G119" s="2" t="s">
        <v>13</v>
      </c>
      <c r="H119" s="2" t="s">
        <v>16</v>
      </c>
      <c r="I119" s="2" t="s">
        <v>17</v>
      </c>
    </row>
    <row r="120" spans="1:9" ht="14.4">
      <c r="A120" s="2" t="s">
        <v>397</v>
      </c>
      <c r="B120" s="2" t="s">
        <v>14</v>
      </c>
      <c r="C120" s="2" t="s">
        <v>11</v>
      </c>
      <c r="D120" s="2" t="s">
        <v>65</v>
      </c>
      <c r="E120" s="2" t="s">
        <v>28</v>
      </c>
      <c r="F120" s="2" t="s">
        <v>186</v>
      </c>
      <c r="G120" s="2" t="s">
        <v>13</v>
      </c>
      <c r="H120" s="2" t="s">
        <v>16</v>
      </c>
      <c r="I120" s="2" t="s">
        <v>17</v>
      </c>
    </row>
    <row r="121" spans="1:9" ht="14.4">
      <c r="A121" s="2" t="s">
        <v>396</v>
      </c>
      <c r="B121" s="2" t="s">
        <v>12</v>
      </c>
      <c r="C121" s="2" t="s">
        <v>11</v>
      </c>
      <c r="D121" s="2" t="s">
        <v>65</v>
      </c>
      <c r="E121" s="2" t="s">
        <v>28</v>
      </c>
      <c r="F121" s="2" t="s">
        <v>186</v>
      </c>
      <c r="G121" s="2" t="s">
        <v>13</v>
      </c>
      <c r="H121" s="2" t="s">
        <v>16</v>
      </c>
      <c r="I121" s="2" t="s">
        <v>17</v>
      </c>
    </row>
    <row r="122" spans="1:9" ht="14.4">
      <c r="A122" s="2" t="s">
        <v>395</v>
      </c>
      <c r="B122" s="2" t="s">
        <v>14</v>
      </c>
      <c r="C122" s="2" t="s">
        <v>11</v>
      </c>
      <c r="D122" s="2" t="s">
        <v>65</v>
      </c>
      <c r="E122" s="2" t="s">
        <v>28</v>
      </c>
      <c r="F122" s="2" t="s">
        <v>186</v>
      </c>
      <c r="G122" s="2" t="s">
        <v>15</v>
      </c>
      <c r="H122" s="2" t="s">
        <v>12</v>
      </c>
      <c r="I122" s="2" t="s">
        <v>17</v>
      </c>
    </row>
    <row r="123" spans="1:9" ht="14.4">
      <c r="A123" s="2" t="s">
        <v>394</v>
      </c>
      <c r="B123" s="2" t="s">
        <v>14</v>
      </c>
      <c r="C123" s="2" t="s">
        <v>11</v>
      </c>
      <c r="D123" s="2" t="s">
        <v>65</v>
      </c>
      <c r="E123" s="2" t="s">
        <v>28</v>
      </c>
      <c r="F123" s="2" t="s">
        <v>186</v>
      </c>
      <c r="G123" s="2" t="s">
        <v>15</v>
      </c>
      <c r="H123" s="2" t="s">
        <v>16</v>
      </c>
      <c r="I123" s="2" t="s">
        <v>12</v>
      </c>
    </row>
    <row r="124" spans="1:9" ht="14.4">
      <c r="A124" s="2" t="s">
        <v>393</v>
      </c>
      <c r="B124" s="2" t="s">
        <v>12</v>
      </c>
      <c r="C124" s="2" t="s">
        <v>15</v>
      </c>
      <c r="D124" s="2" t="s">
        <v>65</v>
      </c>
      <c r="E124" s="2" t="s">
        <v>28</v>
      </c>
      <c r="F124" s="2" t="s">
        <v>186</v>
      </c>
      <c r="G124" s="2" t="s">
        <v>14</v>
      </c>
      <c r="H124" s="2" t="s">
        <v>16</v>
      </c>
      <c r="I124" s="2" t="s">
        <v>17</v>
      </c>
    </row>
    <row r="125" spans="1:9" ht="14.4">
      <c r="A125" s="2" t="s">
        <v>392</v>
      </c>
      <c r="B125" s="2" t="s">
        <v>14</v>
      </c>
      <c r="C125" s="2" t="s">
        <v>11</v>
      </c>
      <c r="D125" s="2" t="s">
        <v>65</v>
      </c>
      <c r="E125" s="2" t="s">
        <v>28</v>
      </c>
      <c r="F125" s="2" t="s">
        <v>186</v>
      </c>
      <c r="G125" s="2" t="s">
        <v>15</v>
      </c>
      <c r="H125" s="2" t="s">
        <v>16</v>
      </c>
      <c r="I125" s="2" t="s">
        <v>17</v>
      </c>
    </row>
    <row r="126" spans="1:9" ht="14.4">
      <c r="A126" s="2" t="s">
        <v>391</v>
      </c>
      <c r="B126" s="2" t="s">
        <v>12</v>
      </c>
      <c r="C126" s="2" t="s">
        <v>11</v>
      </c>
      <c r="D126" s="2" t="s">
        <v>65</v>
      </c>
      <c r="E126" s="2" t="s">
        <v>28</v>
      </c>
      <c r="F126" s="2" t="s">
        <v>186</v>
      </c>
      <c r="G126" s="2" t="s">
        <v>15</v>
      </c>
      <c r="H126" s="2" t="s">
        <v>16</v>
      </c>
      <c r="I126" s="2" t="s">
        <v>17</v>
      </c>
    </row>
    <row r="127" spans="1:9" ht="14.4">
      <c r="A127" s="2" t="s">
        <v>390</v>
      </c>
      <c r="B127" s="2" t="s">
        <v>12</v>
      </c>
      <c r="C127" s="2" t="s">
        <v>11</v>
      </c>
      <c r="D127" s="2" t="s">
        <v>65</v>
      </c>
      <c r="E127" s="2" t="s">
        <v>28</v>
      </c>
      <c r="F127" s="2" t="s">
        <v>186</v>
      </c>
      <c r="G127" s="2" t="s">
        <v>14</v>
      </c>
      <c r="H127" s="2" t="s">
        <v>16</v>
      </c>
      <c r="I127" s="2" t="s">
        <v>17</v>
      </c>
    </row>
    <row r="128" spans="1:9" ht="14.4">
      <c r="A128" s="2" t="s">
        <v>389</v>
      </c>
      <c r="B128" s="2" t="s">
        <v>14</v>
      </c>
      <c r="C128" s="2" t="s">
        <v>15</v>
      </c>
      <c r="D128" s="2" t="s">
        <v>65</v>
      </c>
      <c r="E128" s="2" t="s">
        <v>19</v>
      </c>
      <c r="F128" s="2" t="s">
        <v>186</v>
      </c>
      <c r="G128" s="2" t="s">
        <v>13</v>
      </c>
      <c r="H128" s="2" t="s">
        <v>10</v>
      </c>
      <c r="I128" s="2" t="s">
        <v>12</v>
      </c>
    </row>
    <row r="129" spans="1:9" ht="14.4">
      <c r="A129" s="2" t="s">
        <v>388</v>
      </c>
      <c r="B129" s="2" t="s">
        <v>14</v>
      </c>
      <c r="C129" s="2" t="s">
        <v>15</v>
      </c>
      <c r="D129" s="2" t="s">
        <v>65</v>
      </c>
      <c r="E129" s="2" t="s">
        <v>19</v>
      </c>
      <c r="F129" s="2" t="s">
        <v>186</v>
      </c>
      <c r="G129" s="2" t="s">
        <v>13</v>
      </c>
      <c r="H129" s="2" t="s">
        <v>10</v>
      </c>
      <c r="I129" s="2" t="s">
        <v>11</v>
      </c>
    </row>
    <row r="130" spans="1:9" ht="14.4">
      <c r="A130" s="2" t="s">
        <v>387</v>
      </c>
      <c r="B130" s="2" t="s">
        <v>14</v>
      </c>
      <c r="C130" s="2" t="s">
        <v>15</v>
      </c>
      <c r="D130" s="2" t="s">
        <v>65</v>
      </c>
      <c r="E130" s="2" t="s">
        <v>19</v>
      </c>
      <c r="F130" s="2" t="s">
        <v>186</v>
      </c>
      <c r="G130" s="2" t="s">
        <v>13</v>
      </c>
      <c r="H130" s="2" t="s">
        <v>10</v>
      </c>
      <c r="I130" s="2" t="s">
        <v>17</v>
      </c>
    </row>
    <row r="131" spans="1:9" ht="14.4">
      <c r="A131" s="2" t="s">
        <v>386</v>
      </c>
      <c r="B131" s="2" t="s">
        <v>14</v>
      </c>
      <c r="C131" s="2" t="s">
        <v>15</v>
      </c>
      <c r="D131" s="2" t="s">
        <v>65</v>
      </c>
      <c r="E131" s="2" t="s">
        <v>19</v>
      </c>
      <c r="F131" s="2" t="s">
        <v>186</v>
      </c>
      <c r="G131" s="2" t="s">
        <v>13</v>
      </c>
      <c r="H131" s="2" t="s">
        <v>16</v>
      </c>
      <c r="I131" s="2" t="s">
        <v>10</v>
      </c>
    </row>
    <row r="132" spans="1:9" ht="14.4">
      <c r="A132" s="2" t="s">
        <v>385</v>
      </c>
      <c r="B132" s="2" t="s">
        <v>10</v>
      </c>
      <c r="C132" s="2" t="s">
        <v>15</v>
      </c>
      <c r="D132" s="2" t="s">
        <v>65</v>
      </c>
      <c r="E132" s="2" t="s">
        <v>19</v>
      </c>
      <c r="F132" s="2" t="s">
        <v>186</v>
      </c>
      <c r="G132" s="2" t="s">
        <v>13</v>
      </c>
      <c r="H132" s="2" t="s">
        <v>12</v>
      </c>
      <c r="I132" s="2" t="s">
        <v>11</v>
      </c>
    </row>
    <row r="133" spans="1:9" ht="14.4">
      <c r="A133" s="2" t="s">
        <v>384</v>
      </c>
      <c r="B133" s="2" t="s">
        <v>10</v>
      </c>
      <c r="C133" s="2" t="s">
        <v>15</v>
      </c>
      <c r="D133" s="2" t="s">
        <v>65</v>
      </c>
      <c r="E133" s="2" t="s">
        <v>19</v>
      </c>
      <c r="F133" s="2" t="s">
        <v>186</v>
      </c>
      <c r="G133" s="2" t="s">
        <v>13</v>
      </c>
      <c r="H133" s="2" t="s">
        <v>12</v>
      </c>
      <c r="I133" s="2" t="s">
        <v>17</v>
      </c>
    </row>
    <row r="134" spans="1:9" ht="14.4">
      <c r="A134" s="2" t="s">
        <v>383</v>
      </c>
      <c r="B134" s="2" t="s">
        <v>10</v>
      </c>
      <c r="C134" s="2" t="s">
        <v>15</v>
      </c>
      <c r="D134" s="2" t="s">
        <v>65</v>
      </c>
      <c r="E134" s="2" t="s">
        <v>19</v>
      </c>
      <c r="F134" s="2" t="s">
        <v>186</v>
      </c>
      <c r="G134" s="2" t="s">
        <v>13</v>
      </c>
      <c r="H134" s="2" t="s">
        <v>16</v>
      </c>
      <c r="I134" s="2" t="s">
        <v>12</v>
      </c>
    </row>
    <row r="135" spans="1:9" ht="14.4">
      <c r="A135" s="2" t="s">
        <v>382</v>
      </c>
      <c r="B135" s="2" t="s">
        <v>10</v>
      </c>
      <c r="C135" s="2" t="s">
        <v>15</v>
      </c>
      <c r="D135" s="2" t="s">
        <v>65</v>
      </c>
      <c r="E135" s="2" t="s">
        <v>19</v>
      </c>
      <c r="F135" s="2" t="s">
        <v>186</v>
      </c>
      <c r="G135" s="2" t="s">
        <v>13</v>
      </c>
      <c r="H135" s="2" t="s">
        <v>11</v>
      </c>
      <c r="I135" s="2" t="s">
        <v>17</v>
      </c>
    </row>
    <row r="136" spans="1:9" ht="14.4">
      <c r="A136" s="2" t="s">
        <v>381</v>
      </c>
      <c r="B136" s="2" t="s">
        <v>10</v>
      </c>
      <c r="C136" s="2" t="s">
        <v>15</v>
      </c>
      <c r="D136" s="2" t="s">
        <v>65</v>
      </c>
      <c r="E136" s="2" t="s">
        <v>19</v>
      </c>
      <c r="F136" s="2" t="s">
        <v>186</v>
      </c>
      <c r="G136" s="2" t="s">
        <v>13</v>
      </c>
      <c r="H136" s="2" t="s">
        <v>16</v>
      </c>
      <c r="I136" s="2" t="s">
        <v>11</v>
      </c>
    </row>
    <row r="137" spans="1:9" ht="14.4">
      <c r="A137" s="2" t="s">
        <v>380</v>
      </c>
      <c r="B137" s="2" t="s">
        <v>10</v>
      </c>
      <c r="C137" s="2" t="s">
        <v>15</v>
      </c>
      <c r="D137" s="2" t="s">
        <v>65</v>
      </c>
      <c r="E137" s="2" t="s">
        <v>19</v>
      </c>
      <c r="F137" s="2" t="s">
        <v>186</v>
      </c>
      <c r="G137" s="2" t="s">
        <v>13</v>
      </c>
      <c r="H137" s="2" t="s">
        <v>16</v>
      </c>
      <c r="I137" s="2" t="s">
        <v>17</v>
      </c>
    </row>
    <row r="138" spans="1:9" ht="14.4">
      <c r="A138" s="2" t="s">
        <v>379</v>
      </c>
      <c r="B138" s="2" t="s">
        <v>14</v>
      </c>
      <c r="C138" s="2" t="s">
        <v>11</v>
      </c>
      <c r="D138" s="2" t="s">
        <v>65</v>
      </c>
      <c r="E138" s="2" t="s">
        <v>19</v>
      </c>
      <c r="F138" s="2" t="s">
        <v>186</v>
      </c>
      <c r="G138" s="2" t="s">
        <v>13</v>
      </c>
      <c r="H138" s="2" t="s">
        <v>10</v>
      </c>
      <c r="I138" s="2" t="s">
        <v>12</v>
      </c>
    </row>
    <row r="139" spans="1:9" ht="14.4">
      <c r="A139" s="2" t="s">
        <v>378</v>
      </c>
      <c r="B139" s="2" t="s">
        <v>14</v>
      </c>
      <c r="C139" s="2" t="s">
        <v>10</v>
      </c>
      <c r="D139" s="2" t="s">
        <v>65</v>
      </c>
      <c r="E139" s="2" t="s">
        <v>19</v>
      </c>
      <c r="F139" s="2" t="s">
        <v>186</v>
      </c>
      <c r="G139" s="2" t="s">
        <v>13</v>
      </c>
      <c r="H139" s="2" t="s">
        <v>12</v>
      </c>
      <c r="I139" s="2" t="s">
        <v>17</v>
      </c>
    </row>
    <row r="140" spans="1:9" ht="14.4">
      <c r="A140" s="2" t="s">
        <v>377</v>
      </c>
      <c r="B140" s="2" t="s">
        <v>14</v>
      </c>
      <c r="C140" s="2" t="s">
        <v>10</v>
      </c>
      <c r="D140" s="2" t="s">
        <v>65</v>
      </c>
      <c r="E140" s="2" t="s">
        <v>19</v>
      </c>
      <c r="F140" s="2" t="s">
        <v>186</v>
      </c>
      <c r="G140" s="2" t="s">
        <v>13</v>
      </c>
      <c r="H140" s="2" t="s">
        <v>16</v>
      </c>
      <c r="I140" s="2" t="s">
        <v>12</v>
      </c>
    </row>
    <row r="141" spans="1:9" ht="14.4">
      <c r="A141" s="2" t="s">
        <v>376</v>
      </c>
      <c r="B141" s="2" t="s">
        <v>14</v>
      </c>
      <c r="C141" s="2" t="s">
        <v>11</v>
      </c>
      <c r="D141" s="2" t="s">
        <v>65</v>
      </c>
      <c r="E141" s="2" t="s">
        <v>19</v>
      </c>
      <c r="F141" s="2" t="s">
        <v>186</v>
      </c>
      <c r="G141" s="2" t="s">
        <v>13</v>
      </c>
      <c r="H141" s="2" t="s">
        <v>10</v>
      </c>
      <c r="I141" s="2" t="s">
        <v>17</v>
      </c>
    </row>
    <row r="142" spans="1:9" ht="14.4">
      <c r="A142" s="2" t="s">
        <v>375</v>
      </c>
      <c r="B142" s="2" t="s">
        <v>14</v>
      </c>
      <c r="C142" s="2" t="s">
        <v>11</v>
      </c>
      <c r="D142" s="2" t="s">
        <v>65</v>
      </c>
      <c r="E142" s="2" t="s">
        <v>19</v>
      </c>
      <c r="F142" s="2" t="s">
        <v>186</v>
      </c>
      <c r="G142" s="2" t="s">
        <v>13</v>
      </c>
      <c r="H142" s="2" t="s">
        <v>16</v>
      </c>
      <c r="I142" s="2" t="s">
        <v>10</v>
      </c>
    </row>
    <row r="143" spans="1:9" ht="14.4">
      <c r="A143" s="2" t="s">
        <v>374</v>
      </c>
      <c r="B143" s="2" t="s">
        <v>14</v>
      </c>
      <c r="C143" s="2" t="s">
        <v>10</v>
      </c>
      <c r="D143" s="2" t="s">
        <v>65</v>
      </c>
      <c r="E143" s="2" t="s">
        <v>19</v>
      </c>
      <c r="F143" s="2" t="s">
        <v>186</v>
      </c>
      <c r="G143" s="2" t="s">
        <v>13</v>
      </c>
      <c r="H143" s="2" t="s">
        <v>16</v>
      </c>
      <c r="I143" s="2" t="s">
        <v>17</v>
      </c>
    </row>
    <row r="144" spans="1:9" ht="14.4">
      <c r="A144" s="2" t="s">
        <v>373</v>
      </c>
      <c r="B144" s="2" t="s">
        <v>10</v>
      </c>
      <c r="C144" s="2" t="s">
        <v>11</v>
      </c>
      <c r="D144" s="2" t="s">
        <v>65</v>
      </c>
      <c r="E144" s="2" t="s">
        <v>19</v>
      </c>
      <c r="F144" s="2" t="s">
        <v>186</v>
      </c>
      <c r="G144" s="2" t="s">
        <v>13</v>
      </c>
      <c r="H144" s="2" t="s">
        <v>12</v>
      </c>
      <c r="I144" s="2" t="s">
        <v>17</v>
      </c>
    </row>
    <row r="145" spans="1:9" ht="14.4">
      <c r="A145" s="2" t="s">
        <v>372</v>
      </c>
      <c r="B145" s="2" t="s">
        <v>10</v>
      </c>
      <c r="C145" s="2" t="s">
        <v>11</v>
      </c>
      <c r="D145" s="2" t="s">
        <v>65</v>
      </c>
      <c r="E145" s="2" t="s">
        <v>19</v>
      </c>
      <c r="F145" s="2" t="s">
        <v>186</v>
      </c>
      <c r="G145" s="2" t="s">
        <v>13</v>
      </c>
      <c r="H145" s="2" t="s">
        <v>16</v>
      </c>
      <c r="I145" s="2" t="s">
        <v>12</v>
      </c>
    </row>
    <row r="146" spans="1:9" ht="14.4">
      <c r="A146" s="2" t="s">
        <v>371</v>
      </c>
      <c r="B146" s="2" t="s">
        <v>10</v>
      </c>
      <c r="C146" s="2" t="s">
        <v>12</v>
      </c>
      <c r="D146" s="2" t="s">
        <v>65</v>
      </c>
      <c r="E146" s="2" t="s">
        <v>19</v>
      </c>
      <c r="F146" s="2" t="s">
        <v>186</v>
      </c>
      <c r="G146" s="2" t="s">
        <v>13</v>
      </c>
      <c r="H146" s="2" t="s">
        <v>16</v>
      </c>
      <c r="I146" s="2" t="s">
        <v>17</v>
      </c>
    </row>
    <row r="147" spans="1:9" ht="14.4">
      <c r="A147" s="2" t="s">
        <v>370</v>
      </c>
      <c r="B147" s="2" t="s">
        <v>10</v>
      </c>
      <c r="C147" s="2" t="s">
        <v>11</v>
      </c>
      <c r="D147" s="2" t="s">
        <v>65</v>
      </c>
      <c r="E147" s="2" t="s">
        <v>19</v>
      </c>
      <c r="F147" s="2" t="s">
        <v>186</v>
      </c>
      <c r="G147" s="2" t="s">
        <v>13</v>
      </c>
      <c r="H147" s="2" t="s">
        <v>16</v>
      </c>
      <c r="I147" s="2" t="s">
        <v>17</v>
      </c>
    </row>
    <row r="148" spans="1:9" ht="14.4">
      <c r="A148" s="2" t="s">
        <v>369</v>
      </c>
      <c r="B148" s="2" t="s">
        <v>14</v>
      </c>
      <c r="C148" s="2" t="s">
        <v>11</v>
      </c>
      <c r="D148" s="2" t="s">
        <v>65</v>
      </c>
      <c r="E148" s="2" t="s">
        <v>19</v>
      </c>
      <c r="F148" s="2" t="s">
        <v>186</v>
      </c>
      <c r="G148" s="2" t="s">
        <v>15</v>
      </c>
      <c r="H148" s="2" t="s">
        <v>10</v>
      </c>
      <c r="I148" s="2" t="s">
        <v>12</v>
      </c>
    </row>
    <row r="149" spans="1:9" ht="14.4">
      <c r="A149" s="2" t="s">
        <v>368</v>
      </c>
      <c r="B149" s="2" t="s">
        <v>10</v>
      </c>
      <c r="C149" s="2" t="s">
        <v>15</v>
      </c>
      <c r="D149" s="2" t="s">
        <v>65</v>
      </c>
      <c r="E149" s="2" t="s">
        <v>19</v>
      </c>
      <c r="F149" s="2" t="s">
        <v>186</v>
      </c>
      <c r="G149" s="2" t="s">
        <v>14</v>
      </c>
      <c r="H149" s="2" t="s">
        <v>12</v>
      </c>
      <c r="I149" s="2" t="s">
        <v>17</v>
      </c>
    </row>
    <row r="150" spans="1:9" ht="14.4">
      <c r="A150" s="2" t="s">
        <v>367</v>
      </c>
      <c r="B150" s="2" t="s">
        <v>10</v>
      </c>
      <c r="C150" s="2" t="s">
        <v>15</v>
      </c>
      <c r="D150" s="2" t="s">
        <v>65</v>
      </c>
      <c r="E150" s="2" t="s">
        <v>19</v>
      </c>
      <c r="F150" s="2" t="s">
        <v>186</v>
      </c>
      <c r="G150" s="2" t="s">
        <v>14</v>
      </c>
      <c r="H150" s="2" t="s">
        <v>16</v>
      </c>
      <c r="I150" s="2" t="s">
        <v>12</v>
      </c>
    </row>
    <row r="151" spans="1:9" ht="14.4">
      <c r="A151" s="2" t="s">
        <v>366</v>
      </c>
      <c r="B151" s="2" t="s">
        <v>14</v>
      </c>
      <c r="C151" s="2" t="s">
        <v>11</v>
      </c>
      <c r="D151" s="2" t="s">
        <v>65</v>
      </c>
      <c r="E151" s="2" t="s">
        <v>19</v>
      </c>
      <c r="F151" s="2" t="s">
        <v>186</v>
      </c>
      <c r="G151" s="2" t="s">
        <v>15</v>
      </c>
      <c r="H151" s="2" t="s">
        <v>10</v>
      </c>
      <c r="I151" s="2" t="s">
        <v>17</v>
      </c>
    </row>
    <row r="152" spans="1:9" ht="14.4">
      <c r="A152" s="2" t="s">
        <v>365</v>
      </c>
      <c r="B152" s="2" t="s">
        <v>14</v>
      </c>
      <c r="C152" s="2" t="s">
        <v>11</v>
      </c>
      <c r="D152" s="2" t="s">
        <v>65</v>
      </c>
      <c r="E152" s="2" t="s">
        <v>19</v>
      </c>
      <c r="F152" s="2" t="s">
        <v>186</v>
      </c>
      <c r="G152" s="2" t="s">
        <v>15</v>
      </c>
      <c r="H152" s="2" t="s">
        <v>16</v>
      </c>
      <c r="I152" s="2" t="s">
        <v>10</v>
      </c>
    </row>
    <row r="153" spans="1:9" ht="14.4">
      <c r="A153" s="2" t="s">
        <v>364</v>
      </c>
      <c r="B153" s="2" t="s">
        <v>10</v>
      </c>
      <c r="C153" s="2" t="s">
        <v>15</v>
      </c>
      <c r="D153" s="2" t="s">
        <v>65</v>
      </c>
      <c r="E153" s="2" t="s">
        <v>19</v>
      </c>
      <c r="F153" s="2" t="s">
        <v>186</v>
      </c>
      <c r="G153" s="2" t="s">
        <v>14</v>
      </c>
      <c r="H153" s="2" t="s">
        <v>16</v>
      </c>
      <c r="I153" s="2" t="s">
        <v>17</v>
      </c>
    </row>
    <row r="154" spans="1:9" ht="14.4">
      <c r="A154" s="2" t="s">
        <v>363</v>
      </c>
      <c r="B154" s="2" t="s">
        <v>10</v>
      </c>
      <c r="C154" s="2" t="s">
        <v>11</v>
      </c>
      <c r="D154" s="2" t="s">
        <v>65</v>
      </c>
      <c r="E154" s="2" t="s">
        <v>19</v>
      </c>
      <c r="F154" s="2" t="s">
        <v>186</v>
      </c>
      <c r="G154" s="2" t="s">
        <v>15</v>
      </c>
      <c r="H154" s="2" t="s">
        <v>12</v>
      </c>
      <c r="I154" s="2" t="s">
        <v>17</v>
      </c>
    </row>
    <row r="155" spans="1:9" ht="14.4">
      <c r="A155" s="2" t="s">
        <v>362</v>
      </c>
      <c r="B155" s="2" t="s">
        <v>10</v>
      </c>
      <c r="C155" s="2" t="s">
        <v>11</v>
      </c>
      <c r="D155" s="2" t="s">
        <v>65</v>
      </c>
      <c r="E155" s="2" t="s">
        <v>19</v>
      </c>
      <c r="F155" s="2" t="s">
        <v>186</v>
      </c>
      <c r="G155" s="2" t="s">
        <v>15</v>
      </c>
      <c r="H155" s="2" t="s">
        <v>16</v>
      </c>
      <c r="I155" s="2" t="s">
        <v>12</v>
      </c>
    </row>
    <row r="156" spans="1:9" ht="14.4">
      <c r="A156" s="2" t="s">
        <v>361</v>
      </c>
      <c r="B156" s="2" t="s">
        <v>10</v>
      </c>
      <c r="C156" s="2" t="s">
        <v>15</v>
      </c>
      <c r="D156" s="2" t="s">
        <v>65</v>
      </c>
      <c r="E156" s="2" t="s">
        <v>186</v>
      </c>
      <c r="F156" s="2" t="s">
        <v>12</v>
      </c>
      <c r="G156" s="2" t="s">
        <v>19</v>
      </c>
      <c r="H156" s="2" t="s">
        <v>16</v>
      </c>
      <c r="I156" s="2" t="s">
        <v>17</v>
      </c>
    </row>
    <row r="157" spans="1:9" ht="14.4">
      <c r="A157" s="2" t="s">
        <v>360</v>
      </c>
      <c r="B157" s="2" t="s">
        <v>10</v>
      </c>
      <c r="C157" s="2" t="s">
        <v>11</v>
      </c>
      <c r="D157" s="2" t="s">
        <v>65</v>
      </c>
      <c r="E157" s="2" t="s">
        <v>19</v>
      </c>
      <c r="F157" s="2" t="s">
        <v>186</v>
      </c>
      <c r="G157" s="2" t="s">
        <v>15</v>
      </c>
      <c r="H157" s="2" t="s">
        <v>16</v>
      </c>
      <c r="I157" s="2" t="s">
        <v>17</v>
      </c>
    </row>
    <row r="158" spans="1:9" ht="14.4">
      <c r="A158" s="2" t="s">
        <v>359</v>
      </c>
      <c r="B158" s="2" t="s">
        <v>10</v>
      </c>
      <c r="C158" s="2" t="s">
        <v>11</v>
      </c>
      <c r="D158" s="2" t="s">
        <v>65</v>
      </c>
      <c r="E158" s="2" t="s">
        <v>19</v>
      </c>
      <c r="F158" s="2" t="s">
        <v>186</v>
      </c>
      <c r="G158" s="2" t="s">
        <v>14</v>
      </c>
      <c r="H158" s="2" t="s">
        <v>12</v>
      </c>
      <c r="I158" s="2" t="s">
        <v>17</v>
      </c>
    </row>
    <row r="159" spans="1:9" ht="14.4">
      <c r="A159" s="2" t="s">
        <v>358</v>
      </c>
      <c r="B159" s="2" t="s">
        <v>10</v>
      </c>
      <c r="C159" s="2" t="s">
        <v>11</v>
      </c>
      <c r="D159" s="2" t="s">
        <v>65</v>
      </c>
      <c r="E159" s="2" t="s">
        <v>19</v>
      </c>
      <c r="F159" s="2" t="s">
        <v>186</v>
      </c>
      <c r="G159" s="2" t="s">
        <v>14</v>
      </c>
      <c r="H159" s="2" t="s">
        <v>16</v>
      </c>
      <c r="I159" s="2" t="s">
        <v>12</v>
      </c>
    </row>
    <row r="160" spans="1:9" ht="14.4">
      <c r="A160" s="2" t="s">
        <v>357</v>
      </c>
      <c r="B160" s="2" t="s">
        <v>10</v>
      </c>
      <c r="C160" s="2" t="s">
        <v>12</v>
      </c>
      <c r="D160" s="2" t="s">
        <v>65</v>
      </c>
      <c r="E160" s="2" t="s">
        <v>19</v>
      </c>
      <c r="F160" s="2" t="s">
        <v>186</v>
      </c>
      <c r="G160" s="2" t="s">
        <v>14</v>
      </c>
      <c r="H160" s="2" t="s">
        <v>16</v>
      </c>
      <c r="I160" s="2" t="s">
        <v>17</v>
      </c>
    </row>
    <row r="161" spans="1:9" ht="14.4">
      <c r="A161" s="2" t="s">
        <v>356</v>
      </c>
      <c r="B161" s="2" t="s">
        <v>10</v>
      </c>
      <c r="C161" s="2" t="s">
        <v>11</v>
      </c>
      <c r="D161" s="2" t="s">
        <v>65</v>
      </c>
      <c r="E161" s="2" t="s">
        <v>19</v>
      </c>
      <c r="F161" s="2" t="s">
        <v>186</v>
      </c>
      <c r="G161" s="2" t="s">
        <v>14</v>
      </c>
      <c r="H161" s="2" t="s">
        <v>16</v>
      </c>
      <c r="I161" s="2" t="s">
        <v>17</v>
      </c>
    </row>
    <row r="162" spans="1:9" ht="14.4">
      <c r="A162" s="2" t="s">
        <v>355</v>
      </c>
      <c r="B162" s="2" t="s">
        <v>10</v>
      </c>
      <c r="C162" s="2" t="s">
        <v>11</v>
      </c>
      <c r="D162" s="2" t="s">
        <v>65</v>
      </c>
      <c r="E162" s="2" t="s">
        <v>186</v>
      </c>
      <c r="F162" s="2" t="s">
        <v>12</v>
      </c>
      <c r="G162" s="2" t="s">
        <v>19</v>
      </c>
      <c r="H162" s="2" t="s">
        <v>16</v>
      </c>
      <c r="I162" s="2" t="s">
        <v>17</v>
      </c>
    </row>
    <row r="163" spans="1:9" ht="14.4">
      <c r="A163" s="2" t="s">
        <v>354</v>
      </c>
      <c r="B163" s="2" t="s">
        <v>14</v>
      </c>
      <c r="C163" s="2" t="s">
        <v>15</v>
      </c>
      <c r="D163" s="2" t="s">
        <v>65</v>
      </c>
      <c r="E163" s="2" t="s">
        <v>19</v>
      </c>
      <c r="F163" s="2" t="s">
        <v>186</v>
      </c>
      <c r="G163" s="2" t="s">
        <v>13</v>
      </c>
      <c r="H163" s="2" t="s">
        <v>12</v>
      </c>
      <c r="I163" s="2" t="s">
        <v>11</v>
      </c>
    </row>
    <row r="164" spans="1:9" ht="14.4">
      <c r="A164" s="2" t="s">
        <v>353</v>
      </c>
      <c r="B164" s="2" t="s">
        <v>14</v>
      </c>
      <c r="C164" s="2" t="s">
        <v>15</v>
      </c>
      <c r="D164" s="2" t="s">
        <v>65</v>
      </c>
      <c r="E164" s="2" t="s">
        <v>19</v>
      </c>
      <c r="F164" s="2" t="s">
        <v>186</v>
      </c>
      <c r="G164" s="2" t="s">
        <v>13</v>
      </c>
      <c r="H164" s="2" t="s">
        <v>12</v>
      </c>
      <c r="I164" s="2" t="s">
        <v>17</v>
      </c>
    </row>
    <row r="165" spans="1:9" ht="14.4">
      <c r="A165" s="2" t="s">
        <v>352</v>
      </c>
      <c r="B165" s="2" t="s">
        <v>14</v>
      </c>
      <c r="C165" s="2" t="s">
        <v>15</v>
      </c>
      <c r="D165" s="2" t="s">
        <v>65</v>
      </c>
      <c r="E165" s="2" t="s">
        <v>19</v>
      </c>
      <c r="F165" s="2" t="s">
        <v>186</v>
      </c>
      <c r="G165" s="2" t="s">
        <v>13</v>
      </c>
      <c r="H165" s="2" t="s">
        <v>16</v>
      </c>
      <c r="I165" s="2" t="s">
        <v>12</v>
      </c>
    </row>
    <row r="166" spans="1:9" ht="14.4">
      <c r="A166" s="2" t="s">
        <v>351</v>
      </c>
      <c r="B166" s="2" t="s">
        <v>14</v>
      </c>
      <c r="C166" s="2" t="s">
        <v>15</v>
      </c>
      <c r="D166" s="2" t="s">
        <v>65</v>
      </c>
      <c r="E166" s="2" t="s">
        <v>19</v>
      </c>
      <c r="F166" s="2" t="s">
        <v>186</v>
      </c>
      <c r="G166" s="2" t="s">
        <v>13</v>
      </c>
      <c r="H166" s="2" t="s">
        <v>11</v>
      </c>
      <c r="I166" s="2" t="s">
        <v>17</v>
      </c>
    </row>
    <row r="167" spans="1:9" ht="14.4">
      <c r="A167" s="2" t="s">
        <v>350</v>
      </c>
      <c r="B167" s="2" t="s">
        <v>14</v>
      </c>
      <c r="C167" s="2" t="s">
        <v>15</v>
      </c>
      <c r="D167" s="2" t="s">
        <v>65</v>
      </c>
      <c r="E167" s="2" t="s">
        <v>19</v>
      </c>
      <c r="F167" s="2" t="s">
        <v>186</v>
      </c>
      <c r="G167" s="2" t="s">
        <v>13</v>
      </c>
      <c r="H167" s="2" t="s">
        <v>16</v>
      </c>
      <c r="I167" s="2" t="s">
        <v>11</v>
      </c>
    </row>
    <row r="168" spans="1:9" ht="14.4">
      <c r="A168" s="2" t="s">
        <v>349</v>
      </c>
      <c r="B168" s="2" t="s">
        <v>14</v>
      </c>
      <c r="C168" s="2" t="s">
        <v>15</v>
      </c>
      <c r="D168" s="2" t="s">
        <v>65</v>
      </c>
      <c r="E168" s="2" t="s">
        <v>19</v>
      </c>
      <c r="F168" s="2" t="s">
        <v>186</v>
      </c>
      <c r="G168" s="2" t="s">
        <v>13</v>
      </c>
      <c r="H168" s="2" t="s">
        <v>16</v>
      </c>
      <c r="I168" s="2" t="s">
        <v>17</v>
      </c>
    </row>
    <row r="169" spans="1:9" ht="14.4">
      <c r="A169" s="2" t="s">
        <v>348</v>
      </c>
      <c r="B169" s="2" t="s">
        <v>13</v>
      </c>
      <c r="C169" s="2" t="s">
        <v>11</v>
      </c>
      <c r="D169" s="2" t="s">
        <v>65</v>
      </c>
      <c r="E169" s="2" t="s">
        <v>19</v>
      </c>
      <c r="F169" s="2" t="s">
        <v>186</v>
      </c>
      <c r="G169" s="2" t="s">
        <v>15</v>
      </c>
      <c r="H169" s="2" t="s">
        <v>12</v>
      </c>
      <c r="I169" s="2" t="s">
        <v>17</v>
      </c>
    </row>
    <row r="170" spans="1:9" ht="14.4">
      <c r="A170" s="2" t="s">
        <v>347</v>
      </c>
      <c r="B170" s="2" t="s">
        <v>13</v>
      </c>
      <c r="C170" s="2" t="s">
        <v>11</v>
      </c>
      <c r="D170" s="2" t="s">
        <v>65</v>
      </c>
      <c r="E170" s="2" t="s">
        <v>19</v>
      </c>
      <c r="F170" s="2" t="s">
        <v>186</v>
      </c>
      <c r="G170" s="2" t="s">
        <v>15</v>
      </c>
      <c r="H170" s="2" t="s">
        <v>16</v>
      </c>
      <c r="I170" s="2" t="s">
        <v>12</v>
      </c>
    </row>
    <row r="171" spans="1:9" ht="14.4">
      <c r="A171" s="2" t="s">
        <v>346</v>
      </c>
      <c r="B171" s="2" t="s">
        <v>12</v>
      </c>
      <c r="C171" s="2" t="s">
        <v>15</v>
      </c>
      <c r="D171" s="2" t="s">
        <v>65</v>
      </c>
      <c r="E171" s="2" t="s">
        <v>19</v>
      </c>
      <c r="F171" s="2" t="s">
        <v>186</v>
      </c>
      <c r="G171" s="2" t="s">
        <v>13</v>
      </c>
      <c r="H171" s="2" t="s">
        <v>16</v>
      </c>
      <c r="I171" s="2" t="s">
        <v>17</v>
      </c>
    </row>
    <row r="172" spans="1:9" ht="14.4">
      <c r="A172" s="2" t="s">
        <v>345</v>
      </c>
      <c r="B172" s="2" t="s">
        <v>13</v>
      </c>
      <c r="C172" s="2" t="s">
        <v>11</v>
      </c>
      <c r="D172" s="2" t="s">
        <v>65</v>
      </c>
      <c r="E172" s="2" t="s">
        <v>19</v>
      </c>
      <c r="F172" s="2" t="s">
        <v>186</v>
      </c>
      <c r="G172" s="2" t="s">
        <v>15</v>
      </c>
      <c r="H172" s="2" t="s">
        <v>16</v>
      </c>
      <c r="I172" s="2" t="s">
        <v>17</v>
      </c>
    </row>
    <row r="173" spans="1:9" ht="14.4">
      <c r="A173" s="2" t="s">
        <v>344</v>
      </c>
      <c r="B173" s="2" t="s">
        <v>14</v>
      </c>
      <c r="C173" s="2" t="s">
        <v>11</v>
      </c>
      <c r="D173" s="2" t="s">
        <v>65</v>
      </c>
      <c r="E173" s="2" t="s">
        <v>19</v>
      </c>
      <c r="F173" s="2" t="s">
        <v>186</v>
      </c>
      <c r="G173" s="2" t="s">
        <v>13</v>
      </c>
      <c r="H173" s="2" t="s">
        <v>12</v>
      </c>
      <c r="I173" s="2" t="s">
        <v>17</v>
      </c>
    </row>
    <row r="174" spans="1:9" ht="14.4">
      <c r="A174" s="2" t="s">
        <v>343</v>
      </c>
      <c r="B174" s="2" t="s">
        <v>14</v>
      </c>
      <c r="C174" s="2" t="s">
        <v>11</v>
      </c>
      <c r="D174" s="2" t="s">
        <v>65</v>
      </c>
      <c r="E174" s="2" t="s">
        <v>19</v>
      </c>
      <c r="F174" s="2" t="s">
        <v>186</v>
      </c>
      <c r="G174" s="2" t="s">
        <v>13</v>
      </c>
      <c r="H174" s="2" t="s">
        <v>16</v>
      </c>
      <c r="I174" s="2" t="s">
        <v>12</v>
      </c>
    </row>
    <row r="175" spans="1:9" ht="14.4">
      <c r="A175" s="2" t="s">
        <v>342</v>
      </c>
      <c r="B175" s="2" t="s">
        <v>14</v>
      </c>
      <c r="C175" s="2" t="s">
        <v>12</v>
      </c>
      <c r="D175" s="2" t="s">
        <v>65</v>
      </c>
      <c r="E175" s="2" t="s">
        <v>19</v>
      </c>
      <c r="F175" s="2" t="s">
        <v>186</v>
      </c>
      <c r="G175" s="2" t="s">
        <v>13</v>
      </c>
      <c r="H175" s="2" t="s">
        <v>16</v>
      </c>
      <c r="I175" s="2" t="s">
        <v>17</v>
      </c>
    </row>
    <row r="176" spans="1:9" ht="14.4">
      <c r="A176" s="2" t="s">
        <v>341</v>
      </c>
      <c r="B176" s="2" t="s">
        <v>14</v>
      </c>
      <c r="C176" s="2" t="s">
        <v>11</v>
      </c>
      <c r="D176" s="2" t="s">
        <v>65</v>
      </c>
      <c r="E176" s="2" t="s">
        <v>19</v>
      </c>
      <c r="F176" s="2" t="s">
        <v>186</v>
      </c>
      <c r="G176" s="2" t="s">
        <v>13</v>
      </c>
      <c r="H176" s="2" t="s">
        <v>16</v>
      </c>
      <c r="I176" s="2" t="s">
        <v>17</v>
      </c>
    </row>
    <row r="177" spans="1:9" ht="14.4">
      <c r="A177" s="2" t="s">
        <v>340</v>
      </c>
      <c r="B177" s="2" t="s">
        <v>12</v>
      </c>
      <c r="C177" s="2" t="s">
        <v>11</v>
      </c>
      <c r="D177" s="2" t="s">
        <v>65</v>
      </c>
      <c r="E177" s="2" t="s">
        <v>19</v>
      </c>
      <c r="F177" s="2" t="s">
        <v>186</v>
      </c>
      <c r="G177" s="2" t="s">
        <v>13</v>
      </c>
      <c r="H177" s="2" t="s">
        <v>16</v>
      </c>
      <c r="I177" s="2" t="s">
        <v>17</v>
      </c>
    </row>
    <row r="178" spans="1:9" ht="14.4">
      <c r="A178" s="2" t="s">
        <v>339</v>
      </c>
      <c r="B178" s="2" t="s">
        <v>14</v>
      </c>
      <c r="C178" s="2" t="s">
        <v>11</v>
      </c>
      <c r="D178" s="2" t="s">
        <v>65</v>
      </c>
      <c r="E178" s="2" t="s">
        <v>19</v>
      </c>
      <c r="F178" s="2" t="s">
        <v>186</v>
      </c>
      <c r="G178" s="2" t="s">
        <v>15</v>
      </c>
      <c r="H178" s="2" t="s">
        <v>12</v>
      </c>
      <c r="I178" s="2" t="s">
        <v>17</v>
      </c>
    </row>
    <row r="179" spans="1:9" ht="14.4">
      <c r="A179" s="2" t="s">
        <v>338</v>
      </c>
      <c r="B179" s="2" t="s">
        <v>14</v>
      </c>
      <c r="C179" s="2" t="s">
        <v>11</v>
      </c>
      <c r="D179" s="2" t="s">
        <v>65</v>
      </c>
      <c r="E179" s="2" t="s">
        <v>19</v>
      </c>
      <c r="F179" s="2" t="s">
        <v>186</v>
      </c>
      <c r="G179" s="2" t="s">
        <v>15</v>
      </c>
      <c r="H179" s="2" t="s">
        <v>16</v>
      </c>
      <c r="I179" s="2" t="s">
        <v>12</v>
      </c>
    </row>
    <row r="180" spans="1:9" ht="14.4">
      <c r="A180" s="2" t="s">
        <v>337</v>
      </c>
      <c r="B180" s="2" t="s">
        <v>12</v>
      </c>
      <c r="C180" s="2" t="s">
        <v>15</v>
      </c>
      <c r="D180" s="2" t="s">
        <v>65</v>
      </c>
      <c r="E180" s="2" t="s">
        <v>19</v>
      </c>
      <c r="F180" s="2" t="s">
        <v>186</v>
      </c>
      <c r="G180" s="2" t="s">
        <v>14</v>
      </c>
      <c r="H180" s="2" t="s">
        <v>16</v>
      </c>
      <c r="I180" s="2" t="s">
        <v>17</v>
      </c>
    </row>
    <row r="181" spans="1:9" ht="14.4">
      <c r="A181" s="2" t="s">
        <v>336</v>
      </c>
      <c r="B181" s="2" t="s">
        <v>14</v>
      </c>
      <c r="C181" s="2" t="s">
        <v>11</v>
      </c>
      <c r="D181" s="2" t="s">
        <v>65</v>
      </c>
      <c r="E181" s="2" t="s">
        <v>19</v>
      </c>
      <c r="F181" s="2" t="s">
        <v>186</v>
      </c>
      <c r="G181" s="2" t="s">
        <v>15</v>
      </c>
      <c r="H181" s="2" t="s">
        <v>16</v>
      </c>
      <c r="I181" s="2" t="s">
        <v>17</v>
      </c>
    </row>
    <row r="182" spans="1:9" ht="14.4">
      <c r="A182" s="2" t="s">
        <v>335</v>
      </c>
      <c r="B182" s="2" t="s">
        <v>12</v>
      </c>
      <c r="C182" s="2" t="s">
        <v>11</v>
      </c>
      <c r="D182" s="2" t="s">
        <v>65</v>
      </c>
      <c r="E182" s="2" t="s">
        <v>19</v>
      </c>
      <c r="F182" s="2" t="s">
        <v>186</v>
      </c>
      <c r="G182" s="2" t="s">
        <v>15</v>
      </c>
      <c r="H182" s="2" t="s">
        <v>16</v>
      </c>
      <c r="I182" s="2" t="s">
        <v>17</v>
      </c>
    </row>
    <row r="183" spans="1:9" ht="14.4">
      <c r="A183" s="2" t="s">
        <v>334</v>
      </c>
      <c r="B183" s="2" t="s">
        <v>12</v>
      </c>
      <c r="C183" s="2" t="s">
        <v>11</v>
      </c>
      <c r="D183" s="2" t="s">
        <v>65</v>
      </c>
      <c r="E183" s="2" t="s">
        <v>19</v>
      </c>
      <c r="F183" s="2" t="s">
        <v>186</v>
      </c>
      <c r="G183" s="2" t="s">
        <v>14</v>
      </c>
      <c r="H183" s="2" t="s">
        <v>16</v>
      </c>
      <c r="I183" s="2" t="s">
        <v>17</v>
      </c>
    </row>
    <row r="184" spans="1:9" ht="14.4">
      <c r="A184" s="2" t="s">
        <v>333</v>
      </c>
      <c r="B184" s="2" t="s">
        <v>14</v>
      </c>
      <c r="C184" s="2" t="s">
        <v>11</v>
      </c>
      <c r="D184" s="2" t="s">
        <v>65</v>
      </c>
      <c r="E184" s="2" t="s">
        <v>13</v>
      </c>
      <c r="F184" s="2" t="s">
        <v>186</v>
      </c>
      <c r="G184" s="2" t="s">
        <v>15</v>
      </c>
      <c r="H184" s="2" t="s">
        <v>10</v>
      </c>
      <c r="I184" s="2" t="s">
        <v>12</v>
      </c>
    </row>
    <row r="185" spans="1:9" ht="14.4">
      <c r="A185" s="2" t="s">
        <v>332</v>
      </c>
      <c r="B185" s="2" t="s">
        <v>10</v>
      </c>
      <c r="C185" s="2" t="s">
        <v>15</v>
      </c>
      <c r="D185" s="2" t="s">
        <v>65</v>
      </c>
      <c r="E185" s="2" t="s">
        <v>13</v>
      </c>
      <c r="F185" s="2" t="s">
        <v>186</v>
      </c>
      <c r="G185" s="2" t="s">
        <v>14</v>
      </c>
      <c r="H185" s="2" t="s">
        <v>12</v>
      </c>
      <c r="I185" s="2" t="s">
        <v>17</v>
      </c>
    </row>
    <row r="186" spans="1:9" ht="14.4">
      <c r="A186" s="2" t="s">
        <v>331</v>
      </c>
      <c r="B186" s="2" t="s">
        <v>10</v>
      </c>
      <c r="C186" s="2" t="s">
        <v>15</v>
      </c>
      <c r="D186" s="2" t="s">
        <v>65</v>
      </c>
      <c r="E186" s="2" t="s">
        <v>13</v>
      </c>
      <c r="F186" s="2" t="s">
        <v>186</v>
      </c>
      <c r="G186" s="2" t="s">
        <v>14</v>
      </c>
      <c r="H186" s="2" t="s">
        <v>16</v>
      </c>
      <c r="I186" s="2" t="s">
        <v>12</v>
      </c>
    </row>
    <row r="187" spans="1:9" ht="14.4">
      <c r="A187" s="2" t="s">
        <v>330</v>
      </c>
      <c r="B187" s="2" t="s">
        <v>14</v>
      </c>
      <c r="C187" s="2" t="s">
        <v>11</v>
      </c>
      <c r="D187" s="2" t="s">
        <v>65</v>
      </c>
      <c r="E187" s="2" t="s">
        <v>13</v>
      </c>
      <c r="F187" s="2" t="s">
        <v>186</v>
      </c>
      <c r="G187" s="2" t="s">
        <v>15</v>
      </c>
      <c r="H187" s="2" t="s">
        <v>10</v>
      </c>
      <c r="I187" s="2" t="s">
        <v>17</v>
      </c>
    </row>
    <row r="188" spans="1:9" ht="14.4">
      <c r="A188" s="2" t="s">
        <v>329</v>
      </c>
      <c r="B188" s="2" t="s">
        <v>14</v>
      </c>
      <c r="C188" s="2" t="s">
        <v>11</v>
      </c>
      <c r="D188" s="2" t="s">
        <v>65</v>
      </c>
      <c r="E188" s="2" t="s">
        <v>13</v>
      </c>
      <c r="F188" s="2" t="s">
        <v>186</v>
      </c>
      <c r="G188" s="2" t="s">
        <v>15</v>
      </c>
      <c r="H188" s="2" t="s">
        <v>16</v>
      </c>
      <c r="I188" s="2" t="s">
        <v>10</v>
      </c>
    </row>
    <row r="189" spans="1:9" ht="14.4">
      <c r="A189" s="2" t="s">
        <v>328</v>
      </c>
      <c r="B189" s="2" t="s">
        <v>10</v>
      </c>
      <c r="C189" s="2" t="s">
        <v>15</v>
      </c>
      <c r="D189" s="2" t="s">
        <v>65</v>
      </c>
      <c r="E189" s="2" t="s">
        <v>13</v>
      </c>
      <c r="F189" s="2" t="s">
        <v>186</v>
      </c>
      <c r="G189" s="2" t="s">
        <v>14</v>
      </c>
      <c r="H189" s="2" t="s">
        <v>16</v>
      </c>
      <c r="I189" s="2" t="s">
        <v>17</v>
      </c>
    </row>
    <row r="190" spans="1:9" ht="14.4">
      <c r="A190" s="2" t="s">
        <v>327</v>
      </c>
      <c r="B190" s="2" t="s">
        <v>10</v>
      </c>
      <c r="C190" s="2" t="s">
        <v>11</v>
      </c>
      <c r="D190" s="2" t="s">
        <v>65</v>
      </c>
      <c r="E190" s="2" t="s">
        <v>13</v>
      </c>
      <c r="F190" s="2" t="s">
        <v>186</v>
      </c>
      <c r="G190" s="2" t="s">
        <v>15</v>
      </c>
      <c r="H190" s="2" t="s">
        <v>12</v>
      </c>
      <c r="I190" s="2" t="s">
        <v>17</v>
      </c>
    </row>
    <row r="191" spans="1:9" ht="14.4">
      <c r="A191" s="2" t="s">
        <v>326</v>
      </c>
      <c r="B191" s="2" t="s">
        <v>10</v>
      </c>
      <c r="C191" s="2" t="s">
        <v>11</v>
      </c>
      <c r="D191" s="2" t="s">
        <v>65</v>
      </c>
      <c r="E191" s="2" t="s">
        <v>13</v>
      </c>
      <c r="F191" s="2" t="s">
        <v>186</v>
      </c>
      <c r="G191" s="2" t="s">
        <v>15</v>
      </c>
      <c r="H191" s="2" t="s">
        <v>16</v>
      </c>
      <c r="I191" s="2" t="s">
        <v>12</v>
      </c>
    </row>
    <row r="192" spans="1:9" ht="14.4">
      <c r="A192" s="2" t="s">
        <v>325</v>
      </c>
      <c r="B192" s="2" t="s">
        <v>10</v>
      </c>
      <c r="C192" s="2" t="s">
        <v>15</v>
      </c>
      <c r="D192" s="2" t="s">
        <v>65</v>
      </c>
      <c r="E192" s="2" t="s">
        <v>186</v>
      </c>
      <c r="F192" s="2" t="s">
        <v>12</v>
      </c>
      <c r="G192" s="2" t="s">
        <v>13</v>
      </c>
      <c r="H192" s="2" t="s">
        <v>16</v>
      </c>
      <c r="I192" s="2" t="s">
        <v>17</v>
      </c>
    </row>
    <row r="193" spans="1:9" ht="14.4">
      <c r="A193" s="2" t="s">
        <v>324</v>
      </c>
      <c r="B193" s="2" t="s">
        <v>10</v>
      </c>
      <c r="C193" s="2" t="s">
        <v>11</v>
      </c>
      <c r="D193" s="2" t="s">
        <v>65</v>
      </c>
      <c r="E193" s="2" t="s">
        <v>13</v>
      </c>
      <c r="F193" s="2" t="s">
        <v>186</v>
      </c>
      <c r="G193" s="2" t="s">
        <v>15</v>
      </c>
      <c r="H193" s="2" t="s">
        <v>16</v>
      </c>
      <c r="I193" s="2" t="s">
        <v>17</v>
      </c>
    </row>
    <row r="194" spans="1:9" ht="14.4">
      <c r="A194" s="2" t="s">
        <v>323</v>
      </c>
      <c r="B194" s="2" t="s">
        <v>10</v>
      </c>
      <c r="C194" s="2" t="s">
        <v>11</v>
      </c>
      <c r="D194" s="2" t="s">
        <v>65</v>
      </c>
      <c r="E194" s="2" t="s">
        <v>13</v>
      </c>
      <c r="F194" s="2" t="s">
        <v>186</v>
      </c>
      <c r="G194" s="2" t="s">
        <v>14</v>
      </c>
      <c r="H194" s="2" t="s">
        <v>12</v>
      </c>
      <c r="I194" s="2" t="s">
        <v>17</v>
      </c>
    </row>
    <row r="195" spans="1:9" ht="14.4">
      <c r="A195" s="2" t="s">
        <v>322</v>
      </c>
      <c r="B195" s="2" t="s">
        <v>10</v>
      </c>
      <c r="C195" s="2" t="s">
        <v>11</v>
      </c>
      <c r="D195" s="2" t="s">
        <v>65</v>
      </c>
      <c r="E195" s="2" t="s">
        <v>13</v>
      </c>
      <c r="F195" s="2" t="s">
        <v>186</v>
      </c>
      <c r="G195" s="2" t="s">
        <v>14</v>
      </c>
      <c r="H195" s="2" t="s">
        <v>16</v>
      </c>
      <c r="I195" s="2" t="s">
        <v>12</v>
      </c>
    </row>
    <row r="196" spans="1:9" ht="14.4">
      <c r="A196" s="2" t="s">
        <v>321</v>
      </c>
      <c r="B196" s="2" t="s">
        <v>10</v>
      </c>
      <c r="C196" s="2" t="s">
        <v>12</v>
      </c>
      <c r="D196" s="2" t="s">
        <v>65</v>
      </c>
      <c r="E196" s="2" t="s">
        <v>13</v>
      </c>
      <c r="F196" s="2" t="s">
        <v>186</v>
      </c>
      <c r="G196" s="2" t="s">
        <v>14</v>
      </c>
      <c r="H196" s="2" t="s">
        <v>16</v>
      </c>
      <c r="I196" s="2" t="s">
        <v>17</v>
      </c>
    </row>
    <row r="197" spans="1:9" ht="14.4">
      <c r="A197" s="2" t="s">
        <v>320</v>
      </c>
      <c r="B197" s="2" t="s">
        <v>10</v>
      </c>
      <c r="C197" s="2" t="s">
        <v>11</v>
      </c>
      <c r="D197" s="2" t="s">
        <v>65</v>
      </c>
      <c r="E197" s="2" t="s">
        <v>13</v>
      </c>
      <c r="F197" s="2" t="s">
        <v>186</v>
      </c>
      <c r="G197" s="2" t="s">
        <v>14</v>
      </c>
      <c r="H197" s="2" t="s">
        <v>16</v>
      </c>
      <c r="I197" s="2" t="s">
        <v>17</v>
      </c>
    </row>
    <row r="198" spans="1:9" ht="14.4">
      <c r="A198" s="2" t="s">
        <v>319</v>
      </c>
      <c r="B198" s="2" t="s">
        <v>10</v>
      </c>
      <c r="C198" s="2" t="s">
        <v>11</v>
      </c>
      <c r="D198" s="2" t="s">
        <v>65</v>
      </c>
      <c r="E198" s="2" t="s">
        <v>186</v>
      </c>
      <c r="F198" s="2" t="s">
        <v>12</v>
      </c>
      <c r="G198" s="2" t="s">
        <v>13</v>
      </c>
      <c r="H198" s="2" t="s">
        <v>16</v>
      </c>
      <c r="I198" s="2" t="s">
        <v>17</v>
      </c>
    </row>
    <row r="199" spans="1:9" ht="14.4">
      <c r="A199" s="2" t="s">
        <v>318</v>
      </c>
      <c r="B199" s="2" t="s">
        <v>10</v>
      </c>
      <c r="C199" s="2" t="s">
        <v>11</v>
      </c>
      <c r="D199" s="2" t="s">
        <v>65</v>
      </c>
      <c r="E199" s="2" t="s">
        <v>186</v>
      </c>
      <c r="F199" s="2" t="s">
        <v>14</v>
      </c>
      <c r="G199" s="2" t="s">
        <v>15</v>
      </c>
      <c r="H199" s="2" t="s">
        <v>12</v>
      </c>
      <c r="I199" s="2" t="s">
        <v>17</v>
      </c>
    </row>
    <row r="200" spans="1:9" ht="14.4">
      <c r="A200" s="2" t="s">
        <v>317</v>
      </c>
      <c r="B200" s="2" t="s">
        <v>10</v>
      </c>
      <c r="C200" s="2" t="s">
        <v>11</v>
      </c>
      <c r="D200" s="2" t="s">
        <v>65</v>
      </c>
      <c r="E200" s="2" t="s">
        <v>186</v>
      </c>
      <c r="F200" s="2" t="s">
        <v>14</v>
      </c>
      <c r="G200" s="2" t="s">
        <v>15</v>
      </c>
      <c r="H200" s="2" t="s">
        <v>16</v>
      </c>
      <c r="I200" s="2" t="s">
        <v>12</v>
      </c>
    </row>
    <row r="201" spans="1:9" ht="14.4">
      <c r="A201" s="2" t="s">
        <v>316</v>
      </c>
      <c r="B201" s="2" t="s">
        <v>10</v>
      </c>
      <c r="C201" s="2" t="s">
        <v>15</v>
      </c>
      <c r="D201" s="2" t="s">
        <v>65</v>
      </c>
      <c r="E201" s="2" t="s">
        <v>186</v>
      </c>
      <c r="F201" s="2" t="s">
        <v>12</v>
      </c>
      <c r="G201" s="2" t="s">
        <v>14</v>
      </c>
      <c r="H201" s="2" t="s">
        <v>16</v>
      </c>
      <c r="I201" s="2" t="s">
        <v>17</v>
      </c>
    </row>
    <row r="202" spans="1:9" ht="14.4">
      <c r="A202" s="2" t="s">
        <v>315</v>
      </c>
      <c r="B202" s="2" t="s">
        <v>10</v>
      </c>
      <c r="C202" s="2" t="s">
        <v>11</v>
      </c>
      <c r="D202" s="2" t="s">
        <v>65</v>
      </c>
      <c r="E202" s="2" t="s">
        <v>186</v>
      </c>
      <c r="F202" s="2" t="s">
        <v>14</v>
      </c>
      <c r="G202" s="2" t="s">
        <v>15</v>
      </c>
      <c r="H202" s="2" t="s">
        <v>16</v>
      </c>
      <c r="I202" s="2" t="s">
        <v>17</v>
      </c>
    </row>
    <row r="203" spans="1:9" ht="14.4">
      <c r="A203" s="2" t="s">
        <v>314</v>
      </c>
      <c r="B203" s="2" t="s">
        <v>10</v>
      </c>
      <c r="C203" s="2" t="s">
        <v>11</v>
      </c>
      <c r="D203" s="2" t="s">
        <v>65</v>
      </c>
      <c r="E203" s="2" t="s">
        <v>186</v>
      </c>
      <c r="F203" s="2" t="s">
        <v>12</v>
      </c>
      <c r="G203" s="2" t="s">
        <v>15</v>
      </c>
      <c r="H203" s="2" t="s">
        <v>16</v>
      </c>
      <c r="I203" s="2" t="s">
        <v>17</v>
      </c>
    </row>
    <row r="204" spans="1:9" ht="14.4">
      <c r="A204" s="2" t="s">
        <v>313</v>
      </c>
      <c r="B204" s="2" t="s">
        <v>10</v>
      </c>
      <c r="C204" s="2" t="s">
        <v>11</v>
      </c>
      <c r="D204" s="2" t="s">
        <v>65</v>
      </c>
      <c r="E204" s="2" t="s">
        <v>186</v>
      </c>
      <c r="F204" s="2" t="s">
        <v>12</v>
      </c>
      <c r="G204" s="2" t="s">
        <v>14</v>
      </c>
      <c r="H204" s="2" t="s">
        <v>16</v>
      </c>
      <c r="I204" s="2" t="s">
        <v>17</v>
      </c>
    </row>
    <row r="205" spans="1:9" ht="14.4">
      <c r="A205" s="2" t="s">
        <v>312</v>
      </c>
      <c r="B205" s="2" t="s">
        <v>14</v>
      </c>
      <c r="C205" s="2" t="s">
        <v>11</v>
      </c>
      <c r="D205" s="2" t="s">
        <v>65</v>
      </c>
      <c r="E205" s="2" t="s">
        <v>13</v>
      </c>
      <c r="F205" s="2" t="s">
        <v>186</v>
      </c>
      <c r="G205" s="2" t="s">
        <v>15</v>
      </c>
      <c r="H205" s="2" t="s">
        <v>12</v>
      </c>
      <c r="I205" s="2" t="s">
        <v>17</v>
      </c>
    </row>
    <row r="206" spans="1:9" ht="14.4">
      <c r="A206" s="2" t="s">
        <v>311</v>
      </c>
      <c r="B206" s="2" t="s">
        <v>14</v>
      </c>
      <c r="C206" s="2" t="s">
        <v>11</v>
      </c>
      <c r="D206" s="2" t="s">
        <v>65</v>
      </c>
      <c r="E206" s="2" t="s">
        <v>13</v>
      </c>
      <c r="F206" s="2" t="s">
        <v>186</v>
      </c>
      <c r="G206" s="2" t="s">
        <v>15</v>
      </c>
      <c r="H206" s="2" t="s">
        <v>16</v>
      </c>
      <c r="I206" s="2" t="s">
        <v>12</v>
      </c>
    </row>
    <row r="207" spans="1:9" ht="14.4">
      <c r="A207" s="2" t="s">
        <v>310</v>
      </c>
      <c r="B207" s="2" t="s">
        <v>14</v>
      </c>
      <c r="C207" s="2" t="s">
        <v>15</v>
      </c>
      <c r="D207" s="2" t="s">
        <v>65</v>
      </c>
      <c r="E207" s="2" t="s">
        <v>186</v>
      </c>
      <c r="F207" s="2" t="s">
        <v>12</v>
      </c>
      <c r="G207" s="2" t="s">
        <v>13</v>
      </c>
      <c r="H207" s="2" t="s">
        <v>16</v>
      </c>
      <c r="I207" s="2" t="s">
        <v>17</v>
      </c>
    </row>
    <row r="208" spans="1:9" ht="14.4">
      <c r="A208" s="2" t="s">
        <v>309</v>
      </c>
      <c r="B208" s="2" t="s">
        <v>14</v>
      </c>
      <c r="C208" s="2" t="s">
        <v>11</v>
      </c>
      <c r="D208" s="2" t="s">
        <v>65</v>
      </c>
      <c r="E208" s="2" t="s">
        <v>13</v>
      </c>
      <c r="F208" s="2" t="s">
        <v>186</v>
      </c>
      <c r="G208" s="2" t="s">
        <v>15</v>
      </c>
      <c r="H208" s="2" t="s">
        <v>16</v>
      </c>
      <c r="I208" s="2" t="s">
        <v>17</v>
      </c>
    </row>
    <row r="209" spans="1:9" ht="14.4">
      <c r="A209" s="2" t="s">
        <v>308</v>
      </c>
      <c r="B209" s="2" t="s">
        <v>12</v>
      </c>
      <c r="C209" s="2" t="s">
        <v>11</v>
      </c>
      <c r="D209" s="2" t="s">
        <v>65</v>
      </c>
      <c r="E209" s="2" t="s">
        <v>13</v>
      </c>
      <c r="F209" s="2" t="s">
        <v>186</v>
      </c>
      <c r="G209" s="2" t="s">
        <v>15</v>
      </c>
      <c r="H209" s="2" t="s">
        <v>16</v>
      </c>
      <c r="I209" s="2" t="s">
        <v>17</v>
      </c>
    </row>
    <row r="210" spans="1:9" ht="14.4">
      <c r="A210" s="2" t="s">
        <v>307</v>
      </c>
      <c r="B210" s="2" t="s">
        <v>14</v>
      </c>
      <c r="C210" s="2" t="s">
        <v>11</v>
      </c>
      <c r="D210" s="2" t="s">
        <v>65</v>
      </c>
      <c r="E210" s="2" t="s">
        <v>186</v>
      </c>
      <c r="F210" s="2" t="s">
        <v>12</v>
      </c>
      <c r="G210" s="2" t="s">
        <v>13</v>
      </c>
      <c r="H210" s="2" t="s">
        <v>16</v>
      </c>
      <c r="I210" s="2" t="s">
        <v>17</v>
      </c>
    </row>
    <row r="211" spans="1:9" ht="14.4">
      <c r="A211" s="2" t="s">
        <v>306</v>
      </c>
      <c r="B211" s="2" t="s">
        <v>14</v>
      </c>
      <c r="C211" s="2" t="s">
        <v>11</v>
      </c>
      <c r="D211" s="2" t="s">
        <v>65</v>
      </c>
      <c r="E211" s="2" t="s">
        <v>186</v>
      </c>
      <c r="F211" s="2" t="s">
        <v>12</v>
      </c>
      <c r="G211" s="2" t="s">
        <v>15</v>
      </c>
      <c r="H211" s="2" t="s">
        <v>16</v>
      </c>
      <c r="I211" s="2" t="s">
        <v>17</v>
      </c>
    </row>
    <row r="212" spans="1:9" ht="14.4">
      <c r="A212" s="2" t="s">
        <v>305</v>
      </c>
      <c r="B212" s="2" t="s">
        <v>14</v>
      </c>
      <c r="C212" s="2" t="s">
        <v>15</v>
      </c>
      <c r="D212" s="2" t="s">
        <v>10</v>
      </c>
      <c r="E212" s="2" t="s">
        <v>28</v>
      </c>
      <c r="F212" s="2" t="s">
        <v>186</v>
      </c>
      <c r="G212" s="2" t="s">
        <v>13</v>
      </c>
      <c r="H212" s="2" t="s">
        <v>19</v>
      </c>
      <c r="I212" s="2" t="s">
        <v>12</v>
      </c>
    </row>
    <row r="213" spans="1:9" ht="14.4">
      <c r="A213" s="2" t="s">
        <v>304</v>
      </c>
      <c r="B213" s="2" t="s">
        <v>14</v>
      </c>
      <c r="C213" s="2" t="s">
        <v>15</v>
      </c>
      <c r="D213" s="2" t="s">
        <v>11</v>
      </c>
      <c r="E213" s="2" t="s">
        <v>28</v>
      </c>
      <c r="F213" s="2" t="s">
        <v>186</v>
      </c>
      <c r="G213" s="2" t="s">
        <v>13</v>
      </c>
      <c r="H213" s="2" t="s">
        <v>19</v>
      </c>
      <c r="I213" s="2" t="s">
        <v>10</v>
      </c>
    </row>
    <row r="214" spans="1:9" ht="14.4">
      <c r="A214" s="2" t="s">
        <v>303</v>
      </c>
      <c r="B214" s="2" t="s">
        <v>14</v>
      </c>
      <c r="C214" s="2" t="s">
        <v>15</v>
      </c>
      <c r="D214" s="2" t="s">
        <v>10</v>
      </c>
      <c r="E214" s="2" t="s">
        <v>28</v>
      </c>
      <c r="F214" s="2" t="s">
        <v>186</v>
      </c>
      <c r="G214" s="2" t="s">
        <v>13</v>
      </c>
      <c r="H214" s="2" t="s">
        <v>19</v>
      </c>
      <c r="I214" s="2" t="s">
        <v>17</v>
      </c>
    </row>
    <row r="215" spans="1:9" ht="14.4">
      <c r="A215" s="2" t="s">
        <v>302</v>
      </c>
      <c r="B215" s="2" t="s">
        <v>14</v>
      </c>
      <c r="C215" s="2" t="s">
        <v>15</v>
      </c>
      <c r="D215" s="2" t="s">
        <v>13</v>
      </c>
      <c r="E215" s="2" t="s">
        <v>28</v>
      </c>
      <c r="F215" s="2" t="s">
        <v>186</v>
      </c>
      <c r="G215" s="2" t="s">
        <v>19</v>
      </c>
      <c r="H215" s="2" t="s">
        <v>16</v>
      </c>
      <c r="I215" s="2" t="s">
        <v>10</v>
      </c>
    </row>
    <row r="216" spans="1:9" ht="14.4">
      <c r="A216" s="2" t="s">
        <v>301</v>
      </c>
      <c r="B216" s="2" t="s">
        <v>28</v>
      </c>
      <c r="C216" s="2" t="s">
        <v>15</v>
      </c>
      <c r="D216" s="2" t="s">
        <v>11</v>
      </c>
      <c r="E216" s="2" t="s">
        <v>19</v>
      </c>
      <c r="F216" s="2" t="s">
        <v>186</v>
      </c>
      <c r="G216" s="2" t="s">
        <v>13</v>
      </c>
      <c r="H216" s="2" t="s">
        <v>10</v>
      </c>
      <c r="I216" s="2" t="s">
        <v>12</v>
      </c>
    </row>
    <row r="217" spans="1:9" ht="14.4">
      <c r="A217" s="2" t="s">
        <v>300</v>
      </c>
      <c r="B217" s="2" t="s">
        <v>28</v>
      </c>
      <c r="C217" s="2" t="s">
        <v>15</v>
      </c>
      <c r="D217" s="2" t="s">
        <v>10</v>
      </c>
      <c r="E217" s="2" t="s">
        <v>19</v>
      </c>
      <c r="F217" s="2" t="s">
        <v>186</v>
      </c>
      <c r="G217" s="2" t="s">
        <v>13</v>
      </c>
      <c r="H217" s="2" t="s">
        <v>12</v>
      </c>
      <c r="I217" s="2" t="s">
        <v>17</v>
      </c>
    </row>
    <row r="218" spans="1:9" ht="14.4">
      <c r="A218" s="2" t="s">
        <v>299</v>
      </c>
      <c r="B218" s="2" t="s">
        <v>28</v>
      </c>
      <c r="C218" s="2" t="s">
        <v>15</v>
      </c>
      <c r="D218" s="2" t="s">
        <v>10</v>
      </c>
      <c r="E218" s="2" t="s">
        <v>19</v>
      </c>
      <c r="F218" s="2" t="s">
        <v>186</v>
      </c>
      <c r="G218" s="2" t="s">
        <v>13</v>
      </c>
      <c r="H218" s="2" t="s">
        <v>16</v>
      </c>
      <c r="I218" s="2" t="s">
        <v>12</v>
      </c>
    </row>
    <row r="219" spans="1:9" ht="14.4">
      <c r="A219" s="2" t="s">
        <v>298</v>
      </c>
      <c r="B219" s="2" t="s">
        <v>28</v>
      </c>
      <c r="C219" s="2" t="s">
        <v>15</v>
      </c>
      <c r="D219" s="2" t="s">
        <v>11</v>
      </c>
      <c r="E219" s="2" t="s">
        <v>19</v>
      </c>
      <c r="F219" s="2" t="s">
        <v>186</v>
      </c>
      <c r="G219" s="2" t="s">
        <v>13</v>
      </c>
      <c r="H219" s="2" t="s">
        <v>10</v>
      </c>
      <c r="I219" s="2" t="s">
        <v>17</v>
      </c>
    </row>
    <row r="220" spans="1:9" ht="14.4">
      <c r="A220" s="2" t="s">
        <v>297</v>
      </c>
      <c r="B220" s="2" t="s">
        <v>28</v>
      </c>
      <c r="C220" s="2" t="s">
        <v>15</v>
      </c>
      <c r="D220" s="2" t="s">
        <v>11</v>
      </c>
      <c r="E220" s="2" t="s">
        <v>19</v>
      </c>
      <c r="F220" s="2" t="s">
        <v>186</v>
      </c>
      <c r="G220" s="2" t="s">
        <v>13</v>
      </c>
      <c r="H220" s="2" t="s">
        <v>16</v>
      </c>
      <c r="I220" s="2" t="s">
        <v>10</v>
      </c>
    </row>
    <row r="221" spans="1:9" ht="14.4">
      <c r="A221" s="2" t="s">
        <v>296</v>
      </c>
      <c r="B221" s="2" t="s">
        <v>28</v>
      </c>
      <c r="C221" s="2" t="s">
        <v>15</v>
      </c>
      <c r="D221" s="2" t="s">
        <v>10</v>
      </c>
      <c r="E221" s="2" t="s">
        <v>19</v>
      </c>
      <c r="F221" s="2" t="s">
        <v>186</v>
      </c>
      <c r="G221" s="2" t="s">
        <v>13</v>
      </c>
      <c r="H221" s="2" t="s">
        <v>16</v>
      </c>
      <c r="I221" s="2" t="s">
        <v>17</v>
      </c>
    </row>
    <row r="222" spans="1:9" ht="14.4">
      <c r="A222" s="2" t="s">
        <v>295</v>
      </c>
      <c r="B222" s="2" t="s">
        <v>14</v>
      </c>
      <c r="C222" s="2" t="s">
        <v>11</v>
      </c>
      <c r="D222" s="2" t="s">
        <v>10</v>
      </c>
      <c r="E222" s="2" t="s">
        <v>28</v>
      </c>
      <c r="F222" s="2" t="s">
        <v>186</v>
      </c>
      <c r="G222" s="2" t="s">
        <v>13</v>
      </c>
      <c r="H222" s="2" t="s">
        <v>19</v>
      </c>
      <c r="I222" s="2" t="s">
        <v>12</v>
      </c>
    </row>
    <row r="223" spans="1:9" ht="14.4">
      <c r="A223" s="2" t="s">
        <v>294</v>
      </c>
      <c r="B223" s="2" t="s">
        <v>14</v>
      </c>
      <c r="C223" s="2" t="s">
        <v>10</v>
      </c>
      <c r="D223" s="2" t="s">
        <v>13</v>
      </c>
      <c r="E223" s="2" t="s">
        <v>28</v>
      </c>
      <c r="F223" s="2" t="s">
        <v>186</v>
      </c>
      <c r="G223" s="2" t="s">
        <v>19</v>
      </c>
      <c r="H223" s="2" t="s">
        <v>12</v>
      </c>
      <c r="I223" s="2" t="s">
        <v>17</v>
      </c>
    </row>
    <row r="224" spans="1:9" ht="14.4">
      <c r="A224" s="2" t="s">
        <v>293</v>
      </c>
      <c r="B224" s="2" t="s">
        <v>14</v>
      </c>
      <c r="C224" s="2" t="s">
        <v>10</v>
      </c>
      <c r="D224" s="2" t="s">
        <v>13</v>
      </c>
      <c r="E224" s="2" t="s">
        <v>28</v>
      </c>
      <c r="F224" s="2" t="s">
        <v>186</v>
      </c>
      <c r="G224" s="2" t="s">
        <v>19</v>
      </c>
      <c r="H224" s="2" t="s">
        <v>16</v>
      </c>
      <c r="I224" s="2" t="s">
        <v>12</v>
      </c>
    </row>
    <row r="225" spans="1:9" ht="14.4">
      <c r="A225" s="2" t="s">
        <v>292</v>
      </c>
      <c r="B225" s="2" t="s">
        <v>14</v>
      </c>
      <c r="C225" s="2" t="s">
        <v>11</v>
      </c>
      <c r="D225" s="2" t="s">
        <v>10</v>
      </c>
      <c r="E225" s="2" t="s">
        <v>28</v>
      </c>
      <c r="F225" s="2" t="s">
        <v>186</v>
      </c>
      <c r="G225" s="2" t="s">
        <v>13</v>
      </c>
      <c r="H225" s="2" t="s">
        <v>19</v>
      </c>
      <c r="I225" s="2" t="s">
        <v>17</v>
      </c>
    </row>
    <row r="226" spans="1:9" ht="14.4">
      <c r="A226" s="2" t="s">
        <v>291</v>
      </c>
      <c r="B226" s="2" t="s">
        <v>14</v>
      </c>
      <c r="C226" s="2" t="s">
        <v>11</v>
      </c>
      <c r="D226" s="2" t="s">
        <v>13</v>
      </c>
      <c r="E226" s="2" t="s">
        <v>28</v>
      </c>
      <c r="F226" s="2" t="s">
        <v>186</v>
      </c>
      <c r="G226" s="2" t="s">
        <v>19</v>
      </c>
      <c r="H226" s="2" t="s">
        <v>16</v>
      </c>
      <c r="I226" s="2" t="s">
        <v>10</v>
      </c>
    </row>
    <row r="227" spans="1:9" ht="14.4">
      <c r="A227" s="2" t="s">
        <v>290</v>
      </c>
      <c r="B227" s="2" t="s">
        <v>14</v>
      </c>
      <c r="C227" s="2" t="s">
        <v>10</v>
      </c>
      <c r="D227" s="2" t="s">
        <v>13</v>
      </c>
      <c r="E227" s="2" t="s">
        <v>28</v>
      </c>
      <c r="F227" s="2" t="s">
        <v>186</v>
      </c>
      <c r="G227" s="2" t="s">
        <v>19</v>
      </c>
      <c r="H227" s="2" t="s">
        <v>16</v>
      </c>
      <c r="I227" s="2" t="s">
        <v>17</v>
      </c>
    </row>
    <row r="228" spans="1:9" ht="14.4">
      <c r="A228" s="2" t="s">
        <v>289</v>
      </c>
      <c r="B228" s="2" t="s">
        <v>28</v>
      </c>
      <c r="C228" s="2" t="s">
        <v>11</v>
      </c>
      <c r="D228" s="2" t="s">
        <v>10</v>
      </c>
      <c r="E228" s="2" t="s">
        <v>19</v>
      </c>
      <c r="F228" s="2" t="s">
        <v>186</v>
      </c>
      <c r="G228" s="2" t="s">
        <v>13</v>
      </c>
      <c r="H228" s="2" t="s">
        <v>12</v>
      </c>
      <c r="I228" s="2" t="s">
        <v>17</v>
      </c>
    </row>
    <row r="229" spans="1:9" ht="14.4">
      <c r="A229" s="2" t="s">
        <v>288</v>
      </c>
      <c r="B229" s="2" t="s">
        <v>28</v>
      </c>
      <c r="C229" s="2" t="s">
        <v>11</v>
      </c>
      <c r="D229" s="2" t="s">
        <v>10</v>
      </c>
      <c r="E229" s="2" t="s">
        <v>19</v>
      </c>
      <c r="F229" s="2" t="s">
        <v>186</v>
      </c>
      <c r="G229" s="2" t="s">
        <v>13</v>
      </c>
      <c r="H229" s="2" t="s">
        <v>16</v>
      </c>
      <c r="I229" s="2" t="s">
        <v>12</v>
      </c>
    </row>
    <row r="230" spans="1:9" ht="14.4">
      <c r="A230" s="2" t="s">
        <v>287</v>
      </c>
      <c r="B230" s="2" t="s">
        <v>28</v>
      </c>
      <c r="C230" s="2" t="s">
        <v>10</v>
      </c>
      <c r="D230" s="2" t="s">
        <v>12</v>
      </c>
      <c r="E230" s="2" t="s">
        <v>19</v>
      </c>
      <c r="F230" s="2" t="s">
        <v>186</v>
      </c>
      <c r="G230" s="2" t="s">
        <v>13</v>
      </c>
      <c r="H230" s="2" t="s">
        <v>16</v>
      </c>
      <c r="I230" s="2" t="s">
        <v>17</v>
      </c>
    </row>
    <row r="231" spans="1:9" ht="14.4">
      <c r="A231" s="2" t="s">
        <v>286</v>
      </c>
      <c r="B231" s="2" t="s">
        <v>28</v>
      </c>
      <c r="C231" s="2" t="s">
        <v>11</v>
      </c>
      <c r="D231" s="2" t="s">
        <v>10</v>
      </c>
      <c r="E231" s="2" t="s">
        <v>19</v>
      </c>
      <c r="F231" s="2" t="s">
        <v>186</v>
      </c>
      <c r="G231" s="2" t="s">
        <v>13</v>
      </c>
      <c r="H231" s="2" t="s">
        <v>16</v>
      </c>
      <c r="I231" s="2" t="s">
        <v>17</v>
      </c>
    </row>
    <row r="232" spans="1:9" ht="14.4">
      <c r="A232" s="2" t="s">
        <v>285</v>
      </c>
      <c r="B232" s="2" t="s">
        <v>14</v>
      </c>
      <c r="C232" s="2" t="s">
        <v>15</v>
      </c>
      <c r="D232" s="2" t="s">
        <v>11</v>
      </c>
      <c r="E232" s="2" t="s">
        <v>28</v>
      </c>
      <c r="F232" s="2" t="s">
        <v>186</v>
      </c>
      <c r="G232" s="2" t="s">
        <v>19</v>
      </c>
      <c r="H232" s="2" t="s">
        <v>10</v>
      </c>
      <c r="I232" s="2" t="s">
        <v>12</v>
      </c>
    </row>
    <row r="233" spans="1:9" ht="14.4">
      <c r="A233" s="2" t="s">
        <v>284</v>
      </c>
      <c r="B233" s="2" t="s">
        <v>14</v>
      </c>
      <c r="C233" s="2" t="s">
        <v>15</v>
      </c>
      <c r="D233" s="2" t="s">
        <v>10</v>
      </c>
      <c r="E233" s="2" t="s">
        <v>28</v>
      </c>
      <c r="F233" s="2" t="s">
        <v>186</v>
      </c>
      <c r="G233" s="2" t="s">
        <v>19</v>
      </c>
      <c r="H233" s="2" t="s">
        <v>12</v>
      </c>
      <c r="I233" s="2" t="s">
        <v>17</v>
      </c>
    </row>
    <row r="234" spans="1:9" ht="14.4">
      <c r="A234" s="2" t="s">
        <v>283</v>
      </c>
      <c r="B234" s="2" t="s">
        <v>14</v>
      </c>
      <c r="C234" s="2" t="s">
        <v>15</v>
      </c>
      <c r="D234" s="2" t="s">
        <v>10</v>
      </c>
      <c r="E234" s="2" t="s">
        <v>28</v>
      </c>
      <c r="F234" s="2" t="s">
        <v>186</v>
      </c>
      <c r="G234" s="2" t="s">
        <v>19</v>
      </c>
      <c r="H234" s="2" t="s">
        <v>16</v>
      </c>
      <c r="I234" s="2" t="s">
        <v>12</v>
      </c>
    </row>
    <row r="235" spans="1:9" ht="14.4">
      <c r="A235" s="2" t="s">
        <v>282</v>
      </c>
      <c r="B235" s="2" t="s">
        <v>14</v>
      </c>
      <c r="C235" s="2" t="s">
        <v>15</v>
      </c>
      <c r="D235" s="2" t="s">
        <v>11</v>
      </c>
      <c r="E235" s="2" t="s">
        <v>28</v>
      </c>
      <c r="F235" s="2" t="s">
        <v>186</v>
      </c>
      <c r="G235" s="2" t="s">
        <v>19</v>
      </c>
      <c r="H235" s="2" t="s">
        <v>10</v>
      </c>
      <c r="I235" s="2" t="s">
        <v>17</v>
      </c>
    </row>
    <row r="236" spans="1:9" ht="14.4">
      <c r="A236" s="2" t="s">
        <v>281</v>
      </c>
      <c r="B236" s="2" t="s">
        <v>14</v>
      </c>
      <c r="C236" s="2" t="s">
        <v>15</v>
      </c>
      <c r="D236" s="2" t="s">
        <v>11</v>
      </c>
      <c r="E236" s="2" t="s">
        <v>28</v>
      </c>
      <c r="F236" s="2" t="s">
        <v>186</v>
      </c>
      <c r="G236" s="2" t="s">
        <v>19</v>
      </c>
      <c r="H236" s="2" t="s">
        <v>16</v>
      </c>
      <c r="I236" s="2" t="s">
        <v>10</v>
      </c>
    </row>
    <row r="237" spans="1:9" ht="14.4">
      <c r="A237" s="2" t="s">
        <v>280</v>
      </c>
      <c r="B237" s="2" t="s">
        <v>14</v>
      </c>
      <c r="C237" s="2" t="s">
        <v>15</v>
      </c>
      <c r="D237" s="2" t="s">
        <v>10</v>
      </c>
      <c r="E237" s="2" t="s">
        <v>28</v>
      </c>
      <c r="F237" s="2" t="s">
        <v>186</v>
      </c>
      <c r="G237" s="2" t="s">
        <v>19</v>
      </c>
      <c r="H237" s="2" t="s">
        <v>16</v>
      </c>
      <c r="I237" s="2" t="s">
        <v>17</v>
      </c>
    </row>
    <row r="238" spans="1:9" ht="14.4">
      <c r="A238" s="2" t="s">
        <v>279</v>
      </c>
      <c r="B238" s="2" t="s">
        <v>10</v>
      </c>
      <c r="C238" s="2" t="s">
        <v>15</v>
      </c>
      <c r="D238" s="2" t="s">
        <v>11</v>
      </c>
      <c r="E238" s="2" t="s">
        <v>28</v>
      </c>
      <c r="F238" s="2" t="s">
        <v>186</v>
      </c>
      <c r="G238" s="2" t="s">
        <v>19</v>
      </c>
      <c r="H238" s="2" t="s">
        <v>12</v>
      </c>
      <c r="I238" s="2" t="s">
        <v>17</v>
      </c>
    </row>
    <row r="239" spans="1:9" ht="14.4">
      <c r="A239" s="2" t="s">
        <v>278</v>
      </c>
      <c r="B239" s="2" t="s">
        <v>10</v>
      </c>
      <c r="C239" s="2" t="s">
        <v>15</v>
      </c>
      <c r="D239" s="2" t="s">
        <v>11</v>
      </c>
      <c r="E239" s="2" t="s">
        <v>28</v>
      </c>
      <c r="F239" s="2" t="s">
        <v>186</v>
      </c>
      <c r="G239" s="2" t="s">
        <v>19</v>
      </c>
      <c r="H239" s="2" t="s">
        <v>16</v>
      </c>
      <c r="I239" s="2" t="s">
        <v>12</v>
      </c>
    </row>
    <row r="240" spans="1:9" ht="14.4">
      <c r="A240" s="2" t="s">
        <v>277</v>
      </c>
      <c r="B240" s="2" t="s">
        <v>10</v>
      </c>
      <c r="C240" s="2" t="s">
        <v>15</v>
      </c>
      <c r="D240" s="2" t="s">
        <v>12</v>
      </c>
      <c r="E240" s="2" t="s">
        <v>28</v>
      </c>
      <c r="F240" s="2" t="s">
        <v>186</v>
      </c>
      <c r="G240" s="2" t="s">
        <v>19</v>
      </c>
      <c r="H240" s="2" t="s">
        <v>16</v>
      </c>
      <c r="I240" s="2" t="s">
        <v>17</v>
      </c>
    </row>
    <row r="241" spans="1:9" ht="14.4">
      <c r="A241" s="2" t="s">
        <v>276</v>
      </c>
      <c r="B241" s="2" t="s">
        <v>10</v>
      </c>
      <c r="C241" s="2" t="s">
        <v>15</v>
      </c>
      <c r="D241" s="2" t="s">
        <v>11</v>
      </c>
      <c r="E241" s="2" t="s">
        <v>28</v>
      </c>
      <c r="F241" s="2" t="s">
        <v>186</v>
      </c>
      <c r="G241" s="2" t="s">
        <v>19</v>
      </c>
      <c r="H241" s="2" t="s">
        <v>16</v>
      </c>
      <c r="I241" s="2" t="s">
        <v>17</v>
      </c>
    </row>
    <row r="242" spans="1:9" ht="14.4">
      <c r="A242" s="2" t="s">
        <v>275</v>
      </c>
      <c r="B242" s="2" t="s">
        <v>14</v>
      </c>
      <c r="C242" s="2" t="s">
        <v>11</v>
      </c>
      <c r="D242" s="2" t="s">
        <v>10</v>
      </c>
      <c r="E242" s="2" t="s">
        <v>28</v>
      </c>
      <c r="F242" s="2" t="s">
        <v>186</v>
      </c>
      <c r="G242" s="2" t="s">
        <v>19</v>
      </c>
      <c r="H242" s="2" t="s">
        <v>12</v>
      </c>
      <c r="I242" s="2" t="s">
        <v>17</v>
      </c>
    </row>
    <row r="243" spans="1:9" ht="14.4">
      <c r="A243" s="2" t="s">
        <v>274</v>
      </c>
      <c r="B243" s="2" t="s">
        <v>14</v>
      </c>
      <c r="C243" s="2" t="s">
        <v>11</v>
      </c>
      <c r="D243" s="2" t="s">
        <v>10</v>
      </c>
      <c r="E243" s="2" t="s">
        <v>28</v>
      </c>
      <c r="F243" s="2" t="s">
        <v>186</v>
      </c>
      <c r="G243" s="2" t="s">
        <v>19</v>
      </c>
      <c r="H243" s="2" t="s">
        <v>16</v>
      </c>
      <c r="I243" s="2" t="s">
        <v>12</v>
      </c>
    </row>
    <row r="244" spans="1:9" ht="14.4">
      <c r="A244" s="2" t="s">
        <v>273</v>
      </c>
      <c r="B244" s="2" t="s">
        <v>14</v>
      </c>
      <c r="C244" s="2" t="s">
        <v>10</v>
      </c>
      <c r="D244" s="2" t="s">
        <v>12</v>
      </c>
      <c r="E244" s="2" t="s">
        <v>28</v>
      </c>
      <c r="F244" s="2" t="s">
        <v>186</v>
      </c>
      <c r="G244" s="2" t="s">
        <v>19</v>
      </c>
      <c r="H244" s="2" t="s">
        <v>16</v>
      </c>
      <c r="I244" s="2" t="s">
        <v>17</v>
      </c>
    </row>
    <row r="245" spans="1:9" ht="14.4">
      <c r="A245" s="2" t="s">
        <v>272</v>
      </c>
      <c r="B245" s="2" t="s">
        <v>14</v>
      </c>
      <c r="C245" s="2" t="s">
        <v>11</v>
      </c>
      <c r="D245" s="2" t="s">
        <v>10</v>
      </c>
      <c r="E245" s="2" t="s">
        <v>28</v>
      </c>
      <c r="F245" s="2" t="s">
        <v>186</v>
      </c>
      <c r="G245" s="2" t="s">
        <v>19</v>
      </c>
      <c r="H245" s="2" t="s">
        <v>16</v>
      </c>
      <c r="I245" s="2" t="s">
        <v>17</v>
      </c>
    </row>
    <row r="246" spans="1:9" ht="14.4">
      <c r="A246" s="2" t="s">
        <v>271</v>
      </c>
      <c r="B246" s="2" t="s">
        <v>10</v>
      </c>
      <c r="C246" s="2" t="s">
        <v>11</v>
      </c>
      <c r="D246" s="2" t="s">
        <v>12</v>
      </c>
      <c r="E246" s="2" t="s">
        <v>28</v>
      </c>
      <c r="F246" s="2" t="s">
        <v>186</v>
      </c>
      <c r="G246" s="2" t="s">
        <v>19</v>
      </c>
      <c r="H246" s="2" t="s">
        <v>16</v>
      </c>
      <c r="I246" s="2" t="s">
        <v>17</v>
      </c>
    </row>
    <row r="247" spans="1:9" ht="14.4">
      <c r="A247" s="2" t="s">
        <v>270</v>
      </c>
      <c r="B247" s="2" t="s">
        <v>14</v>
      </c>
      <c r="C247" s="2" t="s">
        <v>15</v>
      </c>
      <c r="D247" s="2" t="s">
        <v>11</v>
      </c>
      <c r="E247" s="2" t="s">
        <v>28</v>
      </c>
      <c r="F247" s="2" t="s">
        <v>186</v>
      </c>
      <c r="G247" s="2" t="s">
        <v>13</v>
      </c>
      <c r="H247" s="2" t="s">
        <v>19</v>
      </c>
      <c r="I247" s="2" t="s">
        <v>12</v>
      </c>
    </row>
    <row r="248" spans="1:9" ht="14.4">
      <c r="A248" s="2" t="s">
        <v>269</v>
      </c>
      <c r="B248" s="2" t="s">
        <v>14</v>
      </c>
      <c r="C248" s="2" t="s">
        <v>15</v>
      </c>
      <c r="D248" s="2" t="s">
        <v>13</v>
      </c>
      <c r="E248" s="2" t="s">
        <v>28</v>
      </c>
      <c r="F248" s="2" t="s">
        <v>186</v>
      </c>
      <c r="G248" s="2" t="s">
        <v>19</v>
      </c>
      <c r="H248" s="2" t="s">
        <v>12</v>
      </c>
      <c r="I248" s="2" t="s">
        <v>17</v>
      </c>
    </row>
    <row r="249" spans="1:9" ht="14.4">
      <c r="A249" s="2" t="s">
        <v>268</v>
      </c>
      <c r="B249" s="2" t="s">
        <v>14</v>
      </c>
      <c r="C249" s="2" t="s">
        <v>15</v>
      </c>
      <c r="D249" s="2" t="s">
        <v>13</v>
      </c>
      <c r="E249" s="2" t="s">
        <v>28</v>
      </c>
      <c r="F249" s="2" t="s">
        <v>186</v>
      </c>
      <c r="G249" s="2" t="s">
        <v>19</v>
      </c>
      <c r="H249" s="2" t="s">
        <v>16</v>
      </c>
      <c r="I249" s="2" t="s">
        <v>12</v>
      </c>
    </row>
    <row r="250" spans="1:9" ht="14.4">
      <c r="A250" s="2" t="s">
        <v>267</v>
      </c>
      <c r="B250" s="2" t="s">
        <v>14</v>
      </c>
      <c r="C250" s="2" t="s">
        <v>15</v>
      </c>
      <c r="D250" s="2" t="s">
        <v>11</v>
      </c>
      <c r="E250" s="2" t="s">
        <v>28</v>
      </c>
      <c r="F250" s="2" t="s">
        <v>186</v>
      </c>
      <c r="G250" s="2" t="s">
        <v>13</v>
      </c>
      <c r="H250" s="2" t="s">
        <v>19</v>
      </c>
      <c r="I250" s="2" t="s">
        <v>17</v>
      </c>
    </row>
    <row r="251" spans="1:9" ht="14.4">
      <c r="A251" s="2" t="s">
        <v>266</v>
      </c>
      <c r="B251" s="2" t="s">
        <v>28</v>
      </c>
      <c r="C251" s="2" t="s">
        <v>15</v>
      </c>
      <c r="D251" s="2" t="s">
        <v>11</v>
      </c>
      <c r="E251" s="2" t="s">
        <v>19</v>
      </c>
      <c r="F251" s="2" t="s">
        <v>186</v>
      </c>
      <c r="G251" s="2" t="s">
        <v>13</v>
      </c>
      <c r="H251" s="2" t="s">
        <v>16</v>
      </c>
      <c r="I251" s="2" t="s">
        <v>14</v>
      </c>
    </row>
    <row r="252" spans="1:9" ht="14.4">
      <c r="A252" s="2" t="s">
        <v>265</v>
      </c>
      <c r="B252" s="2" t="s">
        <v>14</v>
      </c>
      <c r="C252" s="2" t="s">
        <v>15</v>
      </c>
      <c r="D252" s="2" t="s">
        <v>13</v>
      </c>
      <c r="E252" s="2" t="s">
        <v>28</v>
      </c>
      <c r="F252" s="2" t="s">
        <v>186</v>
      </c>
      <c r="G252" s="2" t="s">
        <v>19</v>
      </c>
      <c r="H252" s="2" t="s">
        <v>16</v>
      </c>
      <c r="I252" s="2" t="s">
        <v>17</v>
      </c>
    </row>
    <row r="253" spans="1:9" ht="14.4">
      <c r="A253" s="2" t="s">
        <v>264</v>
      </c>
      <c r="B253" s="2" t="s">
        <v>28</v>
      </c>
      <c r="C253" s="2" t="s">
        <v>15</v>
      </c>
      <c r="D253" s="2" t="s">
        <v>11</v>
      </c>
      <c r="E253" s="2" t="s">
        <v>19</v>
      </c>
      <c r="F253" s="2" t="s">
        <v>186</v>
      </c>
      <c r="G253" s="2" t="s">
        <v>13</v>
      </c>
      <c r="H253" s="2" t="s">
        <v>12</v>
      </c>
      <c r="I253" s="2" t="s">
        <v>17</v>
      </c>
    </row>
    <row r="254" spans="1:9" ht="14.4">
      <c r="A254" s="2" t="s">
        <v>263</v>
      </c>
      <c r="B254" s="2" t="s">
        <v>28</v>
      </c>
      <c r="C254" s="2" t="s">
        <v>15</v>
      </c>
      <c r="D254" s="2" t="s">
        <v>11</v>
      </c>
      <c r="E254" s="2" t="s">
        <v>19</v>
      </c>
      <c r="F254" s="2" t="s">
        <v>186</v>
      </c>
      <c r="G254" s="2" t="s">
        <v>13</v>
      </c>
      <c r="H254" s="2" t="s">
        <v>16</v>
      </c>
      <c r="I254" s="2" t="s">
        <v>12</v>
      </c>
    </row>
    <row r="255" spans="1:9" ht="14.4">
      <c r="A255" s="2" t="s">
        <v>262</v>
      </c>
      <c r="B255" s="2" t="s">
        <v>28</v>
      </c>
      <c r="C255" s="2" t="s">
        <v>15</v>
      </c>
      <c r="D255" s="2" t="s">
        <v>12</v>
      </c>
      <c r="E255" s="2" t="s">
        <v>19</v>
      </c>
      <c r="F255" s="2" t="s">
        <v>186</v>
      </c>
      <c r="G255" s="2" t="s">
        <v>13</v>
      </c>
      <c r="H255" s="2" t="s">
        <v>16</v>
      </c>
      <c r="I255" s="2" t="s">
        <v>17</v>
      </c>
    </row>
    <row r="256" spans="1:9" ht="14.4">
      <c r="A256" s="2" t="s">
        <v>261</v>
      </c>
      <c r="B256" s="2" t="s">
        <v>28</v>
      </c>
      <c r="C256" s="2" t="s">
        <v>15</v>
      </c>
      <c r="D256" s="2" t="s">
        <v>11</v>
      </c>
      <c r="E256" s="2" t="s">
        <v>19</v>
      </c>
      <c r="F256" s="2" t="s">
        <v>186</v>
      </c>
      <c r="G256" s="2" t="s">
        <v>13</v>
      </c>
      <c r="H256" s="2" t="s">
        <v>16</v>
      </c>
      <c r="I256" s="2" t="s">
        <v>17</v>
      </c>
    </row>
    <row r="257" spans="1:9" ht="14.4">
      <c r="A257" s="2" t="s">
        <v>260</v>
      </c>
      <c r="B257" s="2" t="s">
        <v>14</v>
      </c>
      <c r="C257" s="2" t="s">
        <v>11</v>
      </c>
      <c r="D257" s="2" t="s">
        <v>13</v>
      </c>
      <c r="E257" s="2" t="s">
        <v>28</v>
      </c>
      <c r="F257" s="2" t="s">
        <v>186</v>
      </c>
      <c r="G257" s="2" t="s">
        <v>19</v>
      </c>
      <c r="H257" s="2" t="s">
        <v>12</v>
      </c>
      <c r="I257" s="2" t="s">
        <v>17</v>
      </c>
    </row>
    <row r="258" spans="1:9" ht="14.4">
      <c r="A258" s="2" t="s">
        <v>259</v>
      </c>
      <c r="B258" s="2" t="s">
        <v>14</v>
      </c>
      <c r="C258" s="2" t="s">
        <v>11</v>
      </c>
      <c r="D258" s="2" t="s">
        <v>13</v>
      </c>
      <c r="E258" s="2" t="s">
        <v>28</v>
      </c>
      <c r="F258" s="2" t="s">
        <v>186</v>
      </c>
      <c r="G258" s="2" t="s">
        <v>19</v>
      </c>
      <c r="H258" s="2" t="s">
        <v>16</v>
      </c>
      <c r="I258" s="2" t="s">
        <v>12</v>
      </c>
    </row>
    <row r="259" spans="1:9" ht="14.4">
      <c r="A259" s="2" t="s">
        <v>258</v>
      </c>
      <c r="B259" s="2" t="s">
        <v>14</v>
      </c>
      <c r="C259" s="2" t="s">
        <v>13</v>
      </c>
      <c r="D259" s="2" t="s">
        <v>12</v>
      </c>
      <c r="E259" s="2" t="s">
        <v>28</v>
      </c>
      <c r="F259" s="2" t="s">
        <v>186</v>
      </c>
      <c r="G259" s="2" t="s">
        <v>19</v>
      </c>
      <c r="H259" s="2" t="s">
        <v>16</v>
      </c>
      <c r="I259" s="2" t="s">
        <v>17</v>
      </c>
    </row>
    <row r="260" spans="1:9" ht="14.4">
      <c r="A260" s="2" t="s">
        <v>257</v>
      </c>
      <c r="B260" s="2" t="s">
        <v>14</v>
      </c>
      <c r="C260" s="2" t="s">
        <v>11</v>
      </c>
      <c r="D260" s="2" t="s">
        <v>13</v>
      </c>
      <c r="E260" s="2" t="s">
        <v>28</v>
      </c>
      <c r="F260" s="2" t="s">
        <v>186</v>
      </c>
      <c r="G260" s="2" t="s">
        <v>19</v>
      </c>
      <c r="H260" s="2" t="s">
        <v>16</v>
      </c>
      <c r="I260" s="2" t="s">
        <v>17</v>
      </c>
    </row>
    <row r="261" spans="1:9" ht="14.4">
      <c r="A261" s="2" t="s">
        <v>256</v>
      </c>
      <c r="B261" s="2" t="s">
        <v>28</v>
      </c>
      <c r="C261" s="2" t="s">
        <v>11</v>
      </c>
      <c r="D261" s="2" t="s">
        <v>12</v>
      </c>
      <c r="E261" s="2" t="s">
        <v>19</v>
      </c>
      <c r="F261" s="2" t="s">
        <v>186</v>
      </c>
      <c r="G261" s="2" t="s">
        <v>13</v>
      </c>
      <c r="H261" s="2" t="s">
        <v>16</v>
      </c>
      <c r="I261" s="2" t="s">
        <v>17</v>
      </c>
    </row>
    <row r="262" spans="1:9" ht="14.4">
      <c r="A262" s="2" t="s">
        <v>255</v>
      </c>
      <c r="B262" s="2" t="s">
        <v>14</v>
      </c>
      <c r="C262" s="2" t="s">
        <v>15</v>
      </c>
      <c r="D262" s="2" t="s">
        <v>11</v>
      </c>
      <c r="E262" s="2" t="s">
        <v>28</v>
      </c>
      <c r="F262" s="2" t="s">
        <v>186</v>
      </c>
      <c r="G262" s="2" t="s">
        <v>19</v>
      </c>
      <c r="H262" s="2" t="s">
        <v>12</v>
      </c>
      <c r="I262" s="2" t="s">
        <v>17</v>
      </c>
    </row>
    <row r="263" spans="1:9" ht="14.4">
      <c r="A263" s="2" t="s">
        <v>254</v>
      </c>
      <c r="B263" s="2" t="s">
        <v>14</v>
      </c>
      <c r="C263" s="2" t="s">
        <v>15</v>
      </c>
      <c r="D263" s="2" t="s">
        <v>11</v>
      </c>
      <c r="E263" s="2" t="s">
        <v>28</v>
      </c>
      <c r="F263" s="2" t="s">
        <v>186</v>
      </c>
      <c r="G263" s="2" t="s">
        <v>19</v>
      </c>
      <c r="H263" s="2" t="s">
        <v>16</v>
      </c>
      <c r="I263" s="2" t="s">
        <v>12</v>
      </c>
    </row>
    <row r="264" spans="1:9" ht="14.4">
      <c r="A264" s="2" t="s">
        <v>253</v>
      </c>
      <c r="B264" s="2" t="s">
        <v>14</v>
      </c>
      <c r="C264" s="2" t="s">
        <v>15</v>
      </c>
      <c r="D264" s="2" t="s">
        <v>12</v>
      </c>
      <c r="E264" s="2" t="s">
        <v>28</v>
      </c>
      <c r="F264" s="2" t="s">
        <v>186</v>
      </c>
      <c r="G264" s="2" t="s">
        <v>19</v>
      </c>
      <c r="H264" s="2" t="s">
        <v>16</v>
      </c>
      <c r="I264" s="2" t="s">
        <v>17</v>
      </c>
    </row>
    <row r="265" spans="1:9" ht="14.4">
      <c r="A265" s="2" t="s">
        <v>252</v>
      </c>
      <c r="B265" s="2" t="s">
        <v>14</v>
      </c>
      <c r="C265" s="2" t="s">
        <v>15</v>
      </c>
      <c r="D265" s="2" t="s">
        <v>11</v>
      </c>
      <c r="E265" s="2" t="s">
        <v>28</v>
      </c>
      <c r="F265" s="2" t="s">
        <v>186</v>
      </c>
      <c r="G265" s="2" t="s">
        <v>19</v>
      </c>
      <c r="H265" s="2" t="s">
        <v>16</v>
      </c>
      <c r="I265" s="2" t="s">
        <v>17</v>
      </c>
    </row>
    <row r="266" spans="1:9" ht="14.4">
      <c r="A266" s="2" t="s">
        <v>251</v>
      </c>
      <c r="B266" s="2" t="s">
        <v>12</v>
      </c>
      <c r="C266" s="2" t="s">
        <v>15</v>
      </c>
      <c r="D266" s="2" t="s">
        <v>11</v>
      </c>
      <c r="E266" s="2" t="s">
        <v>28</v>
      </c>
      <c r="F266" s="2" t="s">
        <v>186</v>
      </c>
      <c r="G266" s="2" t="s">
        <v>19</v>
      </c>
      <c r="H266" s="2" t="s">
        <v>16</v>
      </c>
      <c r="I266" s="2" t="s">
        <v>17</v>
      </c>
    </row>
    <row r="267" spans="1:9" ht="14.4">
      <c r="A267" s="2" t="s">
        <v>250</v>
      </c>
      <c r="B267" s="2" t="s">
        <v>14</v>
      </c>
      <c r="C267" s="2" t="s">
        <v>11</v>
      </c>
      <c r="D267" s="2" t="s">
        <v>12</v>
      </c>
      <c r="E267" s="2" t="s">
        <v>28</v>
      </c>
      <c r="F267" s="2" t="s">
        <v>186</v>
      </c>
      <c r="G267" s="2" t="s">
        <v>19</v>
      </c>
      <c r="H267" s="2" t="s">
        <v>16</v>
      </c>
      <c r="I267" s="2" t="s">
        <v>17</v>
      </c>
    </row>
    <row r="268" spans="1:9" ht="14.4">
      <c r="A268" s="2" t="s">
        <v>249</v>
      </c>
      <c r="B268" s="2" t="s">
        <v>14</v>
      </c>
      <c r="C268" s="2" t="s">
        <v>15</v>
      </c>
      <c r="D268" s="2" t="s">
        <v>11</v>
      </c>
      <c r="E268" s="2" t="s">
        <v>28</v>
      </c>
      <c r="F268" s="2" t="s">
        <v>186</v>
      </c>
      <c r="G268" s="2" t="s">
        <v>13</v>
      </c>
      <c r="H268" s="2" t="s">
        <v>10</v>
      </c>
      <c r="I268" s="2" t="s">
        <v>12</v>
      </c>
    </row>
    <row r="269" spans="1:9" ht="14.4">
      <c r="A269" s="2" t="s">
        <v>248</v>
      </c>
      <c r="B269" s="2" t="s">
        <v>14</v>
      </c>
      <c r="C269" s="2" t="s">
        <v>15</v>
      </c>
      <c r="D269" s="2" t="s">
        <v>10</v>
      </c>
      <c r="E269" s="2" t="s">
        <v>28</v>
      </c>
      <c r="F269" s="2" t="s">
        <v>186</v>
      </c>
      <c r="G269" s="2" t="s">
        <v>13</v>
      </c>
      <c r="H269" s="2" t="s">
        <v>12</v>
      </c>
      <c r="I269" s="2" t="s">
        <v>17</v>
      </c>
    </row>
    <row r="270" spans="1:9" ht="14.4">
      <c r="A270" s="2" t="s">
        <v>247</v>
      </c>
      <c r="B270" s="2" t="s">
        <v>14</v>
      </c>
      <c r="C270" s="2" t="s">
        <v>15</v>
      </c>
      <c r="D270" s="2" t="s">
        <v>10</v>
      </c>
      <c r="E270" s="2" t="s">
        <v>28</v>
      </c>
      <c r="F270" s="2" t="s">
        <v>186</v>
      </c>
      <c r="G270" s="2" t="s">
        <v>13</v>
      </c>
      <c r="H270" s="2" t="s">
        <v>16</v>
      </c>
      <c r="I270" s="2" t="s">
        <v>12</v>
      </c>
    </row>
    <row r="271" spans="1:9" ht="14.4">
      <c r="A271" s="2" t="s">
        <v>246</v>
      </c>
      <c r="B271" s="2" t="s">
        <v>14</v>
      </c>
      <c r="C271" s="2" t="s">
        <v>15</v>
      </c>
      <c r="D271" s="2" t="s">
        <v>11</v>
      </c>
      <c r="E271" s="2" t="s">
        <v>28</v>
      </c>
      <c r="F271" s="2" t="s">
        <v>186</v>
      </c>
      <c r="G271" s="2" t="s">
        <v>13</v>
      </c>
      <c r="H271" s="2" t="s">
        <v>10</v>
      </c>
      <c r="I271" s="2" t="s">
        <v>17</v>
      </c>
    </row>
    <row r="272" spans="1:9" ht="14.4">
      <c r="A272" s="2" t="s">
        <v>245</v>
      </c>
      <c r="B272" s="2" t="s">
        <v>14</v>
      </c>
      <c r="C272" s="2" t="s">
        <v>15</v>
      </c>
      <c r="D272" s="2" t="s">
        <v>11</v>
      </c>
      <c r="E272" s="2" t="s">
        <v>28</v>
      </c>
      <c r="F272" s="2" t="s">
        <v>186</v>
      </c>
      <c r="G272" s="2" t="s">
        <v>13</v>
      </c>
      <c r="H272" s="2" t="s">
        <v>16</v>
      </c>
      <c r="I272" s="2" t="s">
        <v>10</v>
      </c>
    </row>
    <row r="273" spans="1:9" ht="14.4">
      <c r="A273" s="2" t="s">
        <v>244</v>
      </c>
      <c r="B273" s="2" t="s">
        <v>14</v>
      </c>
      <c r="C273" s="2" t="s">
        <v>15</v>
      </c>
      <c r="D273" s="2" t="s">
        <v>10</v>
      </c>
      <c r="E273" s="2" t="s">
        <v>28</v>
      </c>
      <c r="F273" s="2" t="s">
        <v>186</v>
      </c>
      <c r="G273" s="2" t="s">
        <v>13</v>
      </c>
      <c r="H273" s="2" t="s">
        <v>16</v>
      </c>
      <c r="I273" s="2" t="s">
        <v>17</v>
      </c>
    </row>
    <row r="274" spans="1:9" ht="14.4">
      <c r="A274" s="2" t="s">
        <v>243</v>
      </c>
      <c r="B274" s="2" t="s">
        <v>10</v>
      </c>
      <c r="C274" s="2" t="s">
        <v>15</v>
      </c>
      <c r="D274" s="2" t="s">
        <v>11</v>
      </c>
      <c r="E274" s="2" t="s">
        <v>28</v>
      </c>
      <c r="F274" s="2" t="s">
        <v>186</v>
      </c>
      <c r="G274" s="2" t="s">
        <v>13</v>
      </c>
      <c r="H274" s="2" t="s">
        <v>12</v>
      </c>
      <c r="I274" s="2" t="s">
        <v>17</v>
      </c>
    </row>
    <row r="275" spans="1:9" ht="14.4">
      <c r="A275" s="2" t="s">
        <v>242</v>
      </c>
      <c r="B275" s="2" t="s">
        <v>10</v>
      </c>
      <c r="C275" s="2" t="s">
        <v>15</v>
      </c>
      <c r="D275" s="2" t="s">
        <v>11</v>
      </c>
      <c r="E275" s="2" t="s">
        <v>28</v>
      </c>
      <c r="F275" s="2" t="s">
        <v>186</v>
      </c>
      <c r="G275" s="2" t="s">
        <v>13</v>
      </c>
      <c r="H275" s="2" t="s">
        <v>16</v>
      </c>
      <c r="I275" s="2" t="s">
        <v>12</v>
      </c>
    </row>
    <row r="276" spans="1:9" ht="14.4">
      <c r="A276" s="2" t="s">
        <v>241</v>
      </c>
      <c r="B276" s="2" t="s">
        <v>10</v>
      </c>
      <c r="C276" s="2" t="s">
        <v>15</v>
      </c>
      <c r="D276" s="2" t="s">
        <v>12</v>
      </c>
      <c r="E276" s="2" t="s">
        <v>28</v>
      </c>
      <c r="F276" s="2" t="s">
        <v>186</v>
      </c>
      <c r="G276" s="2" t="s">
        <v>13</v>
      </c>
      <c r="H276" s="2" t="s">
        <v>16</v>
      </c>
      <c r="I276" s="2" t="s">
        <v>17</v>
      </c>
    </row>
    <row r="277" spans="1:9" ht="14.4">
      <c r="A277" s="2" t="s">
        <v>240</v>
      </c>
      <c r="B277" s="2" t="s">
        <v>10</v>
      </c>
      <c r="C277" s="2" t="s">
        <v>15</v>
      </c>
      <c r="D277" s="2" t="s">
        <v>11</v>
      </c>
      <c r="E277" s="2" t="s">
        <v>28</v>
      </c>
      <c r="F277" s="2" t="s">
        <v>186</v>
      </c>
      <c r="G277" s="2" t="s">
        <v>13</v>
      </c>
      <c r="H277" s="2" t="s">
        <v>16</v>
      </c>
      <c r="I277" s="2" t="s">
        <v>17</v>
      </c>
    </row>
    <row r="278" spans="1:9" ht="14.4">
      <c r="A278" s="2" t="s">
        <v>239</v>
      </c>
      <c r="B278" s="2" t="s">
        <v>14</v>
      </c>
      <c r="C278" s="2" t="s">
        <v>11</v>
      </c>
      <c r="D278" s="2" t="s">
        <v>10</v>
      </c>
      <c r="E278" s="2" t="s">
        <v>28</v>
      </c>
      <c r="F278" s="2" t="s">
        <v>186</v>
      </c>
      <c r="G278" s="2" t="s">
        <v>13</v>
      </c>
      <c r="H278" s="2" t="s">
        <v>12</v>
      </c>
      <c r="I278" s="2" t="s">
        <v>17</v>
      </c>
    </row>
    <row r="279" spans="1:9" ht="14.4">
      <c r="A279" s="2" t="s">
        <v>238</v>
      </c>
      <c r="B279" s="2" t="s">
        <v>14</v>
      </c>
      <c r="C279" s="2" t="s">
        <v>11</v>
      </c>
      <c r="D279" s="2" t="s">
        <v>10</v>
      </c>
      <c r="E279" s="2" t="s">
        <v>28</v>
      </c>
      <c r="F279" s="2" t="s">
        <v>186</v>
      </c>
      <c r="G279" s="2" t="s">
        <v>13</v>
      </c>
      <c r="H279" s="2" t="s">
        <v>16</v>
      </c>
      <c r="I279" s="2" t="s">
        <v>12</v>
      </c>
    </row>
    <row r="280" spans="1:9" ht="14.4">
      <c r="A280" s="2" t="s">
        <v>237</v>
      </c>
      <c r="B280" s="2" t="s">
        <v>14</v>
      </c>
      <c r="C280" s="2" t="s">
        <v>10</v>
      </c>
      <c r="D280" s="2" t="s">
        <v>12</v>
      </c>
      <c r="E280" s="2" t="s">
        <v>28</v>
      </c>
      <c r="F280" s="2" t="s">
        <v>186</v>
      </c>
      <c r="G280" s="2" t="s">
        <v>13</v>
      </c>
      <c r="H280" s="2" t="s">
        <v>16</v>
      </c>
      <c r="I280" s="2" t="s">
        <v>17</v>
      </c>
    </row>
    <row r="281" spans="1:9" ht="14.4">
      <c r="A281" s="2" t="s">
        <v>236</v>
      </c>
      <c r="B281" s="2" t="s">
        <v>14</v>
      </c>
      <c r="C281" s="2" t="s">
        <v>11</v>
      </c>
      <c r="D281" s="2" t="s">
        <v>10</v>
      </c>
      <c r="E281" s="2" t="s">
        <v>28</v>
      </c>
      <c r="F281" s="2" t="s">
        <v>186</v>
      </c>
      <c r="G281" s="2" t="s">
        <v>13</v>
      </c>
      <c r="H281" s="2" t="s">
        <v>16</v>
      </c>
      <c r="I281" s="2" t="s">
        <v>17</v>
      </c>
    </row>
    <row r="282" spans="1:9" ht="14.4">
      <c r="A282" s="2" t="s">
        <v>235</v>
      </c>
      <c r="B282" s="2" t="s">
        <v>10</v>
      </c>
      <c r="C282" s="2" t="s">
        <v>11</v>
      </c>
      <c r="D282" s="2" t="s">
        <v>12</v>
      </c>
      <c r="E282" s="2" t="s">
        <v>28</v>
      </c>
      <c r="F282" s="2" t="s">
        <v>186</v>
      </c>
      <c r="G282" s="2" t="s">
        <v>13</v>
      </c>
      <c r="H282" s="2" t="s">
        <v>16</v>
      </c>
      <c r="I282" s="2" t="s">
        <v>17</v>
      </c>
    </row>
    <row r="283" spans="1:9" ht="14.4">
      <c r="A283" s="2" t="s">
        <v>234</v>
      </c>
      <c r="B283" s="2" t="s">
        <v>10</v>
      </c>
      <c r="C283" s="2" t="s">
        <v>15</v>
      </c>
      <c r="D283" s="2" t="s">
        <v>11</v>
      </c>
      <c r="E283" s="2" t="s">
        <v>28</v>
      </c>
      <c r="F283" s="2" t="s">
        <v>186</v>
      </c>
      <c r="G283" s="2" t="s">
        <v>14</v>
      </c>
      <c r="H283" s="2" t="s">
        <v>12</v>
      </c>
      <c r="I283" s="2" t="s">
        <v>17</v>
      </c>
    </row>
    <row r="284" spans="1:9" ht="14.4">
      <c r="A284" s="2" t="s">
        <v>233</v>
      </c>
      <c r="B284" s="2" t="s">
        <v>10</v>
      </c>
      <c r="C284" s="2" t="s">
        <v>15</v>
      </c>
      <c r="D284" s="2" t="s">
        <v>11</v>
      </c>
      <c r="E284" s="2" t="s">
        <v>28</v>
      </c>
      <c r="F284" s="2" t="s">
        <v>186</v>
      </c>
      <c r="G284" s="2" t="s">
        <v>14</v>
      </c>
      <c r="H284" s="2" t="s">
        <v>16</v>
      </c>
      <c r="I284" s="2" t="s">
        <v>12</v>
      </c>
    </row>
    <row r="285" spans="1:9" ht="14.4">
      <c r="A285" s="2" t="s">
        <v>232</v>
      </c>
      <c r="B285" s="2" t="s">
        <v>10</v>
      </c>
      <c r="C285" s="2" t="s">
        <v>15</v>
      </c>
      <c r="D285" s="2" t="s">
        <v>12</v>
      </c>
      <c r="E285" s="2" t="s">
        <v>28</v>
      </c>
      <c r="F285" s="2" t="s">
        <v>186</v>
      </c>
      <c r="G285" s="2" t="s">
        <v>14</v>
      </c>
      <c r="H285" s="2" t="s">
        <v>16</v>
      </c>
      <c r="I285" s="2" t="s">
        <v>17</v>
      </c>
    </row>
    <row r="286" spans="1:9" ht="14.4">
      <c r="A286" s="2" t="s">
        <v>231</v>
      </c>
      <c r="B286" s="2" t="s">
        <v>10</v>
      </c>
      <c r="C286" s="2" t="s">
        <v>15</v>
      </c>
      <c r="D286" s="2" t="s">
        <v>11</v>
      </c>
      <c r="E286" s="2" t="s">
        <v>28</v>
      </c>
      <c r="F286" s="2" t="s">
        <v>186</v>
      </c>
      <c r="G286" s="2" t="s">
        <v>14</v>
      </c>
      <c r="H286" s="2" t="s">
        <v>16</v>
      </c>
      <c r="I286" s="2" t="s">
        <v>17</v>
      </c>
    </row>
    <row r="287" spans="1:9" ht="14.4">
      <c r="A287" s="2" t="s">
        <v>230</v>
      </c>
      <c r="B287" s="2" t="s">
        <v>10</v>
      </c>
      <c r="C287" s="2" t="s">
        <v>11</v>
      </c>
      <c r="D287" s="2" t="s">
        <v>12</v>
      </c>
      <c r="E287" s="2" t="s">
        <v>28</v>
      </c>
      <c r="F287" s="2" t="s">
        <v>186</v>
      </c>
      <c r="G287" s="2" t="s">
        <v>15</v>
      </c>
      <c r="H287" s="2" t="s">
        <v>16</v>
      </c>
      <c r="I287" s="2" t="s">
        <v>17</v>
      </c>
    </row>
    <row r="288" spans="1:9" ht="14.4">
      <c r="A288" s="2" t="s">
        <v>229</v>
      </c>
      <c r="B288" s="2" t="s">
        <v>10</v>
      </c>
      <c r="C288" s="2" t="s">
        <v>11</v>
      </c>
      <c r="D288" s="2" t="s">
        <v>12</v>
      </c>
      <c r="E288" s="2" t="s">
        <v>28</v>
      </c>
      <c r="F288" s="2" t="s">
        <v>186</v>
      </c>
      <c r="G288" s="2" t="s">
        <v>14</v>
      </c>
      <c r="H288" s="2" t="s">
        <v>16</v>
      </c>
      <c r="I288" s="2" t="s">
        <v>17</v>
      </c>
    </row>
    <row r="289" spans="1:9" ht="14.4">
      <c r="A289" s="2" t="s">
        <v>228</v>
      </c>
      <c r="B289" s="2" t="s">
        <v>14</v>
      </c>
      <c r="C289" s="2" t="s">
        <v>15</v>
      </c>
      <c r="D289" s="2" t="s">
        <v>11</v>
      </c>
      <c r="E289" s="2" t="s">
        <v>28</v>
      </c>
      <c r="F289" s="2" t="s">
        <v>186</v>
      </c>
      <c r="G289" s="2" t="s">
        <v>13</v>
      </c>
      <c r="H289" s="2" t="s">
        <v>12</v>
      </c>
      <c r="I289" s="2" t="s">
        <v>17</v>
      </c>
    </row>
    <row r="290" spans="1:9" ht="14.4">
      <c r="A290" s="2" t="s">
        <v>227</v>
      </c>
      <c r="B290" s="2" t="s">
        <v>14</v>
      </c>
      <c r="C290" s="2" t="s">
        <v>15</v>
      </c>
      <c r="D290" s="2" t="s">
        <v>11</v>
      </c>
      <c r="E290" s="2" t="s">
        <v>28</v>
      </c>
      <c r="F290" s="2" t="s">
        <v>186</v>
      </c>
      <c r="G290" s="2" t="s">
        <v>13</v>
      </c>
      <c r="H290" s="2" t="s">
        <v>16</v>
      </c>
      <c r="I290" s="2" t="s">
        <v>12</v>
      </c>
    </row>
    <row r="291" spans="1:9" ht="14.4">
      <c r="A291" s="2" t="s">
        <v>226</v>
      </c>
      <c r="B291" s="2" t="s">
        <v>14</v>
      </c>
      <c r="C291" s="2" t="s">
        <v>15</v>
      </c>
      <c r="D291" s="2" t="s">
        <v>12</v>
      </c>
      <c r="E291" s="2" t="s">
        <v>28</v>
      </c>
      <c r="F291" s="2" t="s">
        <v>186</v>
      </c>
      <c r="G291" s="2" t="s">
        <v>13</v>
      </c>
      <c r="H291" s="2" t="s">
        <v>16</v>
      </c>
      <c r="I291" s="2" t="s">
        <v>17</v>
      </c>
    </row>
    <row r="292" spans="1:9" ht="14.4">
      <c r="A292" s="2" t="s">
        <v>225</v>
      </c>
      <c r="B292" s="2" t="s">
        <v>14</v>
      </c>
      <c r="C292" s="2" t="s">
        <v>15</v>
      </c>
      <c r="D292" s="2" t="s">
        <v>11</v>
      </c>
      <c r="E292" s="2" t="s">
        <v>28</v>
      </c>
      <c r="F292" s="2" t="s">
        <v>186</v>
      </c>
      <c r="G292" s="2" t="s">
        <v>13</v>
      </c>
      <c r="H292" s="2" t="s">
        <v>16</v>
      </c>
      <c r="I292" s="2" t="s">
        <v>17</v>
      </c>
    </row>
    <row r="293" spans="1:9" ht="14.4">
      <c r="A293" s="2" t="s">
        <v>224</v>
      </c>
      <c r="B293" s="2" t="s">
        <v>12</v>
      </c>
      <c r="C293" s="2" t="s">
        <v>15</v>
      </c>
      <c r="D293" s="2" t="s">
        <v>11</v>
      </c>
      <c r="E293" s="2" t="s">
        <v>28</v>
      </c>
      <c r="F293" s="2" t="s">
        <v>186</v>
      </c>
      <c r="G293" s="2" t="s">
        <v>13</v>
      </c>
      <c r="H293" s="2" t="s">
        <v>16</v>
      </c>
      <c r="I293" s="2" t="s">
        <v>17</v>
      </c>
    </row>
    <row r="294" spans="1:9" ht="14.4">
      <c r="A294" s="2" t="s">
        <v>223</v>
      </c>
      <c r="B294" s="2" t="s">
        <v>14</v>
      </c>
      <c r="C294" s="2" t="s">
        <v>11</v>
      </c>
      <c r="D294" s="2" t="s">
        <v>12</v>
      </c>
      <c r="E294" s="2" t="s">
        <v>28</v>
      </c>
      <c r="F294" s="2" t="s">
        <v>186</v>
      </c>
      <c r="G294" s="2" t="s">
        <v>13</v>
      </c>
      <c r="H294" s="2" t="s">
        <v>16</v>
      </c>
      <c r="I294" s="2" t="s">
        <v>17</v>
      </c>
    </row>
    <row r="295" spans="1:9" ht="14.4">
      <c r="A295" s="2" t="s">
        <v>222</v>
      </c>
      <c r="B295" s="2" t="s">
        <v>14</v>
      </c>
      <c r="C295" s="2" t="s">
        <v>11</v>
      </c>
      <c r="D295" s="2" t="s">
        <v>12</v>
      </c>
      <c r="E295" s="2" t="s">
        <v>28</v>
      </c>
      <c r="F295" s="2" t="s">
        <v>186</v>
      </c>
      <c r="G295" s="2" t="s">
        <v>15</v>
      </c>
      <c r="H295" s="2" t="s">
        <v>16</v>
      </c>
      <c r="I295" s="2" t="s">
        <v>17</v>
      </c>
    </row>
    <row r="296" spans="1:9" ht="14.4">
      <c r="A296" s="2" t="s">
        <v>221</v>
      </c>
      <c r="B296" s="2" t="s">
        <v>14</v>
      </c>
      <c r="C296" s="2" t="s">
        <v>15</v>
      </c>
      <c r="D296" s="2" t="s">
        <v>11</v>
      </c>
      <c r="E296" s="2" t="s">
        <v>19</v>
      </c>
      <c r="F296" s="2" t="s">
        <v>186</v>
      </c>
      <c r="G296" s="2" t="s">
        <v>13</v>
      </c>
      <c r="H296" s="2" t="s">
        <v>10</v>
      </c>
      <c r="I296" s="2" t="s">
        <v>12</v>
      </c>
    </row>
    <row r="297" spans="1:9" ht="14.4">
      <c r="A297" s="2" t="s">
        <v>220</v>
      </c>
      <c r="B297" s="2" t="s">
        <v>14</v>
      </c>
      <c r="C297" s="2" t="s">
        <v>15</v>
      </c>
      <c r="D297" s="2" t="s">
        <v>10</v>
      </c>
      <c r="E297" s="2" t="s">
        <v>19</v>
      </c>
      <c r="F297" s="2" t="s">
        <v>186</v>
      </c>
      <c r="G297" s="2" t="s">
        <v>13</v>
      </c>
      <c r="H297" s="2" t="s">
        <v>12</v>
      </c>
      <c r="I297" s="2" t="s">
        <v>17</v>
      </c>
    </row>
    <row r="298" spans="1:9" ht="14.4">
      <c r="A298" s="2" t="s">
        <v>219</v>
      </c>
      <c r="B298" s="2" t="s">
        <v>14</v>
      </c>
      <c r="C298" s="2" t="s">
        <v>15</v>
      </c>
      <c r="D298" s="2" t="s">
        <v>10</v>
      </c>
      <c r="E298" s="2" t="s">
        <v>19</v>
      </c>
      <c r="F298" s="2" t="s">
        <v>186</v>
      </c>
      <c r="G298" s="2" t="s">
        <v>13</v>
      </c>
      <c r="H298" s="2" t="s">
        <v>16</v>
      </c>
      <c r="I298" s="2" t="s">
        <v>12</v>
      </c>
    </row>
    <row r="299" spans="1:9" ht="14.4">
      <c r="A299" s="2" t="s">
        <v>218</v>
      </c>
      <c r="B299" s="2" t="s">
        <v>14</v>
      </c>
      <c r="C299" s="2" t="s">
        <v>15</v>
      </c>
      <c r="D299" s="2" t="s">
        <v>11</v>
      </c>
      <c r="E299" s="2" t="s">
        <v>19</v>
      </c>
      <c r="F299" s="2" t="s">
        <v>186</v>
      </c>
      <c r="G299" s="2" t="s">
        <v>13</v>
      </c>
      <c r="H299" s="2" t="s">
        <v>10</v>
      </c>
      <c r="I299" s="2" t="s">
        <v>17</v>
      </c>
    </row>
    <row r="300" spans="1:9" ht="14.4">
      <c r="A300" s="2" t="s">
        <v>217</v>
      </c>
      <c r="B300" s="2" t="s">
        <v>14</v>
      </c>
      <c r="C300" s="2" t="s">
        <v>15</v>
      </c>
      <c r="D300" s="2" t="s">
        <v>11</v>
      </c>
      <c r="E300" s="2" t="s">
        <v>19</v>
      </c>
      <c r="F300" s="2" t="s">
        <v>186</v>
      </c>
      <c r="G300" s="2" t="s">
        <v>13</v>
      </c>
      <c r="H300" s="2" t="s">
        <v>16</v>
      </c>
      <c r="I300" s="2" t="s">
        <v>10</v>
      </c>
    </row>
    <row r="301" spans="1:9" ht="14.4">
      <c r="A301" s="2" t="s">
        <v>216</v>
      </c>
      <c r="B301" s="2" t="s">
        <v>14</v>
      </c>
      <c r="C301" s="2" t="s">
        <v>15</v>
      </c>
      <c r="D301" s="2" t="s">
        <v>10</v>
      </c>
      <c r="E301" s="2" t="s">
        <v>19</v>
      </c>
      <c r="F301" s="2" t="s">
        <v>186</v>
      </c>
      <c r="G301" s="2" t="s">
        <v>13</v>
      </c>
      <c r="H301" s="2" t="s">
        <v>16</v>
      </c>
      <c r="I301" s="2" t="s">
        <v>17</v>
      </c>
    </row>
    <row r="302" spans="1:9" ht="14.4">
      <c r="A302" s="2" t="s">
        <v>215</v>
      </c>
      <c r="B302" s="2" t="s">
        <v>10</v>
      </c>
      <c r="C302" s="2" t="s">
        <v>15</v>
      </c>
      <c r="D302" s="2" t="s">
        <v>11</v>
      </c>
      <c r="E302" s="2" t="s">
        <v>19</v>
      </c>
      <c r="F302" s="2" t="s">
        <v>186</v>
      </c>
      <c r="G302" s="2" t="s">
        <v>13</v>
      </c>
      <c r="H302" s="2" t="s">
        <v>12</v>
      </c>
      <c r="I302" s="2" t="s">
        <v>17</v>
      </c>
    </row>
    <row r="303" spans="1:9" ht="14.4">
      <c r="A303" s="2" t="s">
        <v>214</v>
      </c>
      <c r="B303" s="2" t="s">
        <v>10</v>
      </c>
      <c r="C303" s="2" t="s">
        <v>15</v>
      </c>
      <c r="D303" s="2" t="s">
        <v>11</v>
      </c>
      <c r="E303" s="2" t="s">
        <v>19</v>
      </c>
      <c r="F303" s="2" t="s">
        <v>186</v>
      </c>
      <c r="G303" s="2" t="s">
        <v>13</v>
      </c>
      <c r="H303" s="2" t="s">
        <v>16</v>
      </c>
      <c r="I303" s="2" t="s">
        <v>12</v>
      </c>
    </row>
    <row r="304" spans="1:9" ht="14.4">
      <c r="A304" s="2" t="s">
        <v>213</v>
      </c>
      <c r="B304" s="2" t="s">
        <v>10</v>
      </c>
      <c r="C304" s="2" t="s">
        <v>15</v>
      </c>
      <c r="D304" s="2" t="s">
        <v>12</v>
      </c>
      <c r="E304" s="2" t="s">
        <v>19</v>
      </c>
      <c r="F304" s="2" t="s">
        <v>186</v>
      </c>
      <c r="G304" s="2" t="s">
        <v>13</v>
      </c>
      <c r="H304" s="2" t="s">
        <v>16</v>
      </c>
      <c r="I304" s="2" t="s">
        <v>17</v>
      </c>
    </row>
    <row r="305" spans="1:9" ht="14.4">
      <c r="A305" s="2" t="s">
        <v>212</v>
      </c>
      <c r="B305" s="2" t="s">
        <v>10</v>
      </c>
      <c r="C305" s="2" t="s">
        <v>15</v>
      </c>
      <c r="D305" s="2" t="s">
        <v>11</v>
      </c>
      <c r="E305" s="2" t="s">
        <v>19</v>
      </c>
      <c r="F305" s="2" t="s">
        <v>186</v>
      </c>
      <c r="G305" s="2" t="s">
        <v>13</v>
      </c>
      <c r="H305" s="2" t="s">
        <v>16</v>
      </c>
      <c r="I305" s="2" t="s">
        <v>17</v>
      </c>
    </row>
    <row r="306" spans="1:9" ht="14.4">
      <c r="A306" s="2" t="s">
        <v>211</v>
      </c>
      <c r="B306" s="2" t="s">
        <v>14</v>
      </c>
      <c r="C306" s="2" t="s">
        <v>11</v>
      </c>
      <c r="D306" s="2" t="s">
        <v>10</v>
      </c>
      <c r="E306" s="2" t="s">
        <v>19</v>
      </c>
      <c r="F306" s="2" t="s">
        <v>186</v>
      </c>
      <c r="G306" s="2" t="s">
        <v>13</v>
      </c>
      <c r="H306" s="2" t="s">
        <v>12</v>
      </c>
      <c r="I306" s="2" t="s">
        <v>17</v>
      </c>
    </row>
    <row r="307" spans="1:9" ht="14.4">
      <c r="A307" s="2" t="s">
        <v>210</v>
      </c>
      <c r="B307" s="2" t="s">
        <v>14</v>
      </c>
      <c r="C307" s="2" t="s">
        <v>11</v>
      </c>
      <c r="D307" s="2" t="s">
        <v>10</v>
      </c>
      <c r="E307" s="2" t="s">
        <v>19</v>
      </c>
      <c r="F307" s="2" t="s">
        <v>186</v>
      </c>
      <c r="G307" s="2" t="s">
        <v>13</v>
      </c>
      <c r="H307" s="2" t="s">
        <v>16</v>
      </c>
      <c r="I307" s="2" t="s">
        <v>12</v>
      </c>
    </row>
    <row r="308" spans="1:9" ht="14.4">
      <c r="A308" s="2" t="s">
        <v>209</v>
      </c>
      <c r="B308" s="2" t="s">
        <v>14</v>
      </c>
      <c r="C308" s="2" t="s">
        <v>10</v>
      </c>
      <c r="D308" s="2" t="s">
        <v>12</v>
      </c>
      <c r="E308" s="2" t="s">
        <v>19</v>
      </c>
      <c r="F308" s="2" t="s">
        <v>186</v>
      </c>
      <c r="G308" s="2" t="s">
        <v>13</v>
      </c>
      <c r="H308" s="2" t="s">
        <v>16</v>
      </c>
      <c r="I308" s="2" t="s">
        <v>17</v>
      </c>
    </row>
    <row r="309" spans="1:9" ht="14.4">
      <c r="A309" s="2" t="s">
        <v>208</v>
      </c>
      <c r="B309" s="2" t="s">
        <v>14</v>
      </c>
      <c r="C309" s="2" t="s">
        <v>11</v>
      </c>
      <c r="D309" s="2" t="s">
        <v>10</v>
      </c>
      <c r="E309" s="2" t="s">
        <v>19</v>
      </c>
      <c r="F309" s="2" t="s">
        <v>186</v>
      </c>
      <c r="G309" s="2" t="s">
        <v>13</v>
      </c>
      <c r="H309" s="2" t="s">
        <v>16</v>
      </c>
      <c r="I309" s="2" t="s">
        <v>17</v>
      </c>
    </row>
    <row r="310" spans="1:9" ht="14.4">
      <c r="A310" s="2" t="s">
        <v>207</v>
      </c>
      <c r="B310" s="2" t="s">
        <v>10</v>
      </c>
      <c r="C310" s="2" t="s">
        <v>11</v>
      </c>
      <c r="D310" s="2" t="s">
        <v>12</v>
      </c>
      <c r="E310" s="2" t="s">
        <v>19</v>
      </c>
      <c r="F310" s="2" t="s">
        <v>186</v>
      </c>
      <c r="G310" s="2" t="s">
        <v>13</v>
      </c>
      <c r="H310" s="2" t="s">
        <v>16</v>
      </c>
      <c r="I310" s="2" t="s">
        <v>17</v>
      </c>
    </row>
    <row r="311" spans="1:9" ht="14.4">
      <c r="A311" s="2" t="s">
        <v>206</v>
      </c>
      <c r="B311" s="2" t="s">
        <v>10</v>
      </c>
      <c r="C311" s="2" t="s">
        <v>15</v>
      </c>
      <c r="D311" s="2" t="s">
        <v>11</v>
      </c>
      <c r="E311" s="2" t="s">
        <v>19</v>
      </c>
      <c r="F311" s="2" t="s">
        <v>186</v>
      </c>
      <c r="G311" s="2" t="s">
        <v>14</v>
      </c>
      <c r="H311" s="2" t="s">
        <v>12</v>
      </c>
      <c r="I311" s="2" t="s">
        <v>17</v>
      </c>
    </row>
    <row r="312" spans="1:9" ht="14.4">
      <c r="A312" s="2" t="s">
        <v>205</v>
      </c>
      <c r="B312" s="2" t="s">
        <v>10</v>
      </c>
      <c r="C312" s="2" t="s">
        <v>15</v>
      </c>
      <c r="D312" s="2" t="s">
        <v>11</v>
      </c>
      <c r="E312" s="2" t="s">
        <v>19</v>
      </c>
      <c r="F312" s="2" t="s">
        <v>186</v>
      </c>
      <c r="G312" s="2" t="s">
        <v>14</v>
      </c>
      <c r="H312" s="2" t="s">
        <v>16</v>
      </c>
      <c r="I312" s="2" t="s">
        <v>12</v>
      </c>
    </row>
    <row r="313" spans="1:9" ht="14.4">
      <c r="A313" s="2" t="s">
        <v>204</v>
      </c>
      <c r="B313" s="2" t="s">
        <v>10</v>
      </c>
      <c r="C313" s="2" t="s">
        <v>15</v>
      </c>
      <c r="D313" s="2" t="s">
        <v>12</v>
      </c>
      <c r="E313" s="2" t="s">
        <v>19</v>
      </c>
      <c r="F313" s="2" t="s">
        <v>186</v>
      </c>
      <c r="G313" s="2" t="s">
        <v>14</v>
      </c>
      <c r="H313" s="2" t="s">
        <v>16</v>
      </c>
      <c r="I313" s="2" t="s">
        <v>17</v>
      </c>
    </row>
    <row r="314" spans="1:9" ht="14.4">
      <c r="A314" s="2" t="s">
        <v>203</v>
      </c>
      <c r="B314" s="2" t="s">
        <v>10</v>
      </c>
      <c r="C314" s="2" t="s">
        <v>15</v>
      </c>
      <c r="D314" s="2" t="s">
        <v>11</v>
      </c>
      <c r="E314" s="2" t="s">
        <v>19</v>
      </c>
      <c r="F314" s="2" t="s">
        <v>186</v>
      </c>
      <c r="G314" s="2" t="s">
        <v>14</v>
      </c>
      <c r="H314" s="2" t="s">
        <v>16</v>
      </c>
      <c r="I314" s="2" t="s">
        <v>17</v>
      </c>
    </row>
    <row r="315" spans="1:9" ht="14.4">
      <c r="A315" s="2" t="s">
        <v>202</v>
      </c>
      <c r="B315" s="2" t="s">
        <v>10</v>
      </c>
      <c r="C315" s="2" t="s">
        <v>11</v>
      </c>
      <c r="D315" s="2" t="s">
        <v>12</v>
      </c>
      <c r="E315" s="2" t="s">
        <v>19</v>
      </c>
      <c r="F315" s="2" t="s">
        <v>186</v>
      </c>
      <c r="G315" s="2" t="s">
        <v>15</v>
      </c>
      <c r="H315" s="2" t="s">
        <v>16</v>
      </c>
      <c r="I315" s="2" t="s">
        <v>17</v>
      </c>
    </row>
    <row r="316" spans="1:9" ht="14.4">
      <c r="A316" s="2" t="s">
        <v>201</v>
      </c>
      <c r="B316" s="2" t="s">
        <v>10</v>
      </c>
      <c r="C316" s="2" t="s">
        <v>11</v>
      </c>
      <c r="D316" s="2" t="s">
        <v>12</v>
      </c>
      <c r="E316" s="2" t="s">
        <v>19</v>
      </c>
      <c r="F316" s="2" t="s">
        <v>186</v>
      </c>
      <c r="G316" s="2" t="s">
        <v>14</v>
      </c>
      <c r="H316" s="2" t="s">
        <v>16</v>
      </c>
      <c r="I316" s="2" t="s">
        <v>17</v>
      </c>
    </row>
    <row r="317" spans="1:9" ht="14.4">
      <c r="A317" s="2" t="s">
        <v>200</v>
      </c>
      <c r="B317" s="2" t="s">
        <v>14</v>
      </c>
      <c r="C317" s="2" t="s">
        <v>15</v>
      </c>
      <c r="D317" s="2" t="s">
        <v>11</v>
      </c>
      <c r="E317" s="2" t="s">
        <v>19</v>
      </c>
      <c r="F317" s="2" t="s">
        <v>186</v>
      </c>
      <c r="G317" s="2" t="s">
        <v>13</v>
      </c>
      <c r="H317" s="2" t="s">
        <v>12</v>
      </c>
      <c r="I317" s="2" t="s">
        <v>17</v>
      </c>
    </row>
    <row r="318" spans="1:9" ht="14.4">
      <c r="A318" s="2" t="s">
        <v>199</v>
      </c>
      <c r="B318" s="2" t="s">
        <v>14</v>
      </c>
      <c r="C318" s="2" t="s">
        <v>15</v>
      </c>
      <c r="D318" s="2" t="s">
        <v>11</v>
      </c>
      <c r="E318" s="2" t="s">
        <v>19</v>
      </c>
      <c r="F318" s="2" t="s">
        <v>186</v>
      </c>
      <c r="G318" s="2" t="s">
        <v>13</v>
      </c>
      <c r="H318" s="2" t="s">
        <v>16</v>
      </c>
      <c r="I318" s="2" t="s">
        <v>12</v>
      </c>
    </row>
    <row r="319" spans="1:9" ht="14.4">
      <c r="A319" s="2" t="s">
        <v>198</v>
      </c>
      <c r="B319" s="2" t="s">
        <v>14</v>
      </c>
      <c r="C319" s="2" t="s">
        <v>15</v>
      </c>
      <c r="D319" s="2" t="s">
        <v>12</v>
      </c>
      <c r="E319" s="2" t="s">
        <v>19</v>
      </c>
      <c r="F319" s="2" t="s">
        <v>186</v>
      </c>
      <c r="G319" s="2" t="s">
        <v>13</v>
      </c>
      <c r="H319" s="2" t="s">
        <v>16</v>
      </c>
      <c r="I319" s="2" t="s">
        <v>17</v>
      </c>
    </row>
    <row r="320" spans="1:9" ht="14.4">
      <c r="A320" s="2" t="s">
        <v>197</v>
      </c>
      <c r="B320" s="2" t="s">
        <v>14</v>
      </c>
      <c r="C320" s="2" t="s">
        <v>15</v>
      </c>
      <c r="D320" s="2" t="s">
        <v>11</v>
      </c>
      <c r="E320" s="2" t="s">
        <v>19</v>
      </c>
      <c r="F320" s="2" t="s">
        <v>186</v>
      </c>
      <c r="G320" s="2" t="s">
        <v>13</v>
      </c>
      <c r="H320" s="2" t="s">
        <v>16</v>
      </c>
      <c r="I320" s="2" t="s">
        <v>17</v>
      </c>
    </row>
    <row r="321" spans="1:9" ht="14.4">
      <c r="A321" s="2" t="s">
        <v>196</v>
      </c>
      <c r="B321" s="2" t="s">
        <v>12</v>
      </c>
      <c r="C321" s="2" t="s">
        <v>15</v>
      </c>
      <c r="D321" s="2" t="s">
        <v>11</v>
      </c>
      <c r="E321" s="2" t="s">
        <v>19</v>
      </c>
      <c r="F321" s="2" t="s">
        <v>186</v>
      </c>
      <c r="G321" s="2" t="s">
        <v>13</v>
      </c>
      <c r="H321" s="2" t="s">
        <v>16</v>
      </c>
      <c r="I321" s="2" t="s">
        <v>17</v>
      </c>
    </row>
    <row r="322" spans="1:9" ht="14.4">
      <c r="A322" s="2" t="s">
        <v>195</v>
      </c>
      <c r="B322" s="2" t="s">
        <v>14</v>
      </c>
      <c r="C322" s="2" t="s">
        <v>11</v>
      </c>
      <c r="D322" s="2" t="s">
        <v>12</v>
      </c>
      <c r="E322" s="2" t="s">
        <v>19</v>
      </c>
      <c r="F322" s="2" t="s">
        <v>186</v>
      </c>
      <c r="G322" s="2" t="s">
        <v>13</v>
      </c>
      <c r="H322" s="2" t="s">
        <v>16</v>
      </c>
      <c r="I322" s="2" t="s">
        <v>17</v>
      </c>
    </row>
    <row r="323" spans="1:9" ht="14.4">
      <c r="A323" s="2" t="s">
        <v>194</v>
      </c>
      <c r="B323" s="2" t="s">
        <v>14</v>
      </c>
      <c r="C323" s="2" t="s">
        <v>11</v>
      </c>
      <c r="D323" s="2" t="s">
        <v>12</v>
      </c>
      <c r="E323" s="2" t="s">
        <v>19</v>
      </c>
      <c r="F323" s="2" t="s">
        <v>186</v>
      </c>
      <c r="G323" s="2" t="s">
        <v>15</v>
      </c>
      <c r="H323" s="2" t="s">
        <v>16</v>
      </c>
      <c r="I323" s="2" t="s">
        <v>17</v>
      </c>
    </row>
    <row r="324" spans="1:9" ht="14.4">
      <c r="A324" s="2" t="s">
        <v>193</v>
      </c>
      <c r="B324" s="2" t="s">
        <v>10</v>
      </c>
      <c r="C324" s="2" t="s">
        <v>15</v>
      </c>
      <c r="D324" s="2" t="s">
        <v>11</v>
      </c>
      <c r="E324" s="2" t="s">
        <v>13</v>
      </c>
      <c r="F324" s="2" t="s">
        <v>186</v>
      </c>
      <c r="G324" s="2" t="s">
        <v>14</v>
      </c>
      <c r="H324" s="2" t="s">
        <v>12</v>
      </c>
      <c r="I324" s="2" t="s">
        <v>17</v>
      </c>
    </row>
    <row r="325" spans="1:9" ht="14.4">
      <c r="A325" s="2" t="s">
        <v>192</v>
      </c>
      <c r="B325" s="2" t="s">
        <v>10</v>
      </c>
      <c r="C325" s="2" t="s">
        <v>15</v>
      </c>
      <c r="D325" s="2" t="s">
        <v>11</v>
      </c>
      <c r="E325" s="2" t="s">
        <v>13</v>
      </c>
      <c r="F325" s="2" t="s">
        <v>186</v>
      </c>
      <c r="G325" s="2" t="s">
        <v>14</v>
      </c>
      <c r="H325" s="2" t="s">
        <v>16</v>
      </c>
      <c r="I325" s="2" t="s">
        <v>12</v>
      </c>
    </row>
    <row r="326" spans="1:9" ht="14.4">
      <c r="A326" s="2" t="s">
        <v>191</v>
      </c>
      <c r="B326" s="2" t="s">
        <v>10</v>
      </c>
      <c r="C326" s="2" t="s">
        <v>15</v>
      </c>
      <c r="D326" s="2" t="s">
        <v>12</v>
      </c>
      <c r="E326" s="2" t="s">
        <v>13</v>
      </c>
      <c r="F326" s="2" t="s">
        <v>186</v>
      </c>
      <c r="G326" s="2" t="s">
        <v>14</v>
      </c>
      <c r="H326" s="2" t="s">
        <v>16</v>
      </c>
      <c r="I326" s="2" t="s">
        <v>17</v>
      </c>
    </row>
    <row r="327" spans="1:9" ht="14.4">
      <c r="A327" s="2" t="s">
        <v>190</v>
      </c>
      <c r="B327" s="2" t="s">
        <v>10</v>
      </c>
      <c r="C327" s="2" t="s">
        <v>15</v>
      </c>
      <c r="D327" s="2" t="s">
        <v>11</v>
      </c>
      <c r="E327" s="2" t="s">
        <v>13</v>
      </c>
      <c r="F327" s="2" t="s">
        <v>186</v>
      </c>
      <c r="G327" s="2" t="s">
        <v>14</v>
      </c>
      <c r="H327" s="2" t="s">
        <v>16</v>
      </c>
      <c r="I327" s="2" t="s">
        <v>17</v>
      </c>
    </row>
    <row r="328" spans="1:9" ht="14.4">
      <c r="A328" s="2" t="s">
        <v>189</v>
      </c>
      <c r="B328" s="2" t="s">
        <v>10</v>
      </c>
      <c r="C328" s="2" t="s">
        <v>11</v>
      </c>
      <c r="D328" s="2" t="s">
        <v>12</v>
      </c>
      <c r="E328" s="2" t="s">
        <v>13</v>
      </c>
      <c r="F328" s="2" t="s">
        <v>186</v>
      </c>
      <c r="G328" s="2" t="s">
        <v>15</v>
      </c>
      <c r="H328" s="2" t="s">
        <v>16</v>
      </c>
      <c r="I328" s="2" t="s">
        <v>17</v>
      </c>
    </row>
    <row r="329" spans="1:9" ht="14.4">
      <c r="A329" s="2" t="s">
        <v>188</v>
      </c>
      <c r="B329" s="2" t="s">
        <v>10</v>
      </c>
      <c r="C329" s="2" t="s">
        <v>11</v>
      </c>
      <c r="D329" s="2" t="s">
        <v>12</v>
      </c>
      <c r="E329" s="2" t="s">
        <v>13</v>
      </c>
      <c r="F329" s="2" t="s">
        <v>186</v>
      </c>
      <c r="G329" s="2" t="s">
        <v>14</v>
      </c>
      <c r="H329" s="2" t="s">
        <v>16</v>
      </c>
      <c r="I329" s="2" t="s">
        <v>17</v>
      </c>
    </row>
    <row r="330" spans="1:9" ht="14.4">
      <c r="A330" s="2" t="s">
        <v>187</v>
      </c>
      <c r="B330" s="2" t="s">
        <v>10</v>
      </c>
      <c r="C330" s="2" t="s">
        <v>11</v>
      </c>
      <c r="D330" s="2" t="s">
        <v>12</v>
      </c>
      <c r="E330" s="2" t="s">
        <v>186</v>
      </c>
      <c r="F330" s="2" t="s">
        <v>14</v>
      </c>
      <c r="G330" s="2" t="s">
        <v>15</v>
      </c>
      <c r="H330" s="2" t="s">
        <v>16</v>
      </c>
      <c r="I330" s="2" t="s">
        <v>17</v>
      </c>
    </row>
    <row r="331" spans="1:9" ht="14.4">
      <c r="A331" s="2" t="s">
        <v>185</v>
      </c>
      <c r="B331" s="2" t="s">
        <v>14</v>
      </c>
      <c r="C331" s="2" t="s">
        <v>11</v>
      </c>
      <c r="D331" s="2" t="s">
        <v>12</v>
      </c>
      <c r="E331" s="2" t="s">
        <v>13</v>
      </c>
      <c r="F331" s="2" t="s">
        <v>186</v>
      </c>
      <c r="G331" s="2" t="s">
        <v>15</v>
      </c>
      <c r="H331" s="2" t="s">
        <v>16</v>
      </c>
      <c r="I331" s="2" t="s">
        <v>17</v>
      </c>
    </row>
    <row r="332" spans="1:9" ht="14.4">
      <c r="A332" s="2" t="s">
        <v>184</v>
      </c>
      <c r="B332" s="2" t="s">
        <v>28</v>
      </c>
      <c r="C332" s="2" t="s">
        <v>15</v>
      </c>
      <c r="D332" s="2" t="s">
        <v>65</v>
      </c>
      <c r="E332" s="2" t="s">
        <v>19</v>
      </c>
      <c r="F332" s="2" t="s">
        <v>14</v>
      </c>
      <c r="G332" s="2" t="s">
        <v>13</v>
      </c>
      <c r="H332" s="2" t="s">
        <v>10</v>
      </c>
      <c r="I332" s="2" t="s">
        <v>12</v>
      </c>
    </row>
    <row r="333" spans="1:9" ht="14.4">
      <c r="A333" s="2" t="s">
        <v>183</v>
      </c>
      <c r="B333" s="2" t="s">
        <v>14</v>
      </c>
      <c r="C333" s="2" t="s">
        <v>15</v>
      </c>
      <c r="D333" s="2" t="s">
        <v>65</v>
      </c>
      <c r="E333" s="2" t="s">
        <v>28</v>
      </c>
      <c r="F333" s="2" t="s">
        <v>11</v>
      </c>
      <c r="G333" s="2" t="s">
        <v>13</v>
      </c>
      <c r="H333" s="2" t="s">
        <v>19</v>
      </c>
      <c r="I333" s="2" t="s">
        <v>10</v>
      </c>
    </row>
    <row r="334" spans="1:9" ht="14.4">
      <c r="A334" s="2" t="s">
        <v>182</v>
      </c>
      <c r="B334" s="2" t="s">
        <v>28</v>
      </c>
      <c r="C334" s="2" t="s">
        <v>15</v>
      </c>
      <c r="D334" s="2" t="s">
        <v>65</v>
      </c>
      <c r="E334" s="2" t="s">
        <v>19</v>
      </c>
      <c r="F334" s="2" t="s">
        <v>14</v>
      </c>
      <c r="G334" s="2" t="s">
        <v>13</v>
      </c>
      <c r="H334" s="2" t="s">
        <v>10</v>
      </c>
      <c r="I334" s="2" t="s">
        <v>17</v>
      </c>
    </row>
    <row r="335" spans="1:9" ht="14.4">
      <c r="A335" s="2" t="s">
        <v>181</v>
      </c>
      <c r="B335" s="2" t="s">
        <v>28</v>
      </c>
      <c r="C335" s="2" t="s">
        <v>15</v>
      </c>
      <c r="D335" s="2" t="s">
        <v>65</v>
      </c>
      <c r="E335" s="2" t="s">
        <v>19</v>
      </c>
      <c r="F335" s="2" t="s">
        <v>14</v>
      </c>
      <c r="G335" s="2" t="s">
        <v>13</v>
      </c>
      <c r="H335" s="2" t="s">
        <v>16</v>
      </c>
      <c r="I335" s="2" t="s">
        <v>10</v>
      </c>
    </row>
    <row r="336" spans="1:9" ht="14.4">
      <c r="A336" s="2" t="s">
        <v>180</v>
      </c>
      <c r="B336" s="2" t="s">
        <v>28</v>
      </c>
      <c r="C336" s="2" t="s">
        <v>15</v>
      </c>
      <c r="D336" s="2" t="s">
        <v>65</v>
      </c>
      <c r="E336" s="2" t="s">
        <v>19</v>
      </c>
      <c r="F336" s="2" t="s">
        <v>11</v>
      </c>
      <c r="G336" s="2" t="s">
        <v>13</v>
      </c>
      <c r="H336" s="2" t="s">
        <v>10</v>
      </c>
      <c r="I336" s="2" t="s">
        <v>12</v>
      </c>
    </row>
    <row r="337" spans="1:9" ht="14.4">
      <c r="A337" s="2" t="s">
        <v>179</v>
      </c>
      <c r="B337" s="2" t="s">
        <v>28</v>
      </c>
      <c r="C337" s="2" t="s">
        <v>15</v>
      </c>
      <c r="D337" s="2" t="s">
        <v>65</v>
      </c>
      <c r="E337" s="2" t="s">
        <v>19</v>
      </c>
      <c r="F337" s="2" t="s">
        <v>10</v>
      </c>
      <c r="G337" s="2" t="s">
        <v>13</v>
      </c>
      <c r="H337" s="2" t="s">
        <v>12</v>
      </c>
      <c r="I337" s="2" t="s">
        <v>17</v>
      </c>
    </row>
    <row r="338" spans="1:9" ht="14.4">
      <c r="A338" s="2" t="s">
        <v>178</v>
      </c>
      <c r="B338" s="2" t="s">
        <v>28</v>
      </c>
      <c r="C338" s="2" t="s">
        <v>15</v>
      </c>
      <c r="D338" s="2" t="s">
        <v>65</v>
      </c>
      <c r="E338" s="2" t="s">
        <v>19</v>
      </c>
      <c r="F338" s="2" t="s">
        <v>10</v>
      </c>
      <c r="G338" s="2" t="s">
        <v>13</v>
      </c>
      <c r="H338" s="2" t="s">
        <v>16</v>
      </c>
      <c r="I338" s="2" t="s">
        <v>12</v>
      </c>
    </row>
    <row r="339" spans="1:9" ht="14.4">
      <c r="A339" s="2" t="s">
        <v>177</v>
      </c>
      <c r="B339" s="2" t="s">
        <v>28</v>
      </c>
      <c r="C339" s="2" t="s">
        <v>15</v>
      </c>
      <c r="D339" s="2" t="s">
        <v>65</v>
      </c>
      <c r="E339" s="2" t="s">
        <v>19</v>
      </c>
      <c r="F339" s="2" t="s">
        <v>11</v>
      </c>
      <c r="G339" s="2" t="s">
        <v>13</v>
      </c>
      <c r="H339" s="2" t="s">
        <v>10</v>
      </c>
      <c r="I339" s="2" t="s">
        <v>17</v>
      </c>
    </row>
    <row r="340" spans="1:9" ht="14.4">
      <c r="A340" s="2" t="s">
        <v>176</v>
      </c>
      <c r="B340" s="2" t="s">
        <v>28</v>
      </c>
      <c r="C340" s="2" t="s">
        <v>15</v>
      </c>
      <c r="D340" s="2" t="s">
        <v>65</v>
      </c>
      <c r="E340" s="2" t="s">
        <v>19</v>
      </c>
      <c r="F340" s="2" t="s">
        <v>11</v>
      </c>
      <c r="G340" s="2" t="s">
        <v>13</v>
      </c>
      <c r="H340" s="2" t="s">
        <v>16</v>
      </c>
      <c r="I340" s="2" t="s">
        <v>10</v>
      </c>
    </row>
    <row r="341" spans="1:9" ht="14.4">
      <c r="A341" s="2" t="s">
        <v>175</v>
      </c>
      <c r="B341" s="2" t="s">
        <v>28</v>
      </c>
      <c r="C341" s="2" t="s">
        <v>15</v>
      </c>
      <c r="D341" s="2" t="s">
        <v>65</v>
      </c>
      <c r="E341" s="2" t="s">
        <v>19</v>
      </c>
      <c r="F341" s="2" t="s">
        <v>10</v>
      </c>
      <c r="G341" s="2" t="s">
        <v>13</v>
      </c>
      <c r="H341" s="2" t="s">
        <v>16</v>
      </c>
      <c r="I341" s="2" t="s">
        <v>17</v>
      </c>
    </row>
    <row r="342" spans="1:9" ht="14.4">
      <c r="A342" s="2" t="s">
        <v>174</v>
      </c>
      <c r="B342" s="2" t="s">
        <v>28</v>
      </c>
      <c r="C342" s="2" t="s">
        <v>11</v>
      </c>
      <c r="D342" s="2" t="s">
        <v>65</v>
      </c>
      <c r="E342" s="2" t="s">
        <v>19</v>
      </c>
      <c r="F342" s="2" t="s">
        <v>14</v>
      </c>
      <c r="G342" s="2" t="s">
        <v>13</v>
      </c>
      <c r="H342" s="2" t="s">
        <v>10</v>
      </c>
      <c r="I342" s="2" t="s">
        <v>12</v>
      </c>
    </row>
    <row r="343" spans="1:9" ht="14.4">
      <c r="A343" s="2" t="s">
        <v>173</v>
      </c>
      <c r="B343" s="2" t="s">
        <v>28</v>
      </c>
      <c r="C343" s="2" t="s">
        <v>10</v>
      </c>
      <c r="D343" s="2" t="s">
        <v>65</v>
      </c>
      <c r="E343" s="2" t="s">
        <v>19</v>
      </c>
      <c r="F343" s="2" t="s">
        <v>14</v>
      </c>
      <c r="G343" s="2" t="s">
        <v>13</v>
      </c>
      <c r="H343" s="2" t="s">
        <v>12</v>
      </c>
      <c r="I343" s="2" t="s">
        <v>17</v>
      </c>
    </row>
    <row r="344" spans="1:9" ht="14.4">
      <c r="A344" s="2" t="s">
        <v>172</v>
      </c>
      <c r="B344" s="2" t="s">
        <v>28</v>
      </c>
      <c r="C344" s="2" t="s">
        <v>10</v>
      </c>
      <c r="D344" s="2" t="s">
        <v>65</v>
      </c>
      <c r="E344" s="2" t="s">
        <v>19</v>
      </c>
      <c r="F344" s="2" t="s">
        <v>14</v>
      </c>
      <c r="G344" s="2" t="s">
        <v>13</v>
      </c>
      <c r="H344" s="2" t="s">
        <v>16</v>
      </c>
      <c r="I344" s="2" t="s">
        <v>12</v>
      </c>
    </row>
    <row r="345" spans="1:9" ht="14.4">
      <c r="A345" s="2" t="s">
        <v>171</v>
      </c>
      <c r="B345" s="2" t="s">
        <v>28</v>
      </c>
      <c r="C345" s="2" t="s">
        <v>11</v>
      </c>
      <c r="D345" s="2" t="s">
        <v>65</v>
      </c>
      <c r="E345" s="2" t="s">
        <v>19</v>
      </c>
      <c r="F345" s="2" t="s">
        <v>14</v>
      </c>
      <c r="G345" s="2" t="s">
        <v>13</v>
      </c>
      <c r="H345" s="2" t="s">
        <v>10</v>
      </c>
      <c r="I345" s="2" t="s">
        <v>17</v>
      </c>
    </row>
    <row r="346" spans="1:9" ht="14.4">
      <c r="A346" s="2" t="s">
        <v>170</v>
      </c>
      <c r="B346" s="2" t="s">
        <v>28</v>
      </c>
      <c r="C346" s="2" t="s">
        <v>11</v>
      </c>
      <c r="D346" s="2" t="s">
        <v>65</v>
      </c>
      <c r="E346" s="2" t="s">
        <v>19</v>
      </c>
      <c r="F346" s="2" t="s">
        <v>14</v>
      </c>
      <c r="G346" s="2" t="s">
        <v>13</v>
      </c>
      <c r="H346" s="2" t="s">
        <v>16</v>
      </c>
      <c r="I346" s="2" t="s">
        <v>10</v>
      </c>
    </row>
    <row r="347" spans="1:9" ht="14.4">
      <c r="A347" s="2" t="s">
        <v>169</v>
      </c>
      <c r="B347" s="2" t="s">
        <v>28</v>
      </c>
      <c r="C347" s="2" t="s">
        <v>10</v>
      </c>
      <c r="D347" s="2" t="s">
        <v>65</v>
      </c>
      <c r="E347" s="2" t="s">
        <v>19</v>
      </c>
      <c r="F347" s="2" t="s">
        <v>14</v>
      </c>
      <c r="G347" s="2" t="s">
        <v>13</v>
      </c>
      <c r="H347" s="2" t="s">
        <v>16</v>
      </c>
      <c r="I347" s="2" t="s">
        <v>17</v>
      </c>
    </row>
    <row r="348" spans="1:9" ht="14.4">
      <c r="A348" s="2" t="s">
        <v>168</v>
      </c>
      <c r="B348" s="2" t="s">
        <v>28</v>
      </c>
      <c r="C348" s="2" t="s">
        <v>11</v>
      </c>
      <c r="D348" s="2" t="s">
        <v>65</v>
      </c>
      <c r="E348" s="2" t="s">
        <v>19</v>
      </c>
      <c r="F348" s="2" t="s">
        <v>10</v>
      </c>
      <c r="G348" s="2" t="s">
        <v>13</v>
      </c>
      <c r="H348" s="2" t="s">
        <v>12</v>
      </c>
      <c r="I348" s="2" t="s">
        <v>17</v>
      </c>
    </row>
    <row r="349" spans="1:9" ht="14.4">
      <c r="A349" s="2" t="s">
        <v>167</v>
      </c>
      <c r="B349" s="2" t="s">
        <v>28</v>
      </c>
      <c r="C349" s="2" t="s">
        <v>11</v>
      </c>
      <c r="D349" s="2" t="s">
        <v>65</v>
      </c>
      <c r="E349" s="2" t="s">
        <v>19</v>
      </c>
      <c r="F349" s="2" t="s">
        <v>10</v>
      </c>
      <c r="G349" s="2" t="s">
        <v>13</v>
      </c>
      <c r="H349" s="2" t="s">
        <v>16</v>
      </c>
      <c r="I349" s="2" t="s">
        <v>12</v>
      </c>
    </row>
    <row r="350" spans="1:9" ht="14.4">
      <c r="A350" s="2" t="s">
        <v>166</v>
      </c>
      <c r="B350" s="2" t="s">
        <v>28</v>
      </c>
      <c r="C350" s="2" t="s">
        <v>10</v>
      </c>
      <c r="D350" s="2" t="s">
        <v>65</v>
      </c>
      <c r="E350" s="2" t="s">
        <v>19</v>
      </c>
      <c r="F350" s="2" t="s">
        <v>12</v>
      </c>
      <c r="G350" s="2" t="s">
        <v>13</v>
      </c>
      <c r="H350" s="2" t="s">
        <v>16</v>
      </c>
      <c r="I350" s="2" t="s">
        <v>17</v>
      </c>
    </row>
    <row r="351" spans="1:9" ht="14.4">
      <c r="A351" s="2" t="s">
        <v>165</v>
      </c>
      <c r="B351" s="2" t="s">
        <v>28</v>
      </c>
      <c r="C351" s="2" t="s">
        <v>11</v>
      </c>
      <c r="D351" s="2" t="s">
        <v>65</v>
      </c>
      <c r="E351" s="2" t="s">
        <v>19</v>
      </c>
      <c r="F351" s="2" t="s">
        <v>10</v>
      </c>
      <c r="G351" s="2" t="s">
        <v>13</v>
      </c>
      <c r="H351" s="2" t="s">
        <v>16</v>
      </c>
      <c r="I351" s="2" t="s">
        <v>17</v>
      </c>
    </row>
    <row r="352" spans="1:9" ht="14.4">
      <c r="A352" s="2" t="s">
        <v>164</v>
      </c>
      <c r="B352" s="2" t="s">
        <v>14</v>
      </c>
      <c r="C352" s="2" t="s">
        <v>15</v>
      </c>
      <c r="D352" s="2" t="s">
        <v>65</v>
      </c>
      <c r="E352" s="2" t="s">
        <v>28</v>
      </c>
      <c r="F352" s="2" t="s">
        <v>11</v>
      </c>
      <c r="G352" s="2" t="s">
        <v>19</v>
      </c>
      <c r="H352" s="2" t="s">
        <v>10</v>
      </c>
      <c r="I352" s="2" t="s">
        <v>12</v>
      </c>
    </row>
    <row r="353" spans="1:9" ht="14.4">
      <c r="A353" s="2" t="s">
        <v>163</v>
      </c>
      <c r="B353" s="2" t="s">
        <v>10</v>
      </c>
      <c r="C353" s="2" t="s">
        <v>15</v>
      </c>
      <c r="D353" s="2" t="s">
        <v>65</v>
      </c>
      <c r="E353" s="2" t="s">
        <v>28</v>
      </c>
      <c r="F353" s="2" t="s">
        <v>14</v>
      </c>
      <c r="G353" s="2" t="s">
        <v>19</v>
      </c>
      <c r="H353" s="2" t="s">
        <v>12</v>
      </c>
      <c r="I353" s="2" t="s">
        <v>17</v>
      </c>
    </row>
    <row r="354" spans="1:9" ht="14.4">
      <c r="A354" s="2" t="s">
        <v>162</v>
      </c>
      <c r="B354" s="2" t="s">
        <v>10</v>
      </c>
      <c r="C354" s="2" t="s">
        <v>15</v>
      </c>
      <c r="D354" s="2" t="s">
        <v>65</v>
      </c>
      <c r="E354" s="2" t="s">
        <v>28</v>
      </c>
      <c r="F354" s="2" t="s">
        <v>14</v>
      </c>
      <c r="G354" s="2" t="s">
        <v>19</v>
      </c>
      <c r="H354" s="2" t="s">
        <v>16</v>
      </c>
      <c r="I354" s="2" t="s">
        <v>12</v>
      </c>
    </row>
    <row r="355" spans="1:9" ht="14.4">
      <c r="A355" s="2" t="s">
        <v>161</v>
      </c>
      <c r="B355" s="2" t="s">
        <v>14</v>
      </c>
      <c r="C355" s="2" t="s">
        <v>15</v>
      </c>
      <c r="D355" s="2" t="s">
        <v>65</v>
      </c>
      <c r="E355" s="2" t="s">
        <v>28</v>
      </c>
      <c r="F355" s="2" t="s">
        <v>11</v>
      </c>
      <c r="G355" s="2" t="s">
        <v>19</v>
      </c>
      <c r="H355" s="2" t="s">
        <v>10</v>
      </c>
      <c r="I355" s="2" t="s">
        <v>17</v>
      </c>
    </row>
    <row r="356" spans="1:9" ht="14.4">
      <c r="A356" s="2" t="s">
        <v>160</v>
      </c>
      <c r="B356" s="2" t="s">
        <v>14</v>
      </c>
      <c r="C356" s="2" t="s">
        <v>15</v>
      </c>
      <c r="D356" s="2" t="s">
        <v>65</v>
      </c>
      <c r="E356" s="2" t="s">
        <v>28</v>
      </c>
      <c r="F356" s="2" t="s">
        <v>11</v>
      </c>
      <c r="G356" s="2" t="s">
        <v>19</v>
      </c>
      <c r="H356" s="2" t="s">
        <v>16</v>
      </c>
      <c r="I356" s="2" t="s">
        <v>10</v>
      </c>
    </row>
    <row r="357" spans="1:9" ht="14.4">
      <c r="A357" s="2" t="s">
        <v>159</v>
      </c>
      <c r="B357" s="2" t="s">
        <v>10</v>
      </c>
      <c r="C357" s="2" t="s">
        <v>15</v>
      </c>
      <c r="D357" s="2" t="s">
        <v>65</v>
      </c>
      <c r="E357" s="2" t="s">
        <v>28</v>
      </c>
      <c r="F357" s="2" t="s">
        <v>14</v>
      </c>
      <c r="G357" s="2" t="s">
        <v>19</v>
      </c>
      <c r="H357" s="2" t="s">
        <v>16</v>
      </c>
      <c r="I357" s="2" t="s">
        <v>17</v>
      </c>
    </row>
    <row r="358" spans="1:9" ht="14.4">
      <c r="A358" s="2" t="s">
        <v>158</v>
      </c>
      <c r="B358" s="2" t="s">
        <v>10</v>
      </c>
      <c r="C358" s="2" t="s">
        <v>15</v>
      </c>
      <c r="D358" s="2" t="s">
        <v>65</v>
      </c>
      <c r="E358" s="2" t="s">
        <v>28</v>
      </c>
      <c r="F358" s="2" t="s">
        <v>11</v>
      </c>
      <c r="G358" s="2" t="s">
        <v>19</v>
      </c>
      <c r="H358" s="2" t="s">
        <v>12</v>
      </c>
      <c r="I358" s="2" t="s">
        <v>17</v>
      </c>
    </row>
    <row r="359" spans="1:9" ht="14.4">
      <c r="A359" s="2" t="s">
        <v>157</v>
      </c>
      <c r="B359" s="2" t="s">
        <v>10</v>
      </c>
      <c r="C359" s="2" t="s">
        <v>15</v>
      </c>
      <c r="D359" s="2" t="s">
        <v>65</v>
      </c>
      <c r="E359" s="2" t="s">
        <v>28</v>
      </c>
      <c r="F359" s="2" t="s">
        <v>11</v>
      </c>
      <c r="G359" s="2" t="s">
        <v>19</v>
      </c>
      <c r="H359" s="2" t="s">
        <v>16</v>
      </c>
      <c r="I359" s="2" t="s">
        <v>12</v>
      </c>
    </row>
    <row r="360" spans="1:9" ht="14.4">
      <c r="A360" s="2" t="s">
        <v>156</v>
      </c>
      <c r="B360" s="2" t="s">
        <v>10</v>
      </c>
      <c r="C360" s="2" t="s">
        <v>15</v>
      </c>
      <c r="D360" s="2" t="s">
        <v>65</v>
      </c>
      <c r="E360" s="2" t="s">
        <v>28</v>
      </c>
      <c r="F360" s="2" t="s">
        <v>12</v>
      </c>
      <c r="G360" s="2" t="s">
        <v>19</v>
      </c>
      <c r="H360" s="2" t="s">
        <v>16</v>
      </c>
      <c r="I360" s="2" t="s">
        <v>17</v>
      </c>
    </row>
    <row r="361" spans="1:9" ht="14.4">
      <c r="A361" s="2" t="s">
        <v>155</v>
      </c>
      <c r="B361" s="2" t="s">
        <v>10</v>
      </c>
      <c r="C361" s="2" t="s">
        <v>15</v>
      </c>
      <c r="D361" s="2" t="s">
        <v>65</v>
      </c>
      <c r="E361" s="2" t="s">
        <v>28</v>
      </c>
      <c r="F361" s="2" t="s">
        <v>11</v>
      </c>
      <c r="G361" s="2" t="s">
        <v>19</v>
      </c>
      <c r="H361" s="2" t="s">
        <v>16</v>
      </c>
      <c r="I361" s="2" t="s">
        <v>17</v>
      </c>
    </row>
    <row r="362" spans="1:9" ht="14.4">
      <c r="A362" s="2" t="s">
        <v>154</v>
      </c>
      <c r="B362" s="2" t="s">
        <v>10</v>
      </c>
      <c r="C362" s="2" t="s">
        <v>11</v>
      </c>
      <c r="D362" s="2" t="s">
        <v>65</v>
      </c>
      <c r="E362" s="2" t="s">
        <v>28</v>
      </c>
      <c r="F362" s="2" t="s">
        <v>14</v>
      </c>
      <c r="G362" s="2" t="s">
        <v>19</v>
      </c>
      <c r="H362" s="2" t="s">
        <v>12</v>
      </c>
      <c r="I362" s="2" t="s">
        <v>17</v>
      </c>
    </row>
    <row r="363" spans="1:9" ht="14.4">
      <c r="A363" s="2" t="s">
        <v>153</v>
      </c>
      <c r="B363" s="2" t="s">
        <v>10</v>
      </c>
      <c r="C363" s="2" t="s">
        <v>11</v>
      </c>
      <c r="D363" s="2" t="s">
        <v>65</v>
      </c>
      <c r="E363" s="2" t="s">
        <v>28</v>
      </c>
      <c r="F363" s="2" t="s">
        <v>14</v>
      </c>
      <c r="G363" s="2" t="s">
        <v>19</v>
      </c>
      <c r="H363" s="2" t="s">
        <v>16</v>
      </c>
      <c r="I363" s="2" t="s">
        <v>12</v>
      </c>
    </row>
    <row r="364" spans="1:9" ht="14.4">
      <c r="A364" s="2" t="s">
        <v>152</v>
      </c>
      <c r="B364" s="2" t="s">
        <v>10</v>
      </c>
      <c r="C364" s="2" t="s">
        <v>12</v>
      </c>
      <c r="D364" s="2" t="s">
        <v>65</v>
      </c>
      <c r="E364" s="2" t="s">
        <v>28</v>
      </c>
      <c r="F364" s="2" t="s">
        <v>14</v>
      </c>
      <c r="G364" s="2" t="s">
        <v>19</v>
      </c>
      <c r="H364" s="2" t="s">
        <v>16</v>
      </c>
      <c r="I364" s="2" t="s">
        <v>17</v>
      </c>
    </row>
    <row r="365" spans="1:9" ht="14.4">
      <c r="A365" s="2" t="s">
        <v>151</v>
      </c>
      <c r="B365" s="2" t="s">
        <v>10</v>
      </c>
      <c r="C365" s="2" t="s">
        <v>11</v>
      </c>
      <c r="D365" s="2" t="s">
        <v>65</v>
      </c>
      <c r="E365" s="2" t="s">
        <v>28</v>
      </c>
      <c r="F365" s="2" t="s">
        <v>14</v>
      </c>
      <c r="G365" s="2" t="s">
        <v>19</v>
      </c>
      <c r="H365" s="2" t="s">
        <v>16</v>
      </c>
      <c r="I365" s="2" t="s">
        <v>17</v>
      </c>
    </row>
    <row r="366" spans="1:9" ht="14.4">
      <c r="A366" s="2" t="s">
        <v>150</v>
      </c>
      <c r="B366" s="2" t="s">
        <v>10</v>
      </c>
      <c r="C366" s="2" t="s">
        <v>11</v>
      </c>
      <c r="D366" s="2" t="s">
        <v>65</v>
      </c>
      <c r="E366" s="2" t="s">
        <v>28</v>
      </c>
      <c r="F366" s="2" t="s">
        <v>12</v>
      </c>
      <c r="G366" s="2" t="s">
        <v>19</v>
      </c>
      <c r="H366" s="2" t="s">
        <v>16</v>
      </c>
      <c r="I366" s="2" t="s">
        <v>17</v>
      </c>
    </row>
    <row r="367" spans="1:9" ht="14.4">
      <c r="A367" s="2" t="s">
        <v>149</v>
      </c>
      <c r="B367" s="2" t="s">
        <v>14</v>
      </c>
      <c r="C367" s="2" t="s">
        <v>15</v>
      </c>
      <c r="D367" s="2" t="s">
        <v>65</v>
      </c>
      <c r="E367" s="2" t="s">
        <v>28</v>
      </c>
      <c r="F367" s="2" t="s">
        <v>11</v>
      </c>
      <c r="G367" s="2" t="s">
        <v>13</v>
      </c>
      <c r="H367" s="2" t="s">
        <v>19</v>
      </c>
      <c r="I367" s="2" t="s">
        <v>12</v>
      </c>
    </row>
    <row r="368" spans="1:9" ht="14.4">
      <c r="A368" s="2" t="s">
        <v>148</v>
      </c>
      <c r="B368" s="2" t="s">
        <v>28</v>
      </c>
      <c r="C368" s="2" t="s">
        <v>15</v>
      </c>
      <c r="D368" s="2" t="s">
        <v>65</v>
      </c>
      <c r="E368" s="2" t="s">
        <v>19</v>
      </c>
      <c r="F368" s="2" t="s">
        <v>14</v>
      </c>
      <c r="G368" s="2" t="s">
        <v>13</v>
      </c>
      <c r="H368" s="2" t="s">
        <v>12</v>
      </c>
      <c r="I368" s="2" t="s">
        <v>17</v>
      </c>
    </row>
    <row r="369" spans="1:9" ht="14.4">
      <c r="A369" s="2" t="s">
        <v>147</v>
      </c>
      <c r="B369" s="2" t="s">
        <v>28</v>
      </c>
      <c r="C369" s="2" t="s">
        <v>15</v>
      </c>
      <c r="D369" s="2" t="s">
        <v>65</v>
      </c>
      <c r="E369" s="2" t="s">
        <v>19</v>
      </c>
      <c r="F369" s="2" t="s">
        <v>14</v>
      </c>
      <c r="G369" s="2" t="s">
        <v>13</v>
      </c>
      <c r="H369" s="2" t="s">
        <v>16</v>
      </c>
      <c r="I369" s="2" t="s">
        <v>12</v>
      </c>
    </row>
    <row r="370" spans="1:9" ht="14.4">
      <c r="A370" s="2" t="s">
        <v>146</v>
      </c>
      <c r="B370" s="2" t="s">
        <v>14</v>
      </c>
      <c r="C370" s="2" t="s">
        <v>15</v>
      </c>
      <c r="D370" s="2" t="s">
        <v>65</v>
      </c>
      <c r="E370" s="2" t="s">
        <v>28</v>
      </c>
      <c r="F370" s="2" t="s">
        <v>11</v>
      </c>
      <c r="G370" s="2" t="s">
        <v>13</v>
      </c>
      <c r="H370" s="2" t="s">
        <v>19</v>
      </c>
      <c r="I370" s="2" t="s">
        <v>17</v>
      </c>
    </row>
    <row r="371" spans="1:9" ht="14.4">
      <c r="A371" s="2" t="s">
        <v>145</v>
      </c>
      <c r="B371" s="2" t="s">
        <v>28</v>
      </c>
      <c r="C371" s="2" t="s">
        <v>15</v>
      </c>
      <c r="D371" s="2" t="s">
        <v>65</v>
      </c>
      <c r="E371" s="2" t="s">
        <v>19</v>
      </c>
      <c r="F371" s="2" t="s">
        <v>14</v>
      </c>
      <c r="G371" s="2" t="s">
        <v>13</v>
      </c>
      <c r="H371" s="2" t="s">
        <v>16</v>
      </c>
      <c r="I371" s="2" t="s">
        <v>11</v>
      </c>
    </row>
    <row r="372" spans="1:9" ht="14.4">
      <c r="A372" s="2" t="s">
        <v>144</v>
      </c>
      <c r="B372" s="2" t="s">
        <v>28</v>
      </c>
      <c r="C372" s="2" t="s">
        <v>15</v>
      </c>
      <c r="D372" s="2" t="s">
        <v>65</v>
      </c>
      <c r="E372" s="2" t="s">
        <v>19</v>
      </c>
      <c r="F372" s="2" t="s">
        <v>14</v>
      </c>
      <c r="G372" s="2" t="s">
        <v>13</v>
      </c>
      <c r="H372" s="2" t="s">
        <v>16</v>
      </c>
      <c r="I372" s="2" t="s">
        <v>17</v>
      </c>
    </row>
    <row r="373" spans="1:9" ht="14.4">
      <c r="A373" s="2" t="s">
        <v>143</v>
      </c>
      <c r="B373" s="2" t="s">
        <v>28</v>
      </c>
      <c r="C373" s="2" t="s">
        <v>15</v>
      </c>
      <c r="D373" s="2" t="s">
        <v>65</v>
      </c>
      <c r="E373" s="2" t="s">
        <v>19</v>
      </c>
      <c r="F373" s="2" t="s">
        <v>11</v>
      </c>
      <c r="G373" s="2" t="s">
        <v>13</v>
      </c>
      <c r="H373" s="2" t="s">
        <v>12</v>
      </c>
      <c r="I373" s="2" t="s">
        <v>17</v>
      </c>
    </row>
    <row r="374" spans="1:9" ht="14.4">
      <c r="A374" s="2" t="s">
        <v>142</v>
      </c>
      <c r="B374" s="2" t="s">
        <v>28</v>
      </c>
      <c r="C374" s="2" t="s">
        <v>15</v>
      </c>
      <c r="D374" s="2" t="s">
        <v>65</v>
      </c>
      <c r="E374" s="2" t="s">
        <v>19</v>
      </c>
      <c r="F374" s="2" t="s">
        <v>11</v>
      </c>
      <c r="G374" s="2" t="s">
        <v>13</v>
      </c>
      <c r="H374" s="2" t="s">
        <v>16</v>
      </c>
      <c r="I374" s="2" t="s">
        <v>12</v>
      </c>
    </row>
    <row r="375" spans="1:9" ht="14.4">
      <c r="A375" s="2" t="s">
        <v>141</v>
      </c>
      <c r="B375" s="2" t="s">
        <v>28</v>
      </c>
      <c r="C375" s="2" t="s">
        <v>15</v>
      </c>
      <c r="D375" s="2" t="s">
        <v>65</v>
      </c>
      <c r="E375" s="2" t="s">
        <v>19</v>
      </c>
      <c r="F375" s="2" t="s">
        <v>12</v>
      </c>
      <c r="G375" s="2" t="s">
        <v>13</v>
      </c>
      <c r="H375" s="2" t="s">
        <v>16</v>
      </c>
      <c r="I375" s="2" t="s">
        <v>17</v>
      </c>
    </row>
    <row r="376" spans="1:9" ht="14.4">
      <c r="A376" s="2" t="s">
        <v>140</v>
      </c>
      <c r="B376" s="2" t="s">
        <v>28</v>
      </c>
      <c r="C376" s="2" t="s">
        <v>15</v>
      </c>
      <c r="D376" s="2" t="s">
        <v>65</v>
      </c>
      <c r="E376" s="2" t="s">
        <v>19</v>
      </c>
      <c r="F376" s="2" t="s">
        <v>11</v>
      </c>
      <c r="G376" s="2" t="s">
        <v>13</v>
      </c>
      <c r="H376" s="2" t="s">
        <v>16</v>
      </c>
      <c r="I376" s="2" t="s">
        <v>17</v>
      </c>
    </row>
    <row r="377" spans="1:9" ht="14.4">
      <c r="A377" s="2" t="s">
        <v>139</v>
      </c>
      <c r="B377" s="2" t="s">
        <v>28</v>
      </c>
      <c r="C377" s="2" t="s">
        <v>11</v>
      </c>
      <c r="D377" s="2" t="s">
        <v>65</v>
      </c>
      <c r="E377" s="2" t="s">
        <v>19</v>
      </c>
      <c r="F377" s="2" t="s">
        <v>14</v>
      </c>
      <c r="G377" s="2" t="s">
        <v>13</v>
      </c>
      <c r="H377" s="2" t="s">
        <v>12</v>
      </c>
      <c r="I377" s="2" t="s">
        <v>17</v>
      </c>
    </row>
    <row r="378" spans="1:9" ht="14.4">
      <c r="A378" s="2" t="s">
        <v>138</v>
      </c>
      <c r="B378" s="2" t="s">
        <v>28</v>
      </c>
      <c r="C378" s="2" t="s">
        <v>11</v>
      </c>
      <c r="D378" s="2" t="s">
        <v>65</v>
      </c>
      <c r="E378" s="2" t="s">
        <v>19</v>
      </c>
      <c r="F378" s="2" t="s">
        <v>14</v>
      </c>
      <c r="G378" s="2" t="s">
        <v>13</v>
      </c>
      <c r="H378" s="2" t="s">
        <v>16</v>
      </c>
      <c r="I378" s="2" t="s">
        <v>12</v>
      </c>
    </row>
    <row r="379" spans="1:9" ht="14.4">
      <c r="A379" s="2" t="s">
        <v>137</v>
      </c>
      <c r="B379" s="2" t="s">
        <v>28</v>
      </c>
      <c r="C379" s="2" t="s">
        <v>12</v>
      </c>
      <c r="D379" s="2" t="s">
        <v>65</v>
      </c>
      <c r="E379" s="2" t="s">
        <v>19</v>
      </c>
      <c r="F379" s="2" t="s">
        <v>14</v>
      </c>
      <c r="G379" s="2" t="s">
        <v>13</v>
      </c>
      <c r="H379" s="2" t="s">
        <v>16</v>
      </c>
      <c r="I379" s="2" t="s">
        <v>17</v>
      </c>
    </row>
    <row r="380" spans="1:9" ht="14.4">
      <c r="A380" s="2" t="s">
        <v>136</v>
      </c>
      <c r="B380" s="2" t="s">
        <v>28</v>
      </c>
      <c r="C380" s="2" t="s">
        <v>11</v>
      </c>
      <c r="D380" s="2" t="s">
        <v>65</v>
      </c>
      <c r="E380" s="2" t="s">
        <v>19</v>
      </c>
      <c r="F380" s="2" t="s">
        <v>14</v>
      </c>
      <c r="G380" s="2" t="s">
        <v>13</v>
      </c>
      <c r="H380" s="2" t="s">
        <v>16</v>
      </c>
      <c r="I380" s="2" t="s">
        <v>17</v>
      </c>
    </row>
    <row r="381" spans="1:9" ht="14.4">
      <c r="A381" s="2" t="s">
        <v>135</v>
      </c>
      <c r="B381" s="2" t="s">
        <v>28</v>
      </c>
      <c r="C381" s="2" t="s">
        <v>11</v>
      </c>
      <c r="D381" s="2" t="s">
        <v>65</v>
      </c>
      <c r="E381" s="2" t="s">
        <v>19</v>
      </c>
      <c r="F381" s="2" t="s">
        <v>12</v>
      </c>
      <c r="G381" s="2" t="s">
        <v>13</v>
      </c>
      <c r="H381" s="2" t="s">
        <v>16</v>
      </c>
      <c r="I381" s="2" t="s">
        <v>17</v>
      </c>
    </row>
    <row r="382" spans="1:9" ht="14.4">
      <c r="A382" s="2" t="s">
        <v>134</v>
      </c>
      <c r="B382" s="2" t="s">
        <v>14</v>
      </c>
      <c r="C382" s="2" t="s">
        <v>15</v>
      </c>
      <c r="D382" s="2" t="s">
        <v>65</v>
      </c>
      <c r="E382" s="2" t="s">
        <v>28</v>
      </c>
      <c r="F382" s="2" t="s">
        <v>11</v>
      </c>
      <c r="G382" s="2" t="s">
        <v>19</v>
      </c>
      <c r="H382" s="2" t="s">
        <v>12</v>
      </c>
      <c r="I382" s="2" t="s">
        <v>17</v>
      </c>
    </row>
    <row r="383" spans="1:9" ht="14.4">
      <c r="A383" s="2" t="s">
        <v>133</v>
      </c>
      <c r="B383" s="2" t="s">
        <v>14</v>
      </c>
      <c r="C383" s="2" t="s">
        <v>15</v>
      </c>
      <c r="D383" s="2" t="s">
        <v>65</v>
      </c>
      <c r="E383" s="2" t="s">
        <v>28</v>
      </c>
      <c r="F383" s="2" t="s">
        <v>11</v>
      </c>
      <c r="G383" s="2" t="s">
        <v>19</v>
      </c>
      <c r="H383" s="2" t="s">
        <v>16</v>
      </c>
      <c r="I383" s="2" t="s">
        <v>12</v>
      </c>
    </row>
    <row r="384" spans="1:9" ht="14.4">
      <c r="A384" s="2" t="s">
        <v>132</v>
      </c>
      <c r="B384" s="2" t="s">
        <v>14</v>
      </c>
      <c r="C384" s="2" t="s">
        <v>15</v>
      </c>
      <c r="D384" s="2" t="s">
        <v>65</v>
      </c>
      <c r="E384" s="2" t="s">
        <v>28</v>
      </c>
      <c r="F384" s="2" t="s">
        <v>12</v>
      </c>
      <c r="G384" s="2" t="s">
        <v>19</v>
      </c>
      <c r="H384" s="2" t="s">
        <v>16</v>
      </c>
      <c r="I384" s="2" t="s">
        <v>17</v>
      </c>
    </row>
    <row r="385" spans="1:9" ht="14.4">
      <c r="A385" s="2" t="s">
        <v>131</v>
      </c>
      <c r="B385" s="2" t="s">
        <v>14</v>
      </c>
      <c r="C385" s="2" t="s">
        <v>15</v>
      </c>
      <c r="D385" s="2" t="s">
        <v>65</v>
      </c>
      <c r="E385" s="2" t="s">
        <v>28</v>
      </c>
      <c r="F385" s="2" t="s">
        <v>11</v>
      </c>
      <c r="G385" s="2" t="s">
        <v>19</v>
      </c>
      <c r="H385" s="2" t="s">
        <v>16</v>
      </c>
      <c r="I385" s="2" t="s">
        <v>17</v>
      </c>
    </row>
    <row r="386" spans="1:9" ht="14.4">
      <c r="A386" s="2" t="s">
        <v>130</v>
      </c>
      <c r="B386" s="2" t="s">
        <v>12</v>
      </c>
      <c r="C386" s="2" t="s">
        <v>15</v>
      </c>
      <c r="D386" s="2" t="s">
        <v>65</v>
      </c>
      <c r="E386" s="2" t="s">
        <v>28</v>
      </c>
      <c r="F386" s="2" t="s">
        <v>11</v>
      </c>
      <c r="G386" s="2" t="s">
        <v>19</v>
      </c>
      <c r="H386" s="2" t="s">
        <v>16</v>
      </c>
      <c r="I386" s="2" t="s">
        <v>17</v>
      </c>
    </row>
    <row r="387" spans="1:9" ht="14.4">
      <c r="A387" s="2" t="s">
        <v>129</v>
      </c>
      <c r="B387" s="2" t="s">
        <v>14</v>
      </c>
      <c r="C387" s="2" t="s">
        <v>11</v>
      </c>
      <c r="D387" s="2" t="s">
        <v>65</v>
      </c>
      <c r="E387" s="2" t="s">
        <v>28</v>
      </c>
      <c r="F387" s="2" t="s">
        <v>12</v>
      </c>
      <c r="G387" s="2" t="s">
        <v>19</v>
      </c>
      <c r="H387" s="2" t="s">
        <v>16</v>
      </c>
      <c r="I387" s="2" t="s">
        <v>17</v>
      </c>
    </row>
    <row r="388" spans="1:9" ht="14.4">
      <c r="A388" s="2" t="s">
        <v>128</v>
      </c>
      <c r="B388" s="2" t="s">
        <v>14</v>
      </c>
      <c r="C388" s="2" t="s">
        <v>15</v>
      </c>
      <c r="D388" s="2" t="s">
        <v>65</v>
      </c>
      <c r="E388" s="2" t="s">
        <v>28</v>
      </c>
      <c r="F388" s="2" t="s">
        <v>11</v>
      </c>
      <c r="G388" s="2" t="s">
        <v>13</v>
      </c>
      <c r="H388" s="2" t="s">
        <v>10</v>
      </c>
      <c r="I388" s="2" t="s">
        <v>12</v>
      </c>
    </row>
    <row r="389" spans="1:9" ht="14.4">
      <c r="A389" s="2" t="s">
        <v>127</v>
      </c>
      <c r="B389" s="2" t="s">
        <v>10</v>
      </c>
      <c r="C389" s="2" t="s">
        <v>15</v>
      </c>
      <c r="D389" s="2" t="s">
        <v>65</v>
      </c>
      <c r="E389" s="2" t="s">
        <v>28</v>
      </c>
      <c r="F389" s="2" t="s">
        <v>14</v>
      </c>
      <c r="G389" s="2" t="s">
        <v>13</v>
      </c>
      <c r="H389" s="2" t="s">
        <v>12</v>
      </c>
      <c r="I389" s="2" t="s">
        <v>17</v>
      </c>
    </row>
    <row r="390" spans="1:9" ht="14.4">
      <c r="A390" s="2" t="s">
        <v>126</v>
      </c>
      <c r="B390" s="2" t="s">
        <v>10</v>
      </c>
      <c r="C390" s="2" t="s">
        <v>15</v>
      </c>
      <c r="D390" s="2" t="s">
        <v>65</v>
      </c>
      <c r="E390" s="2" t="s">
        <v>28</v>
      </c>
      <c r="F390" s="2" t="s">
        <v>14</v>
      </c>
      <c r="G390" s="2" t="s">
        <v>13</v>
      </c>
      <c r="H390" s="2" t="s">
        <v>16</v>
      </c>
      <c r="I390" s="2" t="s">
        <v>12</v>
      </c>
    </row>
    <row r="391" spans="1:9" ht="14.4">
      <c r="A391" s="2" t="s">
        <v>125</v>
      </c>
      <c r="B391" s="2" t="s">
        <v>14</v>
      </c>
      <c r="C391" s="2" t="s">
        <v>15</v>
      </c>
      <c r="D391" s="2" t="s">
        <v>65</v>
      </c>
      <c r="E391" s="2" t="s">
        <v>28</v>
      </c>
      <c r="F391" s="2" t="s">
        <v>11</v>
      </c>
      <c r="G391" s="2" t="s">
        <v>13</v>
      </c>
      <c r="H391" s="2" t="s">
        <v>10</v>
      </c>
      <c r="I391" s="2" t="s">
        <v>17</v>
      </c>
    </row>
    <row r="392" spans="1:9" ht="14.4">
      <c r="A392" s="2" t="s">
        <v>124</v>
      </c>
      <c r="B392" s="2" t="s">
        <v>14</v>
      </c>
      <c r="C392" s="2" t="s">
        <v>15</v>
      </c>
      <c r="D392" s="2" t="s">
        <v>65</v>
      </c>
      <c r="E392" s="2" t="s">
        <v>28</v>
      </c>
      <c r="F392" s="2" t="s">
        <v>11</v>
      </c>
      <c r="G392" s="2" t="s">
        <v>13</v>
      </c>
      <c r="H392" s="2" t="s">
        <v>16</v>
      </c>
      <c r="I392" s="2" t="s">
        <v>10</v>
      </c>
    </row>
    <row r="393" spans="1:9" ht="14.4">
      <c r="A393" s="2" t="s">
        <v>123</v>
      </c>
      <c r="B393" s="2" t="s">
        <v>10</v>
      </c>
      <c r="C393" s="2" t="s">
        <v>15</v>
      </c>
      <c r="D393" s="2" t="s">
        <v>65</v>
      </c>
      <c r="E393" s="2" t="s">
        <v>28</v>
      </c>
      <c r="F393" s="2" t="s">
        <v>14</v>
      </c>
      <c r="G393" s="2" t="s">
        <v>13</v>
      </c>
      <c r="H393" s="2" t="s">
        <v>16</v>
      </c>
      <c r="I393" s="2" t="s">
        <v>17</v>
      </c>
    </row>
    <row r="394" spans="1:9" ht="14.4">
      <c r="A394" s="2" t="s">
        <v>122</v>
      </c>
      <c r="B394" s="2" t="s">
        <v>10</v>
      </c>
      <c r="C394" s="2" t="s">
        <v>15</v>
      </c>
      <c r="D394" s="2" t="s">
        <v>65</v>
      </c>
      <c r="E394" s="2" t="s">
        <v>28</v>
      </c>
      <c r="F394" s="2" t="s">
        <v>11</v>
      </c>
      <c r="G394" s="2" t="s">
        <v>13</v>
      </c>
      <c r="H394" s="2" t="s">
        <v>12</v>
      </c>
      <c r="I394" s="2" t="s">
        <v>17</v>
      </c>
    </row>
    <row r="395" spans="1:9" ht="14.4">
      <c r="A395" s="2" t="s">
        <v>121</v>
      </c>
      <c r="B395" s="2" t="s">
        <v>10</v>
      </c>
      <c r="C395" s="2" t="s">
        <v>15</v>
      </c>
      <c r="D395" s="2" t="s">
        <v>65</v>
      </c>
      <c r="E395" s="2" t="s">
        <v>28</v>
      </c>
      <c r="F395" s="2" t="s">
        <v>11</v>
      </c>
      <c r="G395" s="2" t="s">
        <v>13</v>
      </c>
      <c r="H395" s="2" t="s">
        <v>16</v>
      </c>
      <c r="I395" s="2" t="s">
        <v>12</v>
      </c>
    </row>
    <row r="396" spans="1:9" ht="14.4">
      <c r="A396" s="2" t="s">
        <v>120</v>
      </c>
      <c r="B396" s="2" t="s">
        <v>10</v>
      </c>
      <c r="C396" s="2" t="s">
        <v>15</v>
      </c>
      <c r="D396" s="2" t="s">
        <v>65</v>
      </c>
      <c r="E396" s="2" t="s">
        <v>28</v>
      </c>
      <c r="F396" s="2" t="s">
        <v>12</v>
      </c>
      <c r="G396" s="2" t="s">
        <v>13</v>
      </c>
      <c r="H396" s="2" t="s">
        <v>16</v>
      </c>
      <c r="I396" s="2" t="s">
        <v>17</v>
      </c>
    </row>
    <row r="397" spans="1:9" ht="14.4">
      <c r="A397" s="2" t="s">
        <v>119</v>
      </c>
      <c r="B397" s="2" t="s">
        <v>10</v>
      </c>
      <c r="C397" s="2" t="s">
        <v>15</v>
      </c>
      <c r="D397" s="2" t="s">
        <v>65</v>
      </c>
      <c r="E397" s="2" t="s">
        <v>28</v>
      </c>
      <c r="F397" s="2" t="s">
        <v>11</v>
      </c>
      <c r="G397" s="2" t="s">
        <v>13</v>
      </c>
      <c r="H397" s="2" t="s">
        <v>16</v>
      </c>
      <c r="I397" s="2" t="s">
        <v>17</v>
      </c>
    </row>
    <row r="398" spans="1:9" ht="14.4">
      <c r="A398" s="2" t="s">
        <v>118</v>
      </c>
      <c r="B398" s="2" t="s">
        <v>10</v>
      </c>
      <c r="C398" s="2" t="s">
        <v>11</v>
      </c>
      <c r="D398" s="2" t="s">
        <v>65</v>
      </c>
      <c r="E398" s="2" t="s">
        <v>28</v>
      </c>
      <c r="F398" s="2" t="s">
        <v>14</v>
      </c>
      <c r="G398" s="2" t="s">
        <v>13</v>
      </c>
      <c r="H398" s="2" t="s">
        <v>12</v>
      </c>
      <c r="I398" s="2" t="s">
        <v>17</v>
      </c>
    </row>
    <row r="399" spans="1:9" ht="14.4">
      <c r="A399" s="2" t="s">
        <v>117</v>
      </c>
      <c r="B399" s="2" t="s">
        <v>10</v>
      </c>
      <c r="C399" s="2" t="s">
        <v>11</v>
      </c>
      <c r="D399" s="2" t="s">
        <v>65</v>
      </c>
      <c r="E399" s="2" t="s">
        <v>28</v>
      </c>
      <c r="F399" s="2" t="s">
        <v>14</v>
      </c>
      <c r="G399" s="2" t="s">
        <v>13</v>
      </c>
      <c r="H399" s="2" t="s">
        <v>16</v>
      </c>
      <c r="I399" s="2" t="s">
        <v>12</v>
      </c>
    </row>
    <row r="400" spans="1:9" ht="14.4">
      <c r="A400" s="2" t="s">
        <v>116</v>
      </c>
      <c r="B400" s="2" t="s">
        <v>10</v>
      </c>
      <c r="C400" s="2" t="s">
        <v>12</v>
      </c>
      <c r="D400" s="2" t="s">
        <v>65</v>
      </c>
      <c r="E400" s="2" t="s">
        <v>28</v>
      </c>
      <c r="F400" s="2" t="s">
        <v>14</v>
      </c>
      <c r="G400" s="2" t="s">
        <v>13</v>
      </c>
      <c r="H400" s="2" t="s">
        <v>16</v>
      </c>
      <c r="I400" s="2" t="s">
        <v>17</v>
      </c>
    </row>
    <row r="401" spans="1:9" ht="14.4">
      <c r="A401" s="2" t="s">
        <v>115</v>
      </c>
      <c r="B401" s="2" t="s">
        <v>10</v>
      </c>
      <c r="C401" s="2" t="s">
        <v>11</v>
      </c>
      <c r="D401" s="2" t="s">
        <v>65</v>
      </c>
      <c r="E401" s="2" t="s">
        <v>28</v>
      </c>
      <c r="F401" s="2" t="s">
        <v>14</v>
      </c>
      <c r="G401" s="2" t="s">
        <v>13</v>
      </c>
      <c r="H401" s="2" t="s">
        <v>16</v>
      </c>
      <c r="I401" s="2" t="s">
        <v>17</v>
      </c>
    </row>
    <row r="402" spans="1:9" ht="14.4">
      <c r="A402" s="2" t="s">
        <v>114</v>
      </c>
      <c r="B402" s="2" t="s">
        <v>10</v>
      </c>
      <c r="C402" s="2" t="s">
        <v>11</v>
      </c>
      <c r="D402" s="2" t="s">
        <v>65</v>
      </c>
      <c r="E402" s="2" t="s">
        <v>28</v>
      </c>
      <c r="F402" s="2" t="s">
        <v>12</v>
      </c>
      <c r="G402" s="2" t="s">
        <v>13</v>
      </c>
      <c r="H402" s="2" t="s">
        <v>16</v>
      </c>
      <c r="I402" s="2" t="s">
        <v>17</v>
      </c>
    </row>
    <row r="403" spans="1:9" ht="14.4">
      <c r="A403" s="2" t="s">
        <v>113</v>
      </c>
      <c r="B403" s="2" t="s">
        <v>10</v>
      </c>
      <c r="C403" s="2" t="s">
        <v>11</v>
      </c>
      <c r="D403" s="2" t="s">
        <v>65</v>
      </c>
      <c r="E403" s="2" t="s">
        <v>28</v>
      </c>
      <c r="F403" s="2" t="s">
        <v>14</v>
      </c>
      <c r="G403" s="2" t="s">
        <v>15</v>
      </c>
      <c r="H403" s="2" t="s">
        <v>12</v>
      </c>
      <c r="I403" s="2" t="s">
        <v>17</v>
      </c>
    </row>
    <row r="404" spans="1:9" ht="14.4">
      <c r="A404" s="2" t="s">
        <v>112</v>
      </c>
      <c r="B404" s="2" t="s">
        <v>10</v>
      </c>
      <c r="C404" s="2" t="s">
        <v>11</v>
      </c>
      <c r="D404" s="2" t="s">
        <v>65</v>
      </c>
      <c r="E404" s="2" t="s">
        <v>28</v>
      </c>
      <c r="F404" s="2" t="s">
        <v>14</v>
      </c>
      <c r="G404" s="2" t="s">
        <v>15</v>
      </c>
      <c r="H404" s="2" t="s">
        <v>16</v>
      </c>
      <c r="I404" s="2" t="s">
        <v>12</v>
      </c>
    </row>
    <row r="405" spans="1:9" ht="14.4">
      <c r="A405" s="2" t="s">
        <v>111</v>
      </c>
      <c r="B405" s="2" t="s">
        <v>10</v>
      </c>
      <c r="C405" s="2" t="s">
        <v>15</v>
      </c>
      <c r="D405" s="2" t="s">
        <v>65</v>
      </c>
      <c r="E405" s="2" t="s">
        <v>28</v>
      </c>
      <c r="F405" s="2" t="s">
        <v>12</v>
      </c>
      <c r="G405" s="2" t="s">
        <v>14</v>
      </c>
      <c r="H405" s="2" t="s">
        <v>16</v>
      </c>
      <c r="I405" s="2" t="s">
        <v>17</v>
      </c>
    </row>
    <row r="406" spans="1:9" ht="14.4">
      <c r="A406" s="2" t="s">
        <v>110</v>
      </c>
      <c r="B406" s="2" t="s">
        <v>10</v>
      </c>
      <c r="C406" s="2" t="s">
        <v>11</v>
      </c>
      <c r="D406" s="2" t="s">
        <v>65</v>
      </c>
      <c r="E406" s="2" t="s">
        <v>28</v>
      </c>
      <c r="F406" s="2" t="s">
        <v>14</v>
      </c>
      <c r="G406" s="2" t="s">
        <v>15</v>
      </c>
      <c r="H406" s="2" t="s">
        <v>16</v>
      </c>
      <c r="I406" s="2" t="s">
        <v>17</v>
      </c>
    </row>
    <row r="407" spans="1:9" ht="14.4">
      <c r="A407" s="2" t="s">
        <v>109</v>
      </c>
      <c r="B407" s="2" t="s">
        <v>10</v>
      </c>
      <c r="C407" s="2" t="s">
        <v>11</v>
      </c>
      <c r="D407" s="2" t="s">
        <v>65</v>
      </c>
      <c r="E407" s="2" t="s">
        <v>28</v>
      </c>
      <c r="F407" s="2" t="s">
        <v>12</v>
      </c>
      <c r="G407" s="2" t="s">
        <v>15</v>
      </c>
      <c r="H407" s="2" t="s">
        <v>16</v>
      </c>
      <c r="I407" s="2" t="s">
        <v>17</v>
      </c>
    </row>
    <row r="408" spans="1:9" ht="14.4">
      <c r="A408" s="2" t="s">
        <v>108</v>
      </c>
      <c r="B408" s="2" t="s">
        <v>10</v>
      </c>
      <c r="C408" s="2" t="s">
        <v>11</v>
      </c>
      <c r="D408" s="2" t="s">
        <v>65</v>
      </c>
      <c r="E408" s="2" t="s">
        <v>28</v>
      </c>
      <c r="F408" s="2" t="s">
        <v>12</v>
      </c>
      <c r="G408" s="2" t="s">
        <v>14</v>
      </c>
      <c r="H408" s="2" t="s">
        <v>16</v>
      </c>
      <c r="I408" s="2" t="s">
        <v>17</v>
      </c>
    </row>
    <row r="409" spans="1:9" ht="14.4">
      <c r="A409" s="2" t="s">
        <v>107</v>
      </c>
      <c r="B409" s="2" t="s">
        <v>14</v>
      </c>
      <c r="C409" s="2" t="s">
        <v>15</v>
      </c>
      <c r="D409" s="2" t="s">
        <v>65</v>
      </c>
      <c r="E409" s="2" t="s">
        <v>28</v>
      </c>
      <c r="F409" s="2" t="s">
        <v>11</v>
      </c>
      <c r="G409" s="2" t="s">
        <v>13</v>
      </c>
      <c r="H409" s="2" t="s">
        <v>12</v>
      </c>
      <c r="I409" s="2" t="s">
        <v>17</v>
      </c>
    </row>
    <row r="410" spans="1:9" ht="14.4">
      <c r="A410" s="2" t="s">
        <v>106</v>
      </c>
      <c r="B410" s="2" t="s">
        <v>14</v>
      </c>
      <c r="C410" s="2" t="s">
        <v>15</v>
      </c>
      <c r="D410" s="2" t="s">
        <v>65</v>
      </c>
      <c r="E410" s="2" t="s">
        <v>28</v>
      </c>
      <c r="F410" s="2" t="s">
        <v>11</v>
      </c>
      <c r="G410" s="2" t="s">
        <v>13</v>
      </c>
      <c r="H410" s="2" t="s">
        <v>16</v>
      </c>
      <c r="I410" s="2" t="s">
        <v>12</v>
      </c>
    </row>
    <row r="411" spans="1:9" ht="14.4">
      <c r="A411" s="2" t="s">
        <v>105</v>
      </c>
      <c r="B411" s="2" t="s">
        <v>14</v>
      </c>
      <c r="C411" s="2" t="s">
        <v>15</v>
      </c>
      <c r="D411" s="2" t="s">
        <v>65</v>
      </c>
      <c r="E411" s="2" t="s">
        <v>28</v>
      </c>
      <c r="F411" s="2" t="s">
        <v>12</v>
      </c>
      <c r="G411" s="2" t="s">
        <v>13</v>
      </c>
      <c r="H411" s="2" t="s">
        <v>16</v>
      </c>
      <c r="I411" s="2" t="s">
        <v>17</v>
      </c>
    </row>
    <row r="412" spans="1:9" ht="14.4">
      <c r="A412" s="2" t="s">
        <v>104</v>
      </c>
      <c r="B412" s="2" t="s">
        <v>14</v>
      </c>
      <c r="C412" s="2" t="s">
        <v>15</v>
      </c>
      <c r="D412" s="2" t="s">
        <v>65</v>
      </c>
      <c r="E412" s="2" t="s">
        <v>28</v>
      </c>
      <c r="F412" s="2" t="s">
        <v>11</v>
      </c>
      <c r="G412" s="2" t="s">
        <v>13</v>
      </c>
      <c r="H412" s="2" t="s">
        <v>16</v>
      </c>
      <c r="I412" s="2" t="s">
        <v>17</v>
      </c>
    </row>
    <row r="413" spans="1:9" ht="14.4">
      <c r="A413" s="2" t="s">
        <v>103</v>
      </c>
      <c r="B413" s="2" t="s">
        <v>12</v>
      </c>
      <c r="C413" s="2" t="s">
        <v>15</v>
      </c>
      <c r="D413" s="2" t="s">
        <v>65</v>
      </c>
      <c r="E413" s="2" t="s">
        <v>28</v>
      </c>
      <c r="F413" s="2" t="s">
        <v>11</v>
      </c>
      <c r="G413" s="2" t="s">
        <v>13</v>
      </c>
      <c r="H413" s="2" t="s">
        <v>16</v>
      </c>
      <c r="I413" s="2" t="s">
        <v>17</v>
      </c>
    </row>
    <row r="414" spans="1:9" ht="14.4">
      <c r="A414" s="2" t="s">
        <v>102</v>
      </c>
      <c r="B414" s="2" t="s">
        <v>14</v>
      </c>
      <c r="C414" s="2" t="s">
        <v>11</v>
      </c>
      <c r="D414" s="2" t="s">
        <v>65</v>
      </c>
      <c r="E414" s="2" t="s">
        <v>28</v>
      </c>
      <c r="F414" s="2" t="s">
        <v>12</v>
      </c>
      <c r="G414" s="2" t="s">
        <v>13</v>
      </c>
      <c r="H414" s="2" t="s">
        <v>16</v>
      </c>
      <c r="I414" s="2" t="s">
        <v>17</v>
      </c>
    </row>
    <row r="415" spans="1:9" ht="14.4">
      <c r="A415" s="2" t="s">
        <v>101</v>
      </c>
      <c r="B415" s="2" t="s">
        <v>14</v>
      </c>
      <c r="C415" s="2" t="s">
        <v>11</v>
      </c>
      <c r="D415" s="2" t="s">
        <v>65</v>
      </c>
      <c r="E415" s="2" t="s">
        <v>28</v>
      </c>
      <c r="F415" s="2" t="s">
        <v>12</v>
      </c>
      <c r="G415" s="2" t="s">
        <v>15</v>
      </c>
      <c r="H415" s="2" t="s">
        <v>16</v>
      </c>
      <c r="I415" s="2" t="s">
        <v>17</v>
      </c>
    </row>
    <row r="416" spans="1:9" ht="14.4">
      <c r="A416" s="2" t="s">
        <v>100</v>
      </c>
      <c r="B416" s="2" t="s">
        <v>14</v>
      </c>
      <c r="C416" s="2" t="s">
        <v>15</v>
      </c>
      <c r="D416" s="2" t="s">
        <v>65</v>
      </c>
      <c r="E416" s="2" t="s">
        <v>19</v>
      </c>
      <c r="F416" s="2" t="s">
        <v>11</v>
      </c>
      <c r="G416" s="2" t="s">
        <v>13</v>
      </c>
      <c r="H416" s="2" t="s">
        <v>10</v>
      </c>
      <c r="I416" s="2" t="s">
        <v>12</v>
      </c>
    </row>
    <row r="417" spans="1:9" ht="14.4">
      <c r="A417" s="2" t="s">
        <v>99</v>
      </c>
      <c r="B417" s="2" t="s">
        <v>10</v>
      </c>
      <c r="C417" s="2" t="s">
        <v>15</v>
      </c>
      <c r="D417" s="2" t="s">
        <v>65</v>
      </c>
      <c r="E417" s="2" t="s">
        <v>19</v>
      </c>
      <c r="F417" s="2" t="s">
        <v>14</v>
      </c>
      <c r="G417" s="2" t="s">
        <v>13</v>
      </c>
      <c r="H417" s="2" t="s">
        <v>12</v>
      </c>
      <c r="I417" s="2" t="s">
        <v>17</v>
      </c>
    </row>
    <row r="418" spans="1:9" ht="14.4">
      <c r="A418" s="2" t="s">
        <v>98</v>
      </c>
      <c r="B418" s="2" t="s">
        <v>10</v>
      </c>
      <c r="C418" s="2" t="s">
        <v>15</v>
      </c>
      <c r="D418" s="2" t="s">
        <v>65</v>
      </c>
      <c r="E418" s="2" t="s">
        <v>19</v>
      </c>
      <c r="F418" s="2" t="s">
        <v>14</v>
      </c>
      <c r="G418" s="2" t="s">
        <v>13</v>
      </c>
      <c r="H418" s="2" t="s">
        <v>16</v>
      </c>
      <c r="I418" s="2" t="s">
        <v>12</v>
      </c>
    </row>
    <row r="419" spans="1:9" ht="14.4">
      <c r="A419" s="2" t="s">
        <v>97</v>
      </c>
      <c r="B419" s="2" t="s">
        <v>14</v>
      </c>
      <c r="C419" s="2" t="s">
        <v>15</v>
      </c>
      <c r="D419" s="2" t="s">
        <v>65</v>
      </c>
      <c r="E419" s="2" t="s">
        <v>19</v>
      </c>
      <c r="F419" s="2" t="s">
        <v>11</v>
      </c>
      <c r="G419" s="2" t="s">
        <v>13</v>
      </c>
      <c r="H419" s="2" t="s">
        <v>10</v>
      </c>
      <c r="I419" s="2" t="s">
        <v>17</v>
      </c>
    </row>
    <row r="420" spans="1:9" ht="14.4">
      <c r="A420" s="2" t="s">
        <v>96</v>
      </c>
      <c r="B420" s="2" t="s">
        <v>14</v>
      </c>
      <c r="C420" s="2" t="s">
        <v>15</v>
      </c>
      <c r="D420" s="2" t="s">
        <v>65</v>
      </c>
      <c r="E420" s="2" t="s">
        <v>19</v>
      </c>
      <c r="F420" s="2" t="s">
        <v>11</v>
      </c>
      <c r="G420" s="2" t="s">
        <v>13</v>
      </c>
      <c r="H420" s="2" t="s">
        <v>16</v>
      </c>
      <c r="I420" s="2" t="s">
        <v>10</v>
      </c>
    </row>
    <row r="421" spans="1:9" ht="14.4">
      <c r="A421" s="2" t="s">
        <v>95</v>
      </c>
      <c r="B421" s="2" t="s">
        <v>10</v>
      </c>
      <c r="C421" s="2" t="s">
        <v>15</v>
      </c>
      <c r="D421" s="2" t="s">
        <v>65</v>
      </c>
      <c r="E421" s="2" t="s">
        <v>19</v>
      </c>
      <c r="F421" s="2" t="s">
        <v>14</v>
      </c>
      <c r="G421" s="2" t="s">
        <v>13</v>
      </c>
      <c r="H421" s="2" t="s">
        <v>16</v>
      </c>
      <c r="I421" s="2" t="s">
        <v>17</v>
      </c>
    </row>
    <row r="422" spans="1:9" ht="14.4">
      <c r="A422" s="2" t="s">
        <v>94</v>
      </c>
      <c r="B422" s="2" t="s">
        <v>10</v>
      </c>
      <c r="C422" s="2" t="s">
        <v>15</v>
      </c>
      <c r="D422" s="2" t="s">
        <v>65</v>
      </c>
      <c r="E422" s="2" t="s">
        <v>19</v>
      </c>
      <c r="F422" s="2" t="s">
        <v>11</v>
      </c>
      <c r="G422" s="2" t="s">
        <v>13</v>
      </c>
      <c r="H422" s="2" t="s">
        <v>12</v>
      </c>
      <c r="I422" s="2" t="s">
        <v>17</v>
      </c>
    </row>
    <row r="423" spans="1:9" ht="14.4">
      <c r="A423" s="2" t="s">
        <v>93</v>
      </c>
      <c r="B423" s="2" t="s">
        <v>10</v>
      </c>
      <c r="C423" s="2" t="s">
        <v>15</v>
      </c>
      <c r="D423" s="2" t="s">
        <v>65</v>
      </c>
      <c r="E423" s="2" t="s">
        <v>19</v>
      </c>
      <c r="F423" s="2" t="s">
        <v>11</v>
      </c>
      <c r="G423" s="2" t="s">
        <v>13</v>
      </c>
      <c r="H423" s="2" t="s">
        <v>16</v>
      </c>
      <c r="I423" s="2" t="s">
        <v>12</v>
      </c>
    </row>
    <row r="424" spans="1:9" ht="14.4">
      <c r="A424" s="2" t="s">
        <v>92</v>
      </c>
      <c r="B424" s="2" t="s">
        <v>10</v>
      </c>
      <c r="C424" s="2" t="s">
        <v>15</v>
      </c>
      <c r="D424" s="2" t="s">
        <v>65</v>
      </c>
      <c r="E424" s="2" t="s">
        <v>19</v>
      </c>
      <c r="F424" s="2" t="s">
        <v>12</v>
      </c>
      <c r="G424" s="2" t="s">
        <v>13</v>
      </c>
      <c r="H424" s="2" t="s">
        <v>16</v>
      </c>
      <c r="I424" s="2" t="s">
        <v>17</v>
      </c>
    </row>
    <row r="425" spans="1:9" ht="14.4">
      <c r="A425" s="2" t="s">
        <v>91</v>
      </c>
      <c r="B425" s="2" t="s">
        <v>10</v>
      </c>
      <c r="C425" s="2" t="s">
        <v>15</v>
      </c>
      <c r="D425" s="2" t="s">
        <v>65</v>
      </c>
      <c r="E425" s="2" t="s">
        <v>19</v>
      </c>
      <c r="F425" s="2" t="s">
        <v>11</v>
      </c>
      <c r="G425" s="2" t="s">
        <v>13</v>
      </c>
      <c r="H425" s="2" t="s">
        <v>16</v>
      </c>
      <c r="I425" s="2" t="s">
        <v>17</v>
      </c>
    </row>
    <row r="426" spans="1:9" ht="14.4">
      <c r="A426" s="2" t="s">
        <v>90</v>
      </c>
      <c r="B426" s="2" t="s">
        <v>10</v>
      </c>
      <c r="C426" s="2" t="s">
        <v>11</v>
      </c>
      <c r="D426" s="2" t="s">
        <v>65</v>
      </c>
      <c r="E426" s="2" t="s">
        <v>19</v>
      </c>
      <c r="F426" s="2" t="s">
        <v>14</v>
      </c>
      <c r="G426" s="2" t="s">
        <v>13</v>
      </c>
      <c r="H426" s="2" t="s">
        <v>12</v>
      </c>
      <c r="I426" s="2" t="s">
        <v>17</v>
      </c>
    </row>
    <row r="427" spans="1:9" ht="14.4">
      <c r="A427" s="2" t="s">
        <v>89</v>
      </c>
      <c r="B427" s="2" t="s">
        <v>10</v>
      </c>
      <c r="C427" s="2" t="s">
        <v>11</v>
      </c>
      <c r="D427" s="2" t="s">
        <v>65</v>
      </c>
      <c r="E427" s="2" t="s">
        <v>19</v>
      </c>
      <c r="F427" s="2" t="s">
        <v>14</v>
      </c>
      <c r="G427" s="2" t="s">
        <v>13</v>
      </c>
      <c r="H427" s="2" t="s">
        <v>16</v>
      </c>
      <c r="I427" s="2" t="s">
        <v>12</v>
      </c>
    </row>
    <row r="428" spans="1:9" ht="14.4">
      <c r="A428" s="2" t="s">
        <v>88</v>
      </c>
      <c r="B428" s="2" t="s">
        <v>10</v>
      </c>
      <c r="C428" s="2" t="s">
        <v>12</v>
      </c>
      <c r="D428" s="2" t="s">
        <v>65</v>
      </c>
      <c r="E428" s="2" t="s">
        <v>19</v>
      </c>
      <c r="F428" s="2" t="s">
        <v>14</v>
      </c>
      <c r="G428" s="2" t="s">
        <v>13</v>
      </c>
      <c r="H428" s="2" t="s">
        <v>16</v>
      </c>
      <c r="I428" s="2" t="s">
        <v>17</v>
      </c>
    </row>
    <row r="429" spans="1:9" ht="14.4">
      <c r="A429" s="2" t="s">
        <v>87</v>
      </c>
      <c r="B429" s="2" t="s">
        <v>10</v>
      </c>
      <c r="C429" s="2" t="s">
        <v>11</v>
      </c>
      <c r="D429" s="2" t="s">
        <v>65</v>
      </c>
      <c r="E429" s="2" t="s">
        <v>19</v>
      </c>
      <c r="F429" s="2" t="s">
        <v>14</v>
      </c>
      <c r="G429" s="2" t="s">
        <v>13</v>
      </c>
      <c r="H429" s="2" t="s">
        <v>16</v>
      </c>
      <c r="I429" s="2" t="s">
        <v>17</v>
      </c>
    </row>
    <row r="430" spans="1:9" ht="14.4">
      <c r="A430" s="2" t="s">
        <v>86</v>
      </c>
      <c r="B430" s="2" t="s">
        <v>10</v>
      </c>
      <c r="C430" s="2" t="s">
        <v>11</v>
      </c>
      <c r="D430" s="2" t="s">
        <v>65</v>
      </c>
      <c r="E430" s="2" t="s">
        <v>19</v>
      </c>
      <c r="F430" s="2" t="s">
        <v>12</v>
      </c>
      <c r="G430" s="2" t="s">
        <v>13</v>
      </c>
      <c r="H430" s="2" t="s">
        <v>16</v>
      </c>
      <c r="I430" s="2" t="s">
        <v>17</v>
      </c>
    </row>
    <row r="431" spans="1:9" ht="14.4">
      <c r="A431" s="2" t="s">
        <v>85</v>
      </c>
      <c r="B431" s="2" t="s">
        <v>10</v>
      </c>
      <c r="C431" s="2" t="s">
        <v>11</v>
      </c>
      <c r="D431" s="2" t="s">
        <v>65</v>
      </c>
      <c r="E431" s="2" t="s">
        <v>19</v>
      </c>
      <c r="F431" s="2" t="s">
        <v>14</v>
      </c>
      <c r="G431" s="2" t="s">
        <v>15</v>
      </c>
      <c r="H431" s="2" t="s">
        <v>12</v>
      </c>
      <c r="I431" s="2" t="s">
        <v>17</v>
      </c>
    </row>
    <row r="432" spans="1:9" ht="14.4">
      <c r="A432" s="2" t="s">
        <v>84</v>
      </c>
      <c r="B432" s="2" t="s">
        <v>10</v>
      </c>
      <c r="C432" s="2" t="s">
        <v>11</v>
      </c>
      <c r="D432" s="2" t="s">
        <v>65</v>
      </c>
      <c r="E432" s="2" t="s">
        <v>19</v>
      </c>
      <c r="F432" s="2" t="s">
        <v>14</v>
      </c>
      <c r="G432" s="2" t="s">
        <v>15</v>
      </c>
      <c r="H432" s="2" t="s">
        <v>16</v>
      </c>
      <c r="I432" s="2" t="s">
        <v>12</v>
      </c>
    </row>
    <row r="433" spans="1:9" ht="14.4">
      <c r="A433" s="2" t="s">
        <v>83</v>
      </c>
      <c r="B433" s="2" t="s">
        <v>10</v>
      </c>
      <c r="C433" s="2" t="s">
        <v>15</v>
      </c>
      <c r="D433" s="2" t="s">
        <v>65</v>
      </c>
      <c r="E433" s="2" t="s">
        <v>19</v>
      </c>
      <c r="F433" s="2" t="s">
        <v>12</v>
      </c>
      <c r="G433" s="2" t="s">
        <v>14</v>
      </c>
      <c r="H433" s="2" t="s">
        <v>16</v>
      </c>
      <c r="I433" s="2" t="s">
        <v>17</v>
      </c>
    </row>
    <row r="434" spans="1:9" ht="14.4">
      <c r="A434" s="2" t="s">
        <v>82</v>
      </c>
      <c r="B434" s="2" t="s">
        <v>10</v>
      </c>
      <c r="C434" s="2" t="s">
        <v>11</v>
      </c>
      <c r="D434" s="2" t="s">
        <v>65</v>
      </c>
      <c r="E434" s="2" t="s">
        <v>19</v>
      </c>
      <c r="F434" s="2" t="s">
        <v>14</v>
      </c>
      <c r="G434" s="2" t="s">
        <v>15</v>
      </c>
      <c r="H434" s="2" t="s">
        <v>16</v>
      </c>
      <c r="I434" s="2" t="s">
        <v>17</v>
      </c>
    </row>
    <row r="435" spans="1:9" ht="14.4">
      <c r="A435" s="2" t="s">
        <v>81</v>
      </c>
      <c r="B435" s="2" t="s">
        <v>10</v>
      </c>
      <c r="C435" s="2" t="s">
        <v>11</v>
      </c>
      <c r="D435" s="2" t="s">
        <v>65</v>
      </c>
      <c r="E435" s="2" t="s">
        <v>19</v>
      </c>
      <c r="F435" s="2" t="s">
        <v>12</v>
      </c>
      <c r="G435" s="2" t="s">
        <v>15</v>
      </c>
      <c r="H435" s="2" t="s">
        <v>16</v>
      </c>
      <c r="I435" s="2" t="s">
        <v>17</v>
      </c>
    </row>
    <row r="436" spans="1:9" ht="14.4">
      <c r="A436" s="2" t="s">
        <v>80</v>
      </c>
      <c r="B436" s="2" t="s">
        <v>10</v>
      </c>
      <c r="C436" s="2" t="s">
        <v>11</v>
      </c>
      <c r="D436" s="2" t="s">
        <v>65</v>
      </c>
      <c r="E436" s="2" t="s">
        <v>19</v>
      </c>
      <c r="F436" s="2" t="s">
        <v>12</v>
      </c>
      <c r="G436" s="2" t="s">
        <v>14</v>
      </c>
      <c r="H436" s="2" t="s">
        <v>16</v>
      </c>
      <c r="I436" s="2" t="s">
        <v>17</v>
      </c>
    </row>
    <row r="437" spans="1:9" ht="14.4">
      <c r="A437" s="2" t="s">
        <v>79</v>
      </c>
      <c r="B437" s="2" t="s">
        <v>14</v>
      </c>
      <c r="C437" s="2" t="s">
        <v>15</v>
      </c>
      <c r="D437" s="2" t="s">
        <v>65</v>
      </c>
      <c r="E437" s="2" t="s">
        <v>19</v>
      </c>
      <c r="F437" s="2" t="s">
        <v>11</v>
      </c>
      <c r="G437" s="2" t="s">
        <v>13</v>
      </c>
      <c r="H437" s="2" t="s">
        <v>12</v>
      </c>
      <c r="I437" s="2" t="s">
        <v>17</v>
      </c>
    </row>
    <row r="438" spans="1:9" ht="14.4">
      <c r="A438" s="2" t="s">
        <v>78</v>
      </c>
      <c r="B438" s="2" t="s">
        <v>14</v>
      </c>
      <c r="C438" s="2" t="s">
        <v>15</v>
      </c>
      <c r="D438" s="2" t="s">
        <v>65</v>
      </c>
      <c r="E438" s="2" t="s">
        <v>19</v>
      </c>
      <c r="F438" s="2" t="s">
        <v>11</v>
      </c>
      <c r="G438" s="2" t="s">
        <v>13</v>
      </c>
      <c r="H438" s="2" t="s">
        <v>16</v>
      </c>
      <c r="I438" s="2" t="s">
        <v>12</v>
      </c>
    </row>
    <row r="439" spans="1:9" ht="14.4">
      <c r="A439" s="2" t="s">
        <v>77</v>
      </c>
      <c r="B439" s="2" t="s">
        <v>14</v>
      </c>
      <c r="C439" s="2" t="s">
        <v>15</v>
      </c>
      <c r="D439" s="2" t="s">
        <v>65</v>
      </c>
      <c r="E439" s="2" t="s">
        <v>19</v>
      </c>
      <c r="F439" s="2" t="s">
        <v>12</v>
      </c>
      <c r="G439" s="2" t="s">
        <v>13</v>
      </c>
      <c r="H439" s="2" t="s">
        <v>16</v>
      </c>
      <c r="I439" s="2" t="s">
        <v>17</v>
      </c>
    </row>
    <row r="440" spans="1:9" ht="14.4">
      <c r="A440" s="2" t="s">
        <v>76</v>
      </c>
      <c r="B440" s="2" t="s">
        <v>14</v>
      </c>
      <c r="C440" s="2" t="s">
        <v>15</v>
      </c>
      <c r="D440" s="2" t="s">
        <v>65</v>
      </c>
      <c r="E440" s="2" t="s">
        <v>19</v>
      </c>
      <c r="F440" s="2" t="s">
        <v>11</v>
      </c>
      <c r="G440" s="2" t="s">
        <v>13</v>
      </c>
      <c r="H440" s="2" t="s">
        <v>16</v>
      </c>
      <c r="I440" s="2" t="s">
        <v>17</v>
      </c>
    </row>
    <row r="441" spans="1:9" ht="14.4">
      <c r="A441" s="2" t="s">
        <v>75</v>
      </c>
      <c r="B441" s="2" t="s">
        <v>12</v>
      </c>
      <c r="C441" s="2" t="s">
        <v>15</v>
      </c>
      <c r="D441" s="2" t="s">
        <v>65</v>
      </c>
      <c r="E441" s="2" t="s">
        <v>19</v>
      </c>
      <c r="F441" s="2" t="s">
        <v>11</v>
      </c>
      <c r="G441" s="2" t="s">
        <v>13</v>
      </c>
      <c r="H441" s="2" t="s">
        <v>16</v>
      </c>
      <c r="I441" s="2" t="s">
        <v>17</v>
      </c>
    </row>
    <row r="442" spans="1:9" ht="14.4">
      <c r="A442" s="2" t="s">
        <v>74</v>
      </c>
      <c r="B442" s="2" t="s">
        <v>14</v>
      </c>
      <c r="C442" s="2" t="s">
        <v>11</v>
      </c>
      <c r="D442" s="2" t="s">
        <v>65</v>
      </c>
      <c r="E442" s="2" t="s">
        <v>19</v>
      </c>
      <c r="F442" s="2" t="s">
        <v>12</v>
      </c>
      <c r="G442" s="2" t="s">
        <v>13</v>
      </c>
      <c r="H442" s="2" t="s">
        <v>16</v>
      </c>
      <c r="I442" s="2" t="s">
        <v>17</v>
      </c>
    </row>
    <row r="443" spans="1:9" ht="14.4">
      <c r="A443" s="2" t="s">
        <v>73</v>
      </c>
      <c r="B443" s="2" t="s">
        <v>14</v>
      </c>
      <c r="C443" s="2" t="s">
        <v>11</v>
      </c>
      <c r="D443" s="2" t="s">
        <v>65</v>
      </c>
      <c r="E443" s="2" t="s">
        <v>19</v>
      </c>
      <c r="F443" s="2" t="s">
        <v>12</v>
      </c>
      <c r="G443" s="2" t="s">
        <v>15</v>
      </c>
      <c r="H443" s="2" t="s">
        <v>16</v>
      </c>
      <c r="I443" s="2" t="s">
        <v>17</v>
      </c>
    </row>
    <row r="444" spans="1:9" ht="14.4">
      <c r="A444" s="2" t="s">
        <v>72</v>
      </c>
      <c r="B444" s="2" t="s">
        <v>10</v>
      </c>
      <c r="C444" s="2" t="s">
        <v>11</v>
      </c>
      <c r="D444" s="2" t="s">
        <v>65</v>
      </c>
      <c r="E444" s="2" t="s">
        <v>13</v>
      </c>
      <c r="F444" s="2" t="s">
        <v>14</v>
      </c>
      <c r="G444" s="2" t="s">
        <v>15</v>
      </c>
      <c r="H444" s="2" t="s">
        <v>12</v>
      </c>
      <c r="I444" s="2" t="s">
        <v>17</v>
      </c>
    </row>
    <row r="445" spans="1:9" ht="14.4">
      <c r="A445" s="2" t="s">
        <v>71</v>
      </c>
      <c r="B445" s="2" t="s">
        <v>10</v>
      </c>
      <c r="C445" s="2" t="s">
        <v>11</v>
      </c>
      <c r="D445" s="2" t="s">
        <v>65</v>
      </c>
      <c r="E445" s="2" t="s">
        <v>13</v>
      </c>
      <c r="F445" s="2" t="s">
        <v>14</v>
      </c>
      <c r="G445" s="2" t="s">
        <v>15</v>
      </c>
      <c r="H445" s="2" t="s">
        <v>16</v>
      </c>
      <c r="I445" s="2" t="s">
        <v>12</v>
      </c>
    </row>
    <row r="446" spans="1:9" ht="14.4">
      <c r="A446" s="2" t="s">
        <v>70</v>
      </c>
      <c r="B446" s="2" t="s">
        <v>10</v>
      </c>
      <c r="C446" s="2" t="s">
        <v>15</v>
      </c>
      <c r="D446" s="2" t="s">
        <v>65</v>
      </c>
      <c r="E446" s="2" t="s">
        <v>13</v>
      </c>
      <c r="F446" s="2" t="s">
        <v>12</v>
      </c>
      <c r="G446" s="2" t="s">
        <v>14</v>
      </c>
      <c r="H446" s="2" t="s">
        <v>16</v>
      </c>
      <c r="I446" s="2" t="s">
        <v>17</v>
      </c>
    </row>
    <row r="447" spans="1:9" ht="14.4">
      <c r="A447" s="2" t="s">
        <v>69</v>
      </c>
      <c r="B447" s="2" t="s">
        <v>10</v>
      </c>
      <c r="C447" s="2" t="s">
        <v>11</v>
      </c>
      <c r="D447" s="2" t="s">
        <v>65</v>
      </c>
      <c r="E447" s="2" t="s">
        <v>13</v>
      </c>
      <c r="F447" s="2" t="s">
        <v>14</v>
      </c>
      <c r="G447" s="2" t="s">
        <v>15</v>
      </c>
      <c r="H447" s="2" t="s">
        <v>16</v>
      </c>
      <c r="I447" s="2" t="s">
        <v>17</v>
      </c>
    </row>
    <row r="448" spans="1:9" ht="14.4">
      <c r="A448" s="2" t="s">
        <v>68</v>
      </c>
      <c r="B448" s="2" t="s">
        <v>10</v>
      </c>
      <c r="C448" s="2" t="s">
        <v>11</v>
      </c>
      <c r="D448" s="2" t="s">
        <v>65</v>
      </c>
      <c r="E448" s="2" t="s">
        <v>13</v>
      </c>
      <c r="F448" s="2" t="s">
        <v>12</v>
      </c>
      <c r="G448" s="2" t="s">
        <v>15</v>
      </c>
      <c r="H448" s="2" t="s">
        <v>16</v>
      </c>
      <c r="I448" s="2" t="s">
        <v>17</v>
      </c>
    </row>
    <row r="449" spans="1:9" ht="14.4">
      <c r="A449" s="2" t="s">
        <v>67</v>
      </c>
      <c r="B449" s="2" t="s">
        <v>10</v>
      </c>
      <c r="C449" s="2" t="s">
        <v>11</v>
      </c>
      <c r="D449" s="2" t="s">
        <v>65</v>
      </c>
      <c r="E449" s="2" t="s">
        <v>13</v>
      </c>
      <c r="F449" s="2" t="s">
        <v>12</v>
      </c>
      <c r="G449" s="2" t="s">
        <v>14</v>
      </c>
      <c r="H449" s="2" t="s">
        <v>16</v>
      </c>
      <c r="I449" s="2" t="s">
        <v>17</v>
      </c>
    </row>
    <row r="450" spans="1:9" ht="14.4">
      <c r="A450" s="2" t="s">
        <v>66</v>
      </c>
      <c r="B450" s="2" t="s">
        <v>10</v>
      </c>
      <c r="C450" s="2" t="s">
        <v>11</v>
      </c>
      <c r="D450" s="2" t="s">
        <v>12</v>
      </c>
      <c r="E450" s="2" t="s">
        <v>65</v>
      </c>
      <c r="F450" s="2" t="s">
        <v>14</v>
      </c>
      <c r="G450" s="2" t="s">
        <v>15</v>
      </c>
      <c r="H450" s="2" t="s">
        <v>16</v>
      </c>
      <c r="I450" s="2" t="s">
        <v>17</v>
      </c>
    </row>
    <row r="451" spans="1:9" ht="14.4">
      <c r="A451" s="2" t="s">
        <v>64</v>
      </c>
      <c r="B451" s="2" t="s">
        <v>14</v>
      </c>
      <c r="C451" s="2" t="s">
        <v>11</v>
      </c>
      <c r="D451" s="2" t="s">
        <v>65</v>
      </c>
      <c r="E451" s="2" t="s">
        <v>13</v>
      </c>
      <c r="F451" s="2" t="s">
        <v>12</v>
      </c>
      <c r="G451" s="2" t="s">
        <v>15</v>
      </c>
      <c r="H451" s="2" t="s">
        <v>16</v>
      </c>
      <c r="I451" s="2" t="s">
        <v>17</v>
      </c>
    </row>
    <row r="452" spans="1:9" ht="14.4">
      <c r="A452" s="2" t="s">
        <v>63</v>
      </c>
      <c r="B452" s="2" t="s">
        <v>28</v>
      </c>
      <c r="C452" s="2" t="s">
        <v>15</v>
      </c>
      <c r="D452" s="2" t="s">
        <v>11</v>
      </c>
      <c r="E452" s="2" t="s">
        <v>19</v>
      </c>
      <c r="F452" s="2" t="s">
        <v>14</v>
      </c>
      <c r="G452" s="2" t="s">
        <v>13</v>
      </c>
      <c r="H452" s="2" t="s">
        <v>10</v>
      </c>
      <c r="I452" s="2" t="s">
        <v>12</v>
      </c>
    </row>
    <row r="453" spans="1:9" ht="14.4">
      <c r="A453" s="2" t="s">
        <v>62</v>
      </c>
      <c r="B453" s="2" t="s">
        <v>28</v>
      </c>
      <c r="C453" s="2" t="s">
        <v>15</v>
      </c>
      <c r="D453" s="2" t="s">
        <v>10</v>
      </c>
      <c r="E453" s="2" t="s">
        <v>19</v>
      </c>
      <c r="F453" s="2" t="s">
        <v>14</v>
      </c>
      <c r="G453" s="2" t="s">
        <v>13</v>
      </c>
      <c r="H453" s="2" t="s">
        <v>12</v>
      </c>
      <c r="I453" s="2" t="s">
        <v>17</v>
      </c>
    </row>
    <row r="454" spans="1:9" ht="14.4">
      <c r="A454" s="2" t="s">
        <v>61</v>
      </c>
      <c r="B454" s="2" t="s">
        <v>28</v>
      </c>
      <c r="C454" s="2" t="s">
        <v>15</v>
      </c>
      <c r="D454" s="2" t="s">
        <v>10</v>
      </c>
      <c r="E454" s="2" t="s">
        <v>19</v>
      </c>
      <c r="F454" s="2" t="s">
        <v>14</v>
      </c>
      <c r="G454" s="2" t="s">
        <v>13</v>
      </c>
      <c r="H454" s="2" t="s">
        <v>16</v>
      </c>
      <c r="I454" s="2" t="s">
        <v>12</v>
      </c>
    </row>
    <row r="455" spans="1:9" ht="14.4">
      <c r="A455" s="2" t="s">
        <v>60</v>
      </c>
      <c r="B455" s="2" t="s">
        <v>28</v>
      </c>
      <c r="C455" s="2" t="s">
        <v>15</v>
      </c>
      <c r="D455" s="2" t="s">
        <v>11</v>
      </c>
      <c r="E455" s="2" t="s">
        <v>19</v>
      </c>
      <c r="F455" s="2" t="s">
        <v>14</v>
      </c>
      <c r="G455" s="2" t="s">
        <v>13</v>
      </c>
      <c r="H455" s="2" t="s">
        <v>10</v>
      </c>
      <c r="I455" s="2" t="s">
        <v>17</v>
      </c>
    </row>
    <row r="456" spans="1:9" ht="14.4">
      <c r="A456" s="2" t="s">
        <v>59</v>
      </c>
      <c r="B456" s="2" t="s">
        <v>28</v>
      </c>
      <c r="C456" s="2" t="s">
        <v>15</v>
      </c>
      <c r="D456" s="2" t="s">
        <v>11</v>
      </c>
      <c r="E456" s="2" t="s">
        <v>19</v>
      </c>
      <c r="F456" s="2" t="s">
        <v>14</v>
      </c>
      <c r="G456" s="2" t="s">
        <v>13</v>
      </c>
      <c r="H456" s="2" t="s">
        <v>16</v>
      </c>
      <c r="I456" s="2" t="s">
        <v>10</v>
      </c>
    </row>
    <row r="457" spans="1:9" ht="14.4">
      <c r="A457" s="2" t="s">
        <v>58</v>
      </c>
      <c r="B457" s="2" t="s">
        <v>28</v>
      </c>
      <c r="C457" s="2" t="s">
        <v>15</v>
      </c>
      <c r="D457" s="2" t="s">
        <v>10</v>
      </c>
      <c r="E457" s="2" t="s">
        <v>19</v>
      </c>
      <c r="F457" s="2" t="s">
        <v>14</v>
      </c>
      <c r="G457" s="2" t="s">
        <v>13</v>
      </c>
      <c r="H457" s="2" t="s">
        <v>16</v>
      </c>
      <c r="I457" s="2" t="s">
        <v>17</v>
      </c>
    </row>
    <row r="458" spans="1:9" ht="14.4">
      <c r="A458" s="2" t="s">
        <v>57</v>
      </c>
      <c r="B458" s="2" t="s">
        <v>28</v>
      </c>
      <c r="C458" s="2" t="s">
        <v>15</v>
      </c>
      <c r="D458" s="2" t="s">
        <v>10</v>
      </c>
      <c r="E458" s="2" t="s">
        <v>19</v>
      </c>
      <c r="F458" s="2" t="s">
        <v>11</v>
      </c>
      <c r="G458" s="2" t="s">
        <v>13</v>
      </c>
      <c r="H458" s="2" t="s">
        <v>12</v>
      </c>
      <c r="I458" s="2" t="s">
        <v>17</v>
      </c>
    </row>
    <row r="459" spans="1:9" ht="14.4">
      <c r="A459" s="2" t="s">
        <v>56</v>
      </c>
      <c r="B459" s="2" t="s">
        <v>28</v>
      </c>
      <c r="C459" s="2" t="s">
        <v>15</v>
      </c>
      <c r="D459" s="2" t="s">
        <v>10</v>
      </c>
      <c r="E459" s="2" t="s">
        <v>19</v>
      </c>
      <c r="F459" s="2" t="s">
        <v>11</v>
      </c>
      <c r="G459" s="2" t="s">
        <v>13</v>
      </c>
      <c r="H459" s="2" t="s">
        <v>16</v>
      </c>
      <c r="I459" s="2" t="s">
        <v>12</v>
      </c>
    </row>
    <row r="460" spans="1:9" ht="14.4">
      <c r="A460" s="2" t="s">
        <v>55</v>
      </c>
      <c r="B460" s="2" t="s">
        <v>28</v>
      </c>
      <c r="C460" s="2" t="s">
        <v>15</v>
      </c>
      <c r="D460" s="2" t="s">
        <v>10</v>
      </c>
      <c r="E460" s="2" t="s">
        <v>19</v>
      </c>
      <c r="F460" s="2" t="s">
        <v>12</v>
      </c>
      <c r="G460" s="2" t="s">
        <v>13</v>
      </c>
      <c r="H460" s="2" t="s">
        <v>16</v>
      </c>
      <c r="I460" s="2" t="s">
        <v>17</v>
      </c>
    </row>
    <row r="461" spans="1:9" ht="14.4">
      <c r="A461" s="2" t="s">
        <v>54</v>
      </c>
      <c r="B461" s="2" t="s">
        <v>28</v>
      </c>
      <c r="C461" s="2" t="s">
        <v>15</v>
      </c>
      <c r="D461" s="2" t="s">
        <v>10</v>
      </c>
      <c r="E461" s="2" t="s">
        <v>19</v>
      </c>
      <c r="F461" s="2" t="s">
        <v>11</v>
      </c>
      <c r="G461" s="2" t="s">
        <v>13</v>
      </c>
      <c r="H461" s="2" t="s">
        <v>16</v>
      </c>
      <c r="I461" s="2" t="s">
        <v>17</v>
      </c>
    </row>
    <row r="462" spans="1:9" ht="14.4">
      <c r="A462" s="2" t="s">
        <v>53</v>
      </c>
      <c r="B462" s="2" t="s">
        <v>28</v>
      </c>
      <c r="C462" s="2" t="s">
        <v>11</v>
      </c>
      <c r="D462" s="2" t="s">
        <v>10</v>
      </c>
      <c r="E462" s="2" t="s">
        <v>19</v>
      </c>
      <c r="F462" s="2" t="s">
        <v>14</v>
      </c>
      <c r="G462" s="2" t="s">
        <v>13</v>
      </c>
      <c r="H462" s="2" t="s">
        <v>12</v>
      </c>
      <c r="I462" s="2" t="s">
        <v>17</v>
      </c>
    </row>
    <row r="463" spans="1:9" ht="14.4">
      <c r="A463" s="2" t="s">
        <v>52</v>
      </c>
      <c r="B463" s="2" t="s">
        <v>28</v>
      </c>
      <c r="C463" s="2" t="s">
        <v>11</v>
      </c>
      <c r="D463" s="2" t="s">
        <v>10</v>
      </c>
      <c r="E463" s="2" t="s">
        <v>19</v>
      </c>
      <c r="F463" s="2" t="s">
        <v>14</v>
      </c>
      <c r="G463" s="2" t="s">
        <v>13</v>
      </c>
      <c r="H463" s="2" t="s">
        <v>16</v>
      </c>
      <c r="I463" s="2" t="s">
        <v>12</v>
      </c>
    </row>
    <row r="464" spans="1:9" ht="14.4">
      <c r="A464" s="2" t="s">
        <v>51</v>
      </c>
      <c r="B464" s="2" t="s">
        <v>28</v>
      </c>
      <c r="C464" s="2" t="s">
        <v>10</v>
      </c>
      <c r="D464" s="2" t="s">
        <v>12</v>
      </c>
      <c r="E464" s="2" t="s">
        <v>19</v>
      </c>
      <c r="F464" s="2" t="s">
        <v>14</v>
      </c>
      <c r="G464" s="2" t="s">
        <v>13</v>
      </c>
      <c r="H464" s="2" t="s">
        <v>16</v>
      </c>
      <c r="I464" s="2" t="s">
        <v>17</v>
      </c>
    </row>
    <row r="465" spans="1:9" ht="14.4">
      <c r="A465" s="2" t="s">
        <v>50</v>
      </c>
      <c r="B465" s="2" t="s">
        <v>28</v>
      </c>
      <c r="C465" s="2" t="s">
        <v>11</v>
      </c>
      <c r="D465" s="2" t="s">
        <v>10</v>
      </c>
      <c r="E465" s="2" t="s">
        <v>19</v>
      </c>
      <c r="F465" s="2" t="s">
        <v>14</v>
      </c>
      <c r="G465" s="2" t="s">
        <v>13</v>
      </c>
      <c r="H465" s="2" t="s">
        <v>16</v>
      </c>
      <c r="I465" s="2" t="s">
        <v>17</v>
      </c>
    </row>
    <row r="466" spans="1:9" ht="14.4">
      <c r="A466" s="2" t="s">
        <v>49</v>
      </c>
      <c r="B466" s="2" t="s">
        <v>28</v>
      </c>
      <c r="C466" s="2" t="s">
        <v>11</v>
      </c>
      <c r="D466" s="2" t="s">
        <v>10</v>
      </c>
      <c r="E466" s="2" t="s">
        <v>19</v>
      </c>
      <c r="F466" s="2" t="s">
        <v>12</v>
      </c>
      <c r="G466" s="2" t="s">
        <v>13</v>
      </c>
      <c r="H466" s="2" t="s">
        <v>16</v>
      </c>
      <c r="I466" s="2" t="s">
        <v>17</v>
      </c>
    </row>
    <row r="467" spans="1:9" ht="14.4">
      <c r="A467" s="2" t="s">
        <v>48</v>
      </c>
      <c r="B467" s="2" t="s">
        <v>10</v>
      </c>
      <c r="C467" s="2" t="s">
        <v>15</v>
      </c>
      <c r="D467" s="2" t="s">
        <v>11</v>
      </c>
      <c r="E467" s="2" t="s">
        <v>28</v>
      </c>
      <c r="F467" s="2" t="s">
        <v>14</v>
      </c>
      <c r="G467" s="2" t="s">
        <v>19</v>
      </c>
      <c r="H467" s="2" t="s">
        <v>12</v>
      </c>
      <c r="I467" s="2" t="s">
        <v>17</v>
      </c>
    </row>
    <row r="468" spans="1:9" ht="14.4">
      <c r="A468" s="2" t="s">
        <v>47</v>
      </c>
      <c r="B468" s="2" t="s">
        <v>10</v>
      </c>
      <c r="C468" s="2" t="s">
        <v>15</v>
      </c>
      <c r="D468" s="2" t="s">
        <v>11</v>
      </c>
      <c r="E468" s="2" t="s">
        <v>28</v>
      </c>
      <c r="F468" s="2" t="s">
        <v>14</v>
      </c>
      <c r="G468" s="2" t="s">
        <v>19</v>
      </c>
      <c r="H468" s="2" t="s">
        <v>16</v>
      </c>
      <c r="I468" s="2" t="s">
        <v>12</v>
      </c>
    </row>
    <row r="469" spans="1:9" ht="14.4">
      <c r="A469" s="2" t="s">
        <v>46</v>
      </c>
      <c r="B469" s="2" t="s">
        <v>10</v>
      </c>
      <c r="C469" s="2" t="s">
        <v>15</v>
      </c>
      <c r="D469" s="2" t="s">
        <v>12</v>
      </c>
      <c r="E469" s="2" t="s">
        <v>28</v>
      </c>
      <c r="F469" s="2" t="s">
        <v>14</v>
      </c>
      <c r="G469" s="2" t="s">
        <v>19</v>
      </c>
      <c r="H469" s="2" t="s">
        <v>16</v>
      </c>
      <c r="I469" s="2" t="s">
        <v>17</v>
      </c>
    </row>
    <row r="470" spans="1:9" ht="14.4">
      <c r="A470" s="2" t="s">
        <v>45</v>
      </c>
      <c r="B470" s="2" t="s">
        <v>10</v>
      </c>
      <c r="C470" s="2" t="s">
        <v>15</v>
      </c>
      <c r="D470" s="2" t="s">
        <v>11</v>
      </c>
      <c r="E470" s="2" t="s">
        <v>28</v>
      </c>
      <c r="F470" s="2" t="s">
        <v>14</v>
      </c>
      <c r="G470" s="2" t="s">
        <v>19</v>
      </c>
      <c r="H470" s="2" t="s">
        <v>16</v>
      </c>
      <c r="I470" s="2" t="s">
        <v>17</v>
      </c>
    </row>
    <row r="471" spans="1:9" ht="14.4">
      <c r="A471" s="2" t="s">
        <v>44</v>
      </c>
      <c r="B471" s="2" t="s">
        <v>10</v>
      </c>
      <c r="C471" s="2" t="s">
        <v>15</v>
      </c>
      <c r="D471" s="2" t="s">
        <v>12</v>
      </c>
      <c r="E471" s="2" t="s">
        <v>28</v>
      </c>
      <c r="F471" s="2" t="s">
        <v>11</v>
      </c>
      <c r="G471" s="2" t="s">
        <v>19</v>
      </c>
      <c r="H471" s="2" t="s">
        <v>16</v>
      </c>
      <c r="I471" s="2" t="s">
        <v>17</v>
      </c>
    </row>
    <row r="472" spans="1:9" ht="14.4">
      <c r="A472" s="2" t="s">
        <v>43</v>
      </c>
      <c r="B472" s="2" t="s">
        <v>10</v>
      </c>
      <c r="C472" s="2" t="s">
        <v>11</v>
      </c>
      <c r="D472" s="2" t="s">
        <v>12</v>
      </c>
      <c r="E472" s="2" t="s">
        <v>28</v>
      </c>
      <c r="F472" s="2" t="s">
        <v>14</v>
      </c>
      <c r="G472" s="2" t="s">
        <v>19</v>
      </c>
      <c r="H472" s="2" t="s">
        <v>16</v>
      </c>
      <c r="I472" s="2" t="s">
        <v>17</v>
      </c>
    </row>
    <row r="473" spans="1:9" ht="14.4">
      <c r="A473" s="2" t="s">
        <v>42</v>
      </c>
      <c r="B473" s="2" t="s">
        <v>28</v>
      </c>
      <c r="C473" s="2" t="s">
        <v>15</v>
      </c>
      <c r="D473" s="2" t="s">
        <v>11</v>
      </c>
      <c r="E473" s="2" t="s">
        <v>19</v>
      </c>
      <c r="F473" s="2" t="s">
        <v>14</v>
      </c>
      <c r="G473" s="2" t="s">
        <v>13</v>
      </c>
      <c r="H473" s="2" t="s">
        <v>12</v>
      </c>
      <c r="I473" s="2" t="s">
        <v>17</v>
      </c>
    </row>
    <row r="474" spans="1:9" ht="14.4">
      <c r="A474" s="2" t="s">
        <v>41</v>
      </c>
      <c r="B474" s="2" t="s">
        <v>28</v>
      </c>
      <c r="C474" s="2" t="s">
        <v>15</v>
      </c>
      <c r="D474" s="2" t="s">
        <v>11</v>
      </c>
      <c r="E474" s="2" t="s">
        <v>19</v>
      </c>
      <c r="F474" s="2" t="s">
        <v>14</v>
      </c>
      <c r="G474" s="2" t="s">
        <v>13</v>
      </c>
      <c r="H474" s="2" t="s">
        <v>16</v>
      </c>
      <c r="I474" s="2" t="s">
        <v>12</v>
      </c>
    </row>
    <row r="475" spans="1:9" ht="14.4">
      <c r="A475" s="2" t="s">
        <v>40</v>
      </c>
      <c r="B475" s="2" t="s">
        <v>28</v>
      </c>
      <c r="C475" s="2" t="s">
        <v>15</v>
      </c>
      <c r="D475" s="2" t="s">
        <v>12</v>
      </c>
      <c r="E475" s="2" t="s">
        <v>19</v>
      </c>
      <c r="F475" s="2" t="s">
        <v>14</v>
      </c>
      <c r="G475" s="2" t="s">
        <v>13</v>
      </c>
      <c r="H475" s="2" t="s">
        <v>16</v>
      </c>
      <c r="I475" s="2" t="s">
        <v>17</v>
      </c>
    </row>
    <row r="476" spans="1:9" ht="14.4">
      <c r="A476" s="2" t="s">
        <v>39</v>
      </c>
      <c r="B476" s="2" t="s">
        <v>28</v>
      </c>
      <c r="C476" s="2" t="s">
        <v>15</v>
      </c>
      <c r="D476" s="2" t="s">
        <v>11</v>
      </c>
      <c r="E476" s="2" t="s">
        <v>19</v>
      </c>
      <c r="F476" s="2" t="s">
        <v>14</v>
      </c>
      <c r="G476" s="2" t="s">
        <v>13</v>
      </c>
      <c r="H476" s="2" t="s">
        <v>16</v>
      </c>
      <c r="I476" s="2" t="s">
        <v>17</v>
      </c>
    </row>
    <row r="477" spans="1:9" ht="14.4">
      <c r="A477" s="2" t="s">
        <v>38</v>
      </c>
      <c r="B477" s="2" t="s">
        <v>28</v>
      </c>
      <c r="C477" s="2" t="s">
        <v>15</v>
      </c>
      <c r="D477" s="2" t="s">
        <v>12</v>
      </c>
      <c r="E477" s="2" t="s">
        <v>19</v>
      </c>
      <c r="F477" s="2" t="s">
        <v>11</v>
      </c>
      <c r="G477" s="2" t="s">
        <v>13</v>
      </c>
      <c r="H477" s="2" t="s">
        <v>16</v>
      </c>
      <c r="I477" s="2" t="s">
        <v>17</v>
      </c>
    </row>
    <row r="478" spans="1:9" ht="14.4">
      <c r="A478" s="2" t="s">
        <v>37</v>
      </c>
      <c r="B478" s="2" t="s">
        <v>28</v>
      </c>
      <c r="C478" s="2" t="s">
        <v>11</v>
      </c>
      <c r="D478" s="2" t="s">
        <v>12</v>
      </c>
      <c r="E478" s="2" t="s">
        <v>19</v>
      </c>
      <c r="F478" s="2" t="s">
        <v>14</v>
      </c>
      <c r="G478" s="2" t="s">
        <v>13</v>
      </c>
      <c r="H478" s="2" t="s">
        <v>16</v>
      </c>
      <c r="I478" s="2" t="s">
        <v>17</v>
      </c>
    </row>
    <row r="479" spans="1:9" ht="14.4">
      <c r="A479" s="2" t="s">
        <v>36</v>
      </c>
      <c r="B479" s="2" t="s">
        <v>14</v>
      </c>
      <c r="C479" s="2" t="s">
        <v>15</v>
      </c>
      <c r="D479" s="2" t="s">
        <v>12</v>
      </c>
      <c r="E479" s="2" t="s">
        <v>28</v>
      </c>
      <c r="F479" s="2" t="s">
        <v>11</v>
      </c>
      <c r="G479" s="2" t="s">
        <v>19</v>
      </c>
      <c r="H479" s="2" t="s">
        <v>16</v>
      </c>
      <c r="I479" s="2" t="s">
        <v>17</v>
      </c>
    </row>
    <row r="480" spans="1:9" ht="14.4">
      <c r="A480" s="2" t="s">
        <v>35</v>
      </c>
      <c r="B480" s="2" t="s">
        <v>10</v>
      </c>
      <c r="C480" s="2" t="s">
        <v>15</v>
      </c>
      <c r="D480" s="2" t="s">
        <v>11</v>
      </c>
      <c r="E480" s="2" t="s">
        <v>28</v>
      </c>
      <c r="F480" s="2" t="s">
        <v>14</v>
      </c>
      <c r="G480" s="2" t="s">
        <v>13</v>
      </c>
      <c r="H480" s="2" t="s">
        <v>12</v>
      </c>
      <c r="I480" s="2" t="s">
        <v>17</v>
      </c>
    </row>
    <row r="481" spans="1:9" ht="14.4">
      <c r="A481" s="2" t="s">
        <v>34</v>
      </c>
      <c r="B481" s="2" t="s">
        <v>10</v>
      </c>
      <c r="C481" s="2" t="s">
        <v>15</v>
      </c>
      <c r="D481" s="2" t="s">
        <v>11</v>
      </c>
      <c r="E481" s="2" t="s">
        <v>28</v>
      </c>
      <c r="F481" s="2" t="s">
        <v>14</v>
      </c>
      <c r="G481" s="2" t="s">
        <v>13</v>
      </c>
      <c r="H481" s="2" t="s">
        <v>16</v>
      </c>
      <c r="I481" s="2" t="s">
        <v>12</v>
      </c>
    </row>
    <row r="482" spans="1:9" ht="14.4">
      <c r="A482" s="2" t="s">
        <v>33</v>
      </c>
      <c r="B482" s="2" t="s">
        <v>10</v>
      </c>
      <c r="C482" s="2" t="s">
        <v>15</v>
      </c>
      <c r="D482" s="2" t="s">
        <v>12</v>
      </c>
      <c r="E482" s="2" t="s">
        <v>28</v>
      </c>
      <c r="F482" s="2" t="s">
        <v>14</v>
      </c>
      <c r="G482" s="2" t="s">
        <v>13</v>
      </c>
      <c r="H482" s="2" t="s">
        <v>16</v>
      </c>
      <c r="I482" s="2" t="s">
        <v>17</v>
      </c>
    </row>
    <row r="483" spans="1:9" ht="14.4">
      <c r="A483" s="2" t="s">
        <v>32</v>
      </c>
      <c r="B483" s="2" t="s">
        <v>10</v>
      </c>
      <c r="C483" s="2" t="s">
        <v>15</v>
      </c>
      <c r="D483" s="2" t="s">
        <v>11</v>
      </c>
      <c r="E483" s="2" t="s">
        <v>28</v>
      </c>
      <c r="F483" s="2" t="s">
        <v>14</v>
      </c>
      <c r="G483" s="2" t="s">
        <v>13</v>
      </c>
      <c r="H483" s="2" t="s">
        <v>16</v>
      </c>
      <c r="I483" s="2" t="s">
        <v>17</v>
      </c>
    </row>
    <row r="484" spans="1:9" ht="14.4">
      <c r="A484" s="2" t="s">
        <v>31</v>
      </c>
      <c r="B484" s="2" t="s">
        <v>10</v>
      </c>
      <c r="C484" s="2" t="s">
        <v>15</v>
      </c>
      <c r="D484" s="2" t="s">
        <v>12</v>
      </c>
      <c r="E484" s="2" t="s">
        <v>28</v>
      </c>
      <c r="F484" s="2" t="s">
        <v>11</v>
      </c>
      <c r="G484" s="2" t="s">
        <v>13</v>
      </c>
      <c r="H484" s="2" t="s">
        <v>16</v>
      </c>
      <c r="I484" s="2" t="s">
        <v>17</v>
      </c>
    </row>
    <row r="485" spans="1:9" ht="14.4">
      <c r="A485" s="2" t="s">
        <v>30</v>
      </c>
      <c r="B485" s="2" t="s">
        <v>10</v>
      </c>
      <c r="C485" s="2" t="s">
        <v>11</v>
      </c>
      <c r="D485" s="2" t="s">
        <v>12</v>
      </c>
      <c r="E485" s="2" t="s">
        <v>28</v>
      </c>
      <c r="F485" s="2" t="s">
        <v>14</v>
      </c>
      <c r="G485" s="2" t="s">
        <v>13</v>
      </c>
      <c r="H485" s="2" t="s">
        <v>16</v>
      </c>
      <c r="I485" s="2" t="s">
        <v>17</v>
      </c>
    </row>
    <row r="486" spans="1:9" ht="14.4">
      <c r="A486" s="2" t="s">
        <v>29</v>
      </c>
      <c r="B486" s="2" t="s">
        <v>10</v>
      </c>
      <c r="C486" s="2" t="s">
        <v>11</v>
      </c>
      <c r="D486" s="2" t="s">
        <v>12</v>
      </c>
      <c r="E486" s="2" t="s">
        <v>28</v>
      </c>
      <c r="F486" s="2" t="s">
        <v>14</v>
      </c>
      <c r="G486" s="2" t="s">
        <v>15</v>
      </c>
      <c r="H486" s="2" t="s">
        <v>16</v>
      </c>
      <c r="I486" s="2" t="s">
        <v>17</v>
      </c>
    </row>
    <row r="487" spans="1:9" ht="14.4">
      <c r="A487" s="2" t="s">
        <v>27</v>
      </c>
      <c r="B487" s="2" t="s">
        <v>14</v>
      </c>
      <c r="C487" s="2" t="s">
        <v>15</v>
      </c>
      <c r="D487" s="2" t="s">
        <v>12</v>
      </c>
      <c r="E487" s="2" t="s">
        <v>28</v>
      </c>
      <c r="F487" s="2" t="s">
        <v>11</v>
      </c>
      <c r="G487" s="2" t="s">
        <v>13</v>
      </c>
      <c r="H487" s="2" t="s">
        <v>16</v>
      </c>
      <c r="I487" s="2" t="s">
        <v>17</v>
      </c>
    </row>
    <row r="488" spans="1:9" ht="14.4">
      <c r="A488" s="2" t="s">
        <v>26</v>
      </c>
      <c r="B488" s="2" t="s">
        <v>10</v>
      </c>
      <c r="C488" s="2" t="s">
        <v>15</v>
      </c>
      <c r="D488" s="2" t="s">
        <v>11</v>
      </c>
      <c r="E488" s="2" t="s">
        <v>19</v>
      </c>
      <c r="F488" s="2" t="s">
        <v>14</v>
      </c>
      <c r="G488" s="2" t="s">
        <v>13</v>
      </c>
      <c r="H488" s="2" t="s">
        <v>12</v>
      </c>
      <c r="I488" s="2" t="s">
        <v>17</v>
      </c>
    </row>
    <row r="489" spans="1:9" ht="14.4">
      <c r="A489" s="2" t="s">
        <v>25</v>
      </c>
      <c r="B489" s="2" t="s">
        <v>10</v>
      </c>
      <c r="C489" s="2" t="s">
        <v>15</v>
      </c>
      <c r="D489" s="2" t="s">
        <v>11</v>
      </c>
      <c r="E489" s="2" t="s">
        <v>19</v>
      </c>
      <c r="F489" s="2" t="s">
        <v>14</v>
      </c>
      <c r="G489" s="2" t="s">
        <v>13</v>
      </c>
      <c r="H489" s="2" t="s">
        <v>16</v>
      </c>
      <c r="I489" s="2" t="s">
        <v>12</v>
      </c>
    </row>
    <row r="490" spans="1:9" ht="14.4">
      <c r="A490" s="2" t="s">
        <v>24</v>
      </c>
      <c r="B490" s="2" t="s">
        <v>10</v>
      </c>
      <c r="C490" s="2" t="s">
        <v>15</v>
      </c>
      <c r="D490" s="2" t="s">
        <v>12</v>
      </c>
      <c r="E490" s="2" t="s">
        <v>19</v>
      </c>
      <c r="F490" s="2" t="s">
        <v>14</v>
      </c>
      <c r="G490" s="2" t="s">
        <v>13</v>
      </c>
      <c r="H490" s="2" t="s">
        <v>16</v>
      </c>
      <c r="I490" s="2" t="s">
        <v>17</v>
      </c>
    </row>
    <row r="491" spans="1:9" ht="14.4">
      <c r="A491" s="2" t="s">
        <v>23</v>
      </c>
      <c r="B491" s="2" t="s">
        <v>10</v>
      </c>
      <c r="C491" s="2" t="s">
        <v>15</v>
      </c>
      <c r="D491" s="2" t="s">
        <v>11</v>
      </c>
      <c r="E491" s="2" t="s">
        <v>19</v>
      </c>
      <c r="F491" s="2" t="s">
        <v>14</v>
      </c>
      <c r="G491" s="2" t="s">
        <v>13</v>
      </c>
      <c r="H491" s="2" t="s">
        <v>16</v>
      </c>
      <c r="I491" s="2" t="s">
        <v>17</v>
      </c>
    </row>
    <row r="492" spans="1:9" ht="14.4">
      <c r="A492" s="2" t="s">
        <v>22</v>
      </c>
      <c r="B492" s="2" t="s">
        <v>10</v>
      </c>
      <c r="C492" s="2" t="s">
        <v>15</v>
      </c>
      <c r="D492" s="2" t="s">
        <v>12</v>
      </c>
      <c r="E492" s="2" t="s">
        <v>19</v>
      </c>
      <c r="F492" s="2" t="s">
        <v>11</v>
      </c>
      <c r="G492" s="2" t="s">
        <v>13</v>
      </c>
      <c r="H492" s="2" t="s">
        <v>16</v>
      </c>
      <c r="I492" s="2" t="s">
        <v>17</v>
      </c>
    </row>
    <row r="493" spans="1:9" ht="14.4">
      <c r="A493" s="2" t="s">
        <v>21</v>
      </c>
      <c r="B493" s="2" t="s">
        <v>10</v>
      </c>
      <c r="C493" s="2" t="s">
        <v>11</v>
      </c>
      <c r="D493" s="2" t="s">
        <v>12</v>
      </c>
      <c r="E493" s="2" t="s">
        <v>19</v>
      </c>
      <c r="F493" s="2" t="s">
        <v>14</v>
      </c>
      <c r="G493" s="2" t="s">
        <v>13</v>
      </c>
      <c r="H493" s="2" t="s">
        <v>16</v>
      </c>
      <c r="I493" s="2" t="s">
        <v>17</v>
      </c>
    </row>
    <row r="494" spans="1:9" ht="14.4">
      <c r="A494" s="2" t="s">
        <v>20</v>
      </c>
      <c r="B494" s="2" t="s">
        <v>10</v>
      </c>
      <c r="C494" s="2" t="s">
        <v>11</v>
      </c>
      <c r="D494" s="2" t="s">
        <v>12</v>
      </c>
      <c r="E494" s="2" t="s">
        <v>19</v>
      </c>
      <c r="F494" s="2" t="s">
        <v>14</v>
      </c>
      <c r="G494" s="2" t="s">
        <v>15</v>
      </c>
      <c r="H494" s="2" t="s">
        <v>16</v>
      </c>
      <c r="I494" s="2" t="s">
        <v>17</v>
      </c>
    </row>
    <row r="495" spans="1:9" ht="14.4">
      <c r="A495" s="2" t="s">
        <v>18</v>
      </c>
      <c r="B495" s="2" t="s">
        <v>14</v>
      </c>
      <c r="C495" s="2" t="s">
        <v>15</v>
      </c>
      <c r="D495" s="2" t="s">
        <v>12</v>
      </c>
      <c r="E495" s="2" t="s">
        <v>19</v>
      </c>
      <c r="F495" s="2" t="s">
        <v>11</v>
      </c>
      <c r="G495" s="2" t="s">
        <v>13</v>
      </c>
      <c r="H495" s="2" t="s">
        <v>16</v>
      </c>
      <c r="I495" s="2" t="s">
        <v>17</v>
      </c>
    </row>
    <row r="496" spans="1:9" ht="14.4">
      <c r="A496" s="2" t="s">
        <v>9</v>
      </c>
      <c r="B496" s="2" t="s">
        <v>10</v>
      </c>
      <c r="C496" s="2" t="s">
        <v>11</v>
      </c>
      <c r="D496" s="2" t="s">
        <v>12</v>
      </c>
      <c r="E496" s="2" t="s">
        <v>13</v>
      </c>
      <c r="F496" s="2" t="s">
        <v>14</v>
      </c>
      <c r="G496" s="2" t="s">
        <v>15</v>
      </c>
      <c r="H496" s="2" t="s">
        <v>16</v>
      </c>
      <c r="I496" s="2" t="s">
        <v>17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3E757-C215-45EE-A95C-C19EA085D34F}">
  <sheetPr filterMode="1"/>
  <dimension ref="A1:AE496"/>
  <sheetViews>
    <sheetView workbookViewId="0">
      <selection activeCell="AE2" sqref="AE2"/>
    </sheetView>
  </sheetViews>
  <sheetFormatPr defaultRowHeight="13.8"/>
  <cols>
    <col min="1" max="1" width="9.19921875" bestFit="1" customWidth="1"/>
    <col min="2" max="2" width="4.8984375" bestFit="1" customWidth="1"/>
    <col min="3" max="3" width="4.796875" bestFit="1" customWidth="1"/>
    <col min="4" max="4" width="4.8984375" bestFit="1" customWidth="1"/>
    <col min="5" max="5" width="4.69921875" bestFit="1" customWidth="1"/>
    <col min="6" max="6" width="5" bestFit="1" customWidth="1"/>
    <col min="7" max="7" width="4.296875" bestFit="1" customWidth="1"/>
    <col min="8" max="8" width="4.796875" bestFit="1" customWidth="1"/>
    <col min="9" max="9" width="4.59765625" bestFit="1" customWidth="1"/>
    <col min="10" max="10" width="13.09765625" bestFit="1" customWidth="1"/>
    <col min="21" max="28" width="13.09765625" bestFit="1" customWidth="1"/>
  </cols>
  <sheetData>
    <row r="1" spans="1:31" ht="14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s="5" t="s">
        <v>0</v>
      </c>
      <c r="L1" s="5" t="s">
        <v>1</v>
      </c>
      <c r="M1" s="5" t="s">
        <v>2</v>
      </c>
      <c r="N1" s="5" t="s">
        <v>3</v>
      </c>
      <c r="O1" s="5" t="s">
        <v>4</v>
      </c>
      <c r="P1" s="5" t="s">
        <v>5</v>
      </c>
      <c r="Q1" s="5" t="s">
        <v>6</v>
      </c>
      <c r="R1" s="5" t="s">
        <v>7</v>
      </c>
      <c r="S1" s="5" t="s">
        <v>8</v>
      </c>
      <c r="U1" s="5" t="s">
        <v>1</v>
      </c>
      <c r="V1" s="5" t="s">
        <v>2</v>
      </c>
      <c r="W1" s="5" t="s">
        <v>3</v>
      </c>
      <c r="X1" s="5" t="s">
        <v>4</v>
      </c>
      <c r="Y1" s="5" t="s">
        <v>5</v>
      </c>
      <c r="Z1" s="5" t="s">
        <v>6</v>
      </c>
      <c r="AA1" s="5" t="s">
        <v>7</v>
      </c>
      <c r="AB1" s="5" t="s">
        <v>8</v>
      </c>
    </row>
    <row r="2" spans="1:31" ht="14.4">
      <c r="A2" s="2" t="s">
        <v>515</v>
      </c>
      <c r="B2" s="2" t="s">
        <v>14</v>
      </c>
      <c r="C2" s="2" t="s">
        <v>15</v>
      </c>
      <c r="D2" s="2" t="s">
        <v>65</v>
      </c>
      <c r="E2" s="2" t="s">
        <v>28</v>
      </c>
      <c r="F2" s="2" t="s">
        <v>186</v>
      </c>
      <c r="G2" s="2" t="s">
        <v>13</v>
      </c>
      <c r="H2" s="2" t="s">
        <v>19</v>
      </c>
      <c r="I2" s="2" t="s">
        <v>10</v>
      </c>
      <c r="J2" t="b">
        <f>K2=A2</f>
        <v>1</v>
      </c>
      <c r="K2" s="6" t="s">
        <v>515</v>
      </c>
      <c r="L2" s="7" t="s">
        <v>14</v>
      </c>
      <c r="M2" s="7" t="s">
        <v>15</v>
      </c>
      <c r="N2" s="7" t="s">
        <v>65</v>
      </c>
      <c r="O2" s="7" t="s">
        <v>28</v>
      </c>
      <c r="P2" s="7" t="s">
        <v>186</v>
      </c>
      <c r="Q2" s="7" t="s">
        <v>13</v>
      </c>
      <c r="R2" s="7" t="s">
        <v>19</v>
      </c>
      <c r="S2" s="7" t="s">
        <v>10</v>
      </c>
      <c r="U2" t="b">
        <f>B2=L2</f>
        <v>1</v>
      </c>
      <c r="V2" t="b">
        <f t="shared" ref="V2:AB2" si="0">C2=M2</f>
        <v>1</v>
      </c>
      <c r="W2" t="b">
        <f t="shared" si="0"/>
        <v>1</v>
      </c>
      <c r="X2" t="b">
        <f t="shared" si="0"/>
        <v>1</v>
      </c>
      <c r="Y2" t="b">
        <f t="shared" si="0"/>
        <v>1</v>
      </c>
      <c r="Z2" t="b">
        <f t="shared" si="0"/>
        <v>1</v>
      </c>
      <c r="AA2" t="b">
        <f t="shared" si="0"/>
        <v>1</v>
      </c>
      <c r="AB2" t="b">
        <f t="shared" si="0"/>
        <v>1</v>
      </c>
      <c r="AE2">
        <f>418/495</f>
        <v>0.84444444444444444</v>
      </c>
    </row>
    <row r="3" spans="1:31" ht="14.4" hidden="1">
      <c r="A3" s="2" t="s">
        <v>514</v>
      </c>
      <c r="B3" s="2" t="s">
        <v>28</v>
      </c>
      <c r="C3" s="2" t="s">
        <v>15</v>
      </c>
      <c r="D3" s="2" t="s">
        <v>65</v>
      </c>
      <c r="E3" s="2" t="s">
        <v>19</v>
      </c>
      <c r="F3" s="2" t="s">
        <v>186</v>
      </c>
      <c r="G3" s="2" t="s">
        <v>13</v>
      </c>
      <c r="H3" s="2" t="s">
        <v>10</v>
      </c>
      <c r="I3" s="2" t="s">
        <v>12</v>
      </c>
      <c r="J3" t="b">
        <f t="shared" ref="J3:J66" si="1">K3=A3</f>
        <v>1</v>
      </c>
      <c r="K3" s="8" t="s">
        <v>514</v>
      </c>
      <c r="L3" s="9" t="s">
        <v>14</v>
      </c>
      <c r="M3" s="9" t="s">
        <v>15</v>
      </c>
      <c r="N3" s="9" t="s">
        <v>65</v>
      </c>
      <c r="O3" s="9" t="s">
        <v>28</v>
      </c>
      <c r="P3" s="9" t="s">
        <v>186</v>
      </c>
      <c r="Q3" s="9" t="s">
        <v>13</v>
      </c>
      <c r="R3" s="9" t="s">
        <v>19</v>
      </c>
      <c r="S3" s="9" t="s">
        <v>10</v>
      </c>
      <c r="U3" t="b">
        <f t="shared" ref="U3:U66" si="2">B3=L3</f>
        <v>0</v>
      </c>
      <c r="V3" t="b">
        <f t="shared" ref="V3:V66" si="3">C3=M3</f>
        <v>1</v>
      </c>
      <c r="W3" t="b">
        <f t="shared" ref="W3:W66" si="4">D3=N3</f>
        <v>1</v>
      </c>
      <c r="X3" t="b">
        <f t="shared" ref="X3:X66" si="5">E3=O3</f>
        <v>0</v>
      </c>
      <c r="Y3" t="b">
        <f t="shared" ref="Y3:Y66" si="6">F3=P3</f>
        <v>1</v>
      </c>
      <c r="Z3" t="b">
        <f t="shared" ref="Z3:Z66" si="7">G3=Q3</f>
        <v>1</v>
      </c>
      <c r="AA3" t="b">
        <f t="shared" ref="AA3:AA66" si="8">H3=R3</f>
        <v>0</v>
      </c>
      <c r="AB3" t="b">
        <f t="shared" ref="AB3:AB66" si="9">I3=S3</f>
        <v>0</v>
      </c>
    </row>
    <row r="4" spans="1:31" ht="14.4" hidden="1">
      <c r="A4" s="2" t="s">
        <v>513</v>
      </c>
      <c r="B4" s="2" t="s">
        <v>28</v>
      </c>
      <c r="C4" s="2" t="s">
        <v>15</v>
      </c>
      <c r="D4" s="2" t="s">
        <v>65</v>
      </c>
      <c r="E4" s="2" t="s">
        <v>19</v>
      </c>
      <c r="F4" s="2" t="s">
        <v>186</v>
      </c>
      <c r="G4" s="2" t="s">
        <v>13</v>
      </c>
      <c r="H4" s="2" t="s">
        <v>10</v>
      </c>
      <c r="I4" s="2" t="s">
        <v>11</v>
      </c>
      <c r="J4" t="b">
        <f t="shared" si="1"/>
        <v>1</v>
      </c>
      <c r="K4" s="6" t="s">
        <v>513</v>
      </c>
      <c r="L4" s="7" t="s">
        <v>14</v>
      </c>
      <c r="M4" s="7" t="s">
        <v>15</v>
      </c>
      <c r="N4" s="7" t="s">
        <v>65</v>
      </c>
      <c r="O4" s="7" t="s">
        <v>28</v>
      </c>
      <c r="P4" s="7" t="s">
        <v>186</v>
      </c>
      <c r="Q4" s="7" t="s">
        <v>13</v>
      </c>
      <c r="R4" s="7" t="s">
        <v>19</v>
      </c>
      <c r="S4" s="7" t="s">
        <v>10</v>
      </c>
      <c r="U4" t="b">
        <f t="shared" si="2"/>
        <v>0</v>
      </c>
      <c r="V4" t="b">
        <f t="shared" si="3"/>
        <v>1</v>
      </c>
      <c r="W4" t="b">
        <f t="shared" si="4"/>
        <v>1</v>
      </c>
      <c r="X4" t="b">
        <f t="shared" si="5"/>
        <v>0</v>
      </c>
      <c r="Y4" t="b">
        <f t="shared" si="6"/>
        <v>1</v>
      </c>
      <c r="Z4" t="b">
        <f t="shared" si="7"/>
        <v>1</v>
      </c>
      <c r="AA4" t="b">
        <f t="shared" si="8"/>
        <v>0</v>
      </c>
      <c r="AB4" t="b">
        <f t="shared" si="9"/>
        <v>0</v>
      </c>
    </row>
    <row r="5" spans="1:31" ht="14.4" hidden="1">
      <c r="A5" s="2" t="s">
        <v>512</v>
      </c>
      <c r="B5" s="2" t="s">
        <v>28</v>
      </c>
      <c r="C5" s="2" t="s">
        <v>15</v>
      </c>
      <c r="D5" s="2" t="s">
        <v>65</v>
      </c>
      <c r="E5" s="2" t="s">
        <v>19</v>
      </c>
      <c r="F5" s="2" t="s">
        <v>186</v>
      </c>
      <c r="G5" s="2" t="s">
        <v>13</v>
      </c>
      <c r="H5" s="2" t="s">
        <v>10</v>
      </c>
      <c r="I5" s="2" t="s">
        <v>17</v>
      </c>
      <c r="J5" t="b">
        <f t="shared" si="1"/>
        <v>1</v>
      </c>
      <c r="K5" s="8" t="s">
        <v>512</v>
      </c>
      <c r="L5" s="9" t="s">
        <v>14</v>
      </c>
      <c r="M5" s="9" t="s">
        <v>15</v>
      </c>
      <c r="N5" s="9" t="s">
        <v>65</v>
      </c>
      <c r="O5" s="9" t="s">
        <v>28</v>
      </c>
      <c r="P5" s="9" t="s">
        <v>186</v>
      </c>
      <c r="Q5" s="9" t="s">
        <v>13</v>
      </c>
      <c r="R5" s="9" t="s">
        <v>19</v>
      </c>
      <c r="S5" s="9" t="s">
        <v>10</v>
      </c>
      <c r="U5" t="b">
        <f t="shared" si="2"/>
        <v>0</v>
      </c>
      <c r="V5" t="b">
        <f t="shared" si="3"/>
        <v>1</v>
      </c>
      <c r="W5" t="b">
        <f t="shared" si="4"/>
        <v>1</v>
      </c>
      <c r="X5" t="b">
        <f t="shared" si="5"/>
        <v>0</v>
      </c>
      <c r="Y5" t="b">
        <f t="shared" si="6"/>
        <v>1</v>
      </c>
      <c r="Z5" t="b">
        <f t="shared" si="7"/>
        <v>1</v>
      </c>
      <c r="AA5" t="b">
        <f t="shared" si="8"/>
        <v>0</v>
      </c>
      <c r="AB5" t="b">
        <f t="shared" si="9"/>
        <v>0</v>
      </c>
    </row>
    <row r="6" spans="1:31" ht="14.4" hidden="1">
      <c r="A6" s="2" t="s">
        <v>511</v>
      </c>
      <c r="B6" s="2" t="s">
        <v>28</v>
      </c>
      <c r="C6" s="2" t="s">
        <v>15</v>
      </c>
      <c r="D6" s="2" t="s">
        <v>65</v>
      </c>
      <c r="E6" s="2" t="s">
        <v>19</v>
      </c>
      <c r="F6" s="2" t="s">
        <v>186</v>
      </c>
      <c r="G6" s="2" t="s">
        <v>13</v>
      </c>
      <c r="H6" s="2" t="s">
        <v>16</v>
      </c>
      <c r="I6" s="2" t="s">
        <v>10</v>
      </c>
      <c r="J6" t="b">
        <f t="shared" si="1"/>
        <v>1</v>
      </c>
      <c r="K6" s="6" t="s">
        <v>511</v>
      </c>
      <c r="L6" s="7" t="s">
        <v>14</v>
      </c>
      <c r="M6" s="7" t="s">
        <v>15</v>
      </c>
      <c r="N6" s="7" t="s">
        <v>65</v>
      </c>
      <c r="O6" s="7" t="s">
        <v>28</v>
      </c>
      <c r="P6" s="7" t="s">
        <v>186</v>
      </c>
      <c r="Q6" s="7" t="s">
        <v>13</v>
      </c>
      <c r="R6" s="7" t="s">
        <v>19</v>
      </c>
      <c r="S6" s="7" t="s">
        <v>10</v>
      </c>
      <c r="U6" t="b">
        <f t="shared" si="2"/>
        <v>0</v>
      </c>
      <c r="V6" t="b">
        <f t="shared" si="3"/>
        <v>1</v>
      </c>
      <c r="W6" t="b">
        <f t="shared" si="4"/>
        <v>1</v>
      </c>
      <c r="X6" t="b">
        <f t="shared" si="5"/>
        <v>0</v>
      </c>
      <c r="Y6" t="b">
        <f t="shared" si="6"/>
        <v>1</v>
      </c>
      <c r="Z6" t="b">
        <f t="shared" si="7"/>
        <v>1</v>
      </c>
      <c r="AA6" t="b">
        <f t="shared" si="8"/>
        <v>0</v>
      </c>
      <c r="AB6" t="b">
        <f t="shared" si="9"/>
        <v>1</v>
      </c>
    </row>
    <row r="7" spans="1:31" ht="14.4" hidden="1">
      <c r="A7" s="2" t="s">
        <v>510</v>
      </c>
      <c r="B7" s="2" t="s">
        <v>14</v>
      </c>
      <c r="C7" s="2" t="s">
        <v>10</v>
      </c>
      <c r="D7" s="2" t="s">
        <v>65</v>
      </c>
      <c r="E7" s="2" t="s">
        <v>28</v>
      </c>
      <c r="F7" s="2" t="s">
        <v>186</v>
      </c>
      <c r="G7" s="2" t="s">
        <v>13</v>
      </c>
      <c r="H7" s="2" t="s">
        <v>19</v>
      </c>
      <c r="I7" s="2" t="s">
        <v>12</v>
      </c>
      <c r="J7" t="b">
        <f t="shared" si="1"/>
        <v>1</v>
      </c>
      <c r="K7" s="8" t="s">
        <v>510</v>
      </c>
      <c r="L7" s="9" t="s">
        <v>14</v>
      </c>
      <c r="M7" s="9" t="s">
        <v>15</v>
      </c>
      <c r="N7" s="9" t="s">
        <v>65</v>
      </c>
      <c r="O7" s="9" t="s">
        <v>28</v>
      </c>
      <c r="P7" s="9" t="s">
        <v>186</v>
      </c>
      <c r="Q7" s="9" t="s">
        <v>13</v>
      </c>
      <c r="R7" s="9" t="s">
        <v>19</v>
      </c>
      <c r="S7" s="9" t="s">
        <v>10</v>
      </c>
      <c r="U7" t="b">
        <f t="shared" si="2"/>
        <v>1</v>
      </c>
      <c r="V7" t="b">
        <f t="shared" si="3"/>
        <v>0</v>
      </c>
      <c r="W7" t="b">
        <f t="shared" si="4"/>
        <v>1</v>
      </c>
      <c r="X7" t="b">
        <f t="shared" si="5"/>
        <v>1</v>
      </c>
      <c r="Y7" t="b">
        <f t="shared" si="6"/>
        <v>1</v>
      </c>
      <c r="Z7" t="b">
        <f t="shared" si="7"/>
        <v>1</v>
      </c>
      <c r="AA7" t="b">
        <f t="shared" si="8"/>
        <v>1</v>
      </c>
      <c r="AB7" t="b">
        <f t="shared" si="9"/>
        <v>0</v>
      </c>
    </row>
    <row r="8" spans="1:31" ht="14.4" hidden="1">
      <c r="A8" s="2" t="s">
        <v>509</v>
      </c>
      <c r="B8" s="2" t="s">
        <v>14</v>
      </c>
      <c r="C8" s="2" t="s">
        <v>11</v>
      </c>
      <c r="D8" s="2" t="s">
        <v>65</v>
      </c>
      <c r="E8" s="2" t="s">
        <v>28</v>
      </c>
      <c r="F8" s="2" t="s">
        <v>186</v>
      </c>
      <c r="G8" s="2" t="s">
        <v>13</v>
      </c>
      <c r="H8" s="2" t="s">
        <v>19</v>
      </c>
      <c r="I8" s="2" t="s">
        <v>10</v>
      </c>
      <c r="J8" t="b">
        <f t="shared" si="1"/>
        <v>1</v>
      </c>
      <c r="K8" s="6" t="s">
        <v>509</v>
      </c>
      <c r="L8" s="7" t="s">
        <v>14</v>
      </c>
      <c r="M8" s="7" t="s">
        <v>15</v>
      </c>
      <c r="N8" s="7" t="s">
        <v>65</v>
      </c>
      <c r="O8" s="7" t="s">
        <v>28</v>
      </c>
      <c r="P8" s="7" t="s">
        <v>186</v>
      </c>
      <c r="Q8" s="7" t="s">
        <v>13</v>
      </c>
      <c r="R8" s="7" t="s">
        <v>19</v>
      </c>
      <c r="S8" s="7" t="s">
        <v>10</v>
      </c>
      <c r="U8" t="b">
        <f t="shared" si="2"/>
        <v>1</v>
      </c>
      <c r="V8" t="b">
        <f t="shared" si="3"/>
        <v>0</v>
      </c>
      <c r="W8" t="b">
        <f t="shared" si="4"/>
        <v>1</v>
      </c>
      <c r="X8" t="b">
        <f t="shared" si="5"/>
        <v>1</v>
      </c>
      <c r="Y8" t="b">
        <f t="shared" si="6"/>
        <v>1</v>
      </c>
      <c r="Z8" t="b">
        <f t="shared" si="7"/>
        <v>1</v>
      </c>
      <c r="AA8" t="b">
        <f t="shared" si="8"/>
        <v>1</v>
      </c>
      <c r="AB8" t="b">
        <f t="shared" si="9"/>
        <v>1</v>
      </c>
    </row>
    <row r="9" spans="1:31" ht="14.4" hidden="1">
      <c r="A9" s="2" t="s">
        <v>508</v>
      </c>
      <c r="B9" s="2" t="s">
        <v>14</v>
      </c>
      <c r="C9" s="2" t="s">
        <v>10</v>
      </c>
      <c r="D9" s="2" t="s">
        <v>65</v>
      </c>
      <c r="E9" s="2" t="s">
        <v>28</v>
      </c>
      <c r="F9" s="2" t="s">
        <v>186</v>
      </c>
      <c r="G9" s="2" t="s">
        <v>13</v>
      </c>
      <c r="H9" s="2" t="s">
        <v>19</v>
      </c>
      <c r="I9" s="2" t="s">
        <v>17</v>
      </c>
      <c r="J9" t="b">
        <f t="shared" si="1"/>
        <v>1</v>
      </c>
      <c r="K9" s="8" t="s">
        <v>508</v>
      </c>
      <c r="L9" s="9" t="s">
        <v>14</v>
      </c>
      <c r="M9" s="9" t="s">
        <v>15</v>
      </c>
      <c r="N9" s="9" t="s">
        <v>65</v>
      </c>
      <c r="O9" s="9" t="s">
        <v>28</v>
      </c>
      <c r="P9" s="9" t="s">
        <v>186</v>
      </c>
      <c r="Q9" s="9" t="s">
        <v>13</v>
      </c>
      <c r="R9" s="9" t="s">
        <v>19</v>
      </c>
      <c r="S9" s="9" t="s">
        <v>10</v>
      </c>
      <c r="U9" t="b">
        <f t="shared" si="2"/>
        <v>1</v>
      </c>
      <c r="V9" t="b">
        <f t="shared" si="3"/>
        <v>0</v>
      </c>
      <c r="W9" t="b">
        <f t="shared" si="4"/>
        <v>1</v>
      </c>
      <c r="X9" t="b">
        <f t="shared" si="5"/>
        <v>1</v>
      </c>
      <c r="Y9" t="b">
        <f t="shared" si="6"/>
        <v>1</v>
      </c>
      <c r="Z9" t="b">
        <f t="shared" si="7"/>
        <v>1</v>
      </c>
      <c r="AA9" t="b">
        <f t="shared" si="8"/>
        <v>1</v>
      </c>
      <c r="AB9" t="b">
        <f t="shared" si="9"/>
        <v>0</v>
      </c>
    </row>
    <row r="10" spans="1:31" ht="14.4" hidden="1">
      <c r="A10" s="2" t="s">
        <v>507</v>
      </c>
      <c r="B10" s="2" t="s">
        <v>14</v>
      </c>
      <c r="C10" s="2" t="s">
        <v>13</v>
      </c>
      <c r="D10" s="2" t="s">
        <v>65</v>
      </c>
      <c r="E10" s="2" t="s">
        <v>28</v>
      </c>
      <c r="F10" s="2" t="s">
        <v>186</v>
      </c>
      <c r="G10" s="2" t="s">
        <v>19</v>
      </c>
      <c r="H10" s="2" t="s">
        <v>16</v>
      </c>
      <c r="I10" s="2" t="s">
        <v>10</v>
      </c>
      <c r="J10" t="b">
        <f t="shared" si="1"/>
        <v>1</v>
      </c>
      <c r="K10" s="6" t="s">
        <v>507</v>
      </c>
      <c r="L10" s="7" t="s">
        <v>14</v>
      </c>
      <c r="M10" s="7" t="s">
        <v>15</v>
      </c>
      <c r="N10" s="7" t="s">
        <v>65</v>
      </c>
      <c r="O10" s="7" t="s">
        <v>28</v>
      </c>
      <c r="P10" s="7" t="s">
        <v>186</v>
      </c>
      <c r="Q10" s="7" t="s">
        <v>13</v>
      </c>
      <c r="R10" s="7" t="s">
        <v>19</v>
      </c>
      <c r="S10" s="7" t="s">
        <v>10</v>
      </c>
      <c r="U10" t="b">
        <f t="shared" si="2"/>
        <v>1</v>
      </c>
      <c r="V10" t="b">
        <f t="shared" si="3"/>
        <v>0</v>
      </c>
      <c r="W10" t="b">
        <f t="shared" si="4"/>
        <v>1</v>
      </c>
      <c r="X10" t="b">
        <f t="shared" si="5"/>
        <v>1</v>
      </c>
      <c r="Y10" t="b">
        <f t="shared" si="6"/>
        <v>1</v>
      </c>
      <c r="Z10" t="b">
        <f t="shared" si="7"/>
        <v>0</v>
      </c>
      <c r="AA10" t="b">
        <f t="shared" si="8"/>
        <v>0</v>
      </c>
      <c r="AB10" t="b">
        <f t="shared" si="9"/>
        <v>1</v>
      </c>
    </row>
    <row r="11" spans="1:31" ht="14.4">
      <c r="A11" s="2" t="s">
        <v>506</v>
      </c>
      <c r="B11" s="2" t="s">
        <v>28</v>
      </c>
      <c r="C11" s="2" t="s">
        <v>11</v>
      </c>
      <c r="D11" s="2" t="s">
        <v>65</v>
      </c>
      <c r="E11" s="2" t="s">
        <v>19</v>
      </c>
      <c r="F11" s="2" t="s">
        <v>186</v>
      </c>
      <c r="G11" s="2" t="s">
        <v>13</v>
      </c>
      <c r="H11" s="2" t="s">
        <v>10</v>
      </c>
      <c r="I11" s="2" t="s">
        <v>12</v>
      </c>
      <c r="J11" t="b">
        <f t="shared" si="1"/>
        <v>1</v>
      </c>
      <c r="K11" s="8" t="s">
        <v>506</v>
      </c>
      <c r="L11" s="9" t="s">
        <v>28</v>
      </c>
      <c r="M11" s="9" t="s">
        <v>11</v>
      </c>
      <c r="N11" s="9" t="s">
        <v>65</v>
      </c>
      <c r="O11" s="9" t="s">
        <v>19</v>
      </c>
      <c r="P11" s="9" t="s">
        <v>186</v>
      </c>
      <c r="Q11" s="9" t="s">
        <v>13</v>
      </c>
      <c r="R11" s="9" t="s">
        <v>10</v>
      </c>
      <c r="S11" s="9" t="s">
        <v>12</v>
      </c>
      <c r="U11" t="b">
        <f t="shared" si="2"/>
        <v>1</v>
      </c>
      <c r="V11" t="b">
        <f t="shared" si="3"/>
        <v>1</v>
      </c>
      <c r="W11" t="b">
        <f t="shared" si="4"/>
        <v>1</v>
      </c>
      <c r="X11" t="b">
        <f t="shared" si="5"/>
        <v>1</v>
      </c>
      <c r="Y11" t="b">
        <f t="shared" si="6"/>
        <v>1</v>
      </c>
      <c r="Z11" t="b">
        <f t="shared" si="7"/>
        <v>1</v>
      </c>
      <c r="AA11" t="b">
        <f t="shared" si="8"/>
        <v>1</v>
      </c>
      <c r="AB11" t="b">
        <f t="shared" si="9"/>
        <v>1</v>
      </c>
    </row>
    <row r="12" spans="1:31" ht="14.4" hidden="1">
      <c r="A12" s="2" t="s">
        <v>505</v>
      </c>
      <c r="B12" s="2" t="s">
        <v>28</v>
      </c>
      <c r="C12" s="2" t="s">
        <v>10</v>
      </c>
      <c r="D12" s="2" t="s">
        <v>65</v>
      </c>
      <c r="E12" s="2" t="s">
        <v>19</v>
      </c>
      <c r="F12" s="2" t="s">
        <v>186</v>
      </c>
      <c r="G12" s="2" t="s">
        <v>13</v>
      </c>
      <c r="H12" s="2" t="s">
        <v>12</v>
      </c>
      <c r="I12" s="2" t="s">
        <v>17</v>
      </c>
      <c r="J12" t="b">
        <f t="shared" si="1"/>
        <v>1</v>
      </c>
      <c r="K12" s="6" t="s">
        <v>505</v>
      </c>
      <c r="L12" s="7" t="s">
        <v>14</v>
      </c>
      <c r="M12" s="7" t="s">
        <v>15</v>
      </c>
      <c r="N12" s="7" t="s">
        <v>65</v>
      </c>
      <c r="O12" s="7" t="s">
        <v>28</v>
      </c>
      <c r="P12" s="7" t="s">
        <v>186</v>
      </c>
      <c r="Q12" s="7" t="s">
        <v>13</v>
      </c>
      <c r="R12" s="7" t="s">
        <v>19</v>
      </c>
      <c r="S12" s="7" t="s">
        <v>10</v>
      </c>
      <c r="U12" t="b">
        <f t="shared" si="2"/>
        <v>0</v>
      </c>
      <c r="V12" t="b">
        <f t="shared" si="3"/>
        <v>0</v>
      </c>
      <c r="W12" t="b">
        <f t="shared" si="4"/>
        <v>1</v>
      </c>
      <c r="X12" t="b">
        <f t="shared" si="5"/>
        <v>0</v>
      </c>
      <c r="Y12" t="b">
        <f t="shared" si="6"/>
        <v>1</v>
      </c>
      <c r="Z12" t="b">
        <f t="shared" si="7"/>
        <v>1</v>
      </c>
      <c r="AA12" t="b">
        <f t="shared" si="8"/>
        <v>0</v>
      </c>
      <c r="AB12" t="b">
        <f t="shared" si="9"/>
        <v>0</v>
      </c>
    </row>
    <row r="13" spans="1:31" ht="14.4" hidden="1">
      <c r="A13" s="2" t="s">
        <v>504</v>
      </c>
      <c r="B13" s="2" t="s">
        <v>28</v>
      </c>
      <c r="C13" s="2" t="s">
        <v>10</v>
      </c>
      <c r="D13" s="2" t="s">
        <v>65</v>
      </c>
      <c r="E13" s="2" t="s">
        <v>19</v>
      </c>
      <c r="F13" s="2" t="s">
        <v>186</v>
      </c>
      <c r="G13" s="2" t="s">
        <v>13</v>
      </c>
      <c r="H13" s="2" t="s">
        <v>16</v>
      </c>
      <c r="I13" s="2" t="s">
        <v>12</v>
      </c>
      <c r="J13" t="b">
        <f t="shared" si="1"/>
        <v>1</v>
      </c>
      <c r="K13" s="8" t="s">
        <v>504</v>
      </c>
      <c r="L13" s="9" t="s">
        <v>14</v>
      </c>
      <c r="M13" s="9" t="s">
        <v>15</v>
      </c>
      <c r="N13" s="9" t="s">
        <v>65</v>
      </c>
      <c r="O13" s="9" t="s">
        <v>28</v>
      </c>
      <c r="P13" s="9" t="s">
        <v>186</v>
      </c>
      <c r="Q13" s="9" t="s">
        <v>13</v>
      </c>
      <c r="R13" s="9" t="s">
        <v>19</v>
      </c>
      <c r="S13" s="9" t="s">
        <v>10</v>
      </c>
      <c r="U13" t="b">
        <f t="shared" si="2"/>
        <v>0</v>
      </c>
      <c r="V13" t="b">
        <f t="shared" si="3"/>
        <v>0</v>
      </c>
      <c r="W13" t="b">
        <f t="shared" si="4"/>
        <v>1</v>
      </c>
      <c r="X13" t="b">
        <f t="shared" si="5"/>
        <v>0</v>
      </c>
      <c r="Y13" t="b">
        <f t="shared" si="6"/>
        <v>1</v>
      </c>
      <c r="Z13" t="b">
        <f t="shared" si="7"/>
        <v>1</v>
      </c>
      <c r="AA13" t="b">
        <f t="shared" si="8"/>
        <v>0</v>
      </c>
      <c r="AB13" t="b">
        <f t="shared" si="9"/>
        <v>0</v>
      </c>
    </row>
    <row r="14" spans="1:31" ht="14.4">
      <c r="A14" s="2" t="s">
        <v>503</v>
      </c>
      <c r="B14" s="2" t="s">
        <v>28</v>
      </c>
      <c r="C14" s="2" t="s">
        <v>11</v>
      </c>
      <c r="D14" s="2" t="s">
        <v>65</v>
      </c>
      <c r="E14" s="2" t="s">
        <v>19</v>
      </c>
      <c r="F14" s="2" t="s">
        <v>186</v>
      </c>
      <c r="G14" s="2" t="s">
        <v>13</v>
      </c>
      <c r="H14" s="2" t="s">
        <v>10</v>
      </c>
      <c r="I14" s="2" t="s">
        <v>17</v>
      </c>
      <c r="J14" t="b">
        <f t="shared" si="1"/>
        <v>1</v>
      </c>
      <c r="K14" s="6" t="s">
        <v>503</v>
      </c>
      <c r="L14" s="7" t="s">
        <v>28</v>
      </c>
      <c r="M14" s="7" t="s">
        <v>11</v>
      </c>
      <c r="N14" s="7" t="s">
        <v>65</v>
      </c>
      <c r="O14" s="7" t="s">
        <v>19</v>
      </c>
      <c r="P14" s="7" t="s">
        <v>186</v>
      </c>
      <c r="Q14" s="7" t="s">
        <v>13</v>
      </c>
      <c r="R14" s="7" t="s">
        <v>10</v>
      </c>
      <c r="S14" s="7" t="s">
        <v>17</v>
      </c>
      <c r="U14" t="b">
        <f t="shared" si="2"/>
        <v>1</v>
      </c>
      <c r="V14" t="b">
        <f t="shared" si="3"/>
        <v>1</v>
      </c>
      <c r="W14" t="b">
        <f t="shared" si="4"/>
        <v>1</v>
      </c>
      <c r="X14" t="b">
        <f t="shared" si="5"/>
        <v>1</v>
      </c>
      <c r="Y14" t="b">
        <f t="shared" si="6"/>
        <v>1</v>
      </c>
      <c r="Z14" t="b">
        <f t="shared" si="7"/>
        <v>1</v>
      </c>
      <c r="AA14" t="b">
        <f t="shared" si="8"/>
        <v>1</v>
      </c>
      <c r="AB14" t="b">
        <f t="shared" si="9"/>
        <v>1</v>
      </c>
    </row>
    <row r="15" spans="1:31" ht="14.4">
      <c r="A15" s="2" t="s">
        <v>502</v>
      </c>
      <c r="B15" s="2" t="s">
        <v>28</v>
      </c>
      <c r="C15" s="2" t="s">
        <v>11</v>
      </c>
      <c r="D15" s="2" t="s">
        <v>65</v>
      </c>
      <c r="E15" s="2" t="s">
        <v>19</v>
      </c>
      <c r="F15" s="2" t="s">
        <v>186</v>
      </c>
      <c r="G15" s="2" t="s">
        <v>13</v>
      </c>
      <c r="H15" s="2" t="s">
        <v>16</v>
      </c>
      <c r="I15" s="2" t="s">
        <v>10</v>
      </c>
      <c r="J15" t="b">
        <f t="shared" si="1"/>
        <v>1</v>
      </c>
      <c r="K15" s="8" t="s">
        <v>502</v>
      </c>
      <c r="L15" s="9" t="s">
        <v>28</v>
      </c>
      <c r="M15" s="9" t="s">
        <v>11</v>
      </c>
      <c r="N15" s="9" t="s">
        <v>65</v>
      </c>
      <c r="O15" s="9" t="s">
        <v>19</v>
      </c>
      <c r="P15" s="9" t="s">
        <v>186</v>
      </c>
      <c r="Q15" s="9" t="s">
        <v>13</v>
      </c>
      <c r="R15" s="9" t="s">
        <v>16</v>
      </c>
      <c r="S15" s="9" t="s">
        <v>10</v>
      </c>
      <c r="U15" t="b">
        <f t="shared" si="2"/>
        <v>1</v>
      </c>
      <c r="V15" t="b">
        <f t="shared" si="3"/>
        <v>1</v>
      </c>
      <c r="W15" t="b">
        <f t="shared" si="4"/>
        <v>1</v>
      </c>
      <c r="X15" t="b">
        <f t="shared" si="5"/>
        <v>1</v>
      </c>
      <c r="Y15" t="b">
        <f t="shared" si="6"/>
        <v>1</v>
      </c>
      <c r="Z15" t="b">
        <f t="shared" si="7"/>
        <v>1</v>
      </c>
      <c r="AA15" t="b">
        <f t="shared" si="8"/>
        <v>1</v>
      </c>
      <c r="AB15" t="b">
        <f t="shared" si="9"/>
        <v>1</v>
      </c>
    </row>
    <row r="16" spans="1:31" ht="14.4" hidden="1">
      <c r="A16" s="2" t="s">
        <v>501</v>
      </c>
      <c r="B16" s="2" t="s">
        <v>28</v>
      </c>
      <c r="C16" s="2" t="s">
        <v>10</v>
      </c>
      <c r="D16" s="2" t="s">
        <v>65</v>
      </c>
      <c r="E16" s="2" t="s">
        <v>19</v>
      </c>
      <c r="F16" s="2" t="s">
        <v>186</v>
      </c>
      <c r="G16" s="2" t="s">
        <v>13</v>
      </c>
      <c r="H16" s="2" t="s">
        <v>16</v>
      </c>
      <c r="I16" s="2" t="s">
        <v>17</v>
      </c>
      <c r="J16" t="b">
        <f t="shared" si="1"/>
        <v>1</v>
      </c>
      <c r="K16" s="6" t="s">
        <v>501</v>
      </c>
      <c r="L16" s="7" t="s">
        <v>14</v>
      </c>
      <c r="M16" s="7" t="s">
        <v>15</v>
      </c>
      <c r="N16" s="7" t="s">
        <v>65</v>
      </c>
      <c r="O16" s="7" t="s">
        <v>28</v>
      </c>
      <c r="P16" s="7" t="s">
        <v>186</v>
      </c>
      <c r="Q16" s="7" t="s">
        <v>13</v>
      </c>
      <c r="R16" s="7" t="s">
        <v>19</v>
      </c>
      <c r="S16" s="7" t="s">
        <v>10</v>
      </c>
      <c r="U16" t="b">
        <f t="shared" si="2"/>
        <v>0</v>
      </c>
      <c r="V16" t="b">
        <f t="shared" si="3"/>
        <v>0</v>
      </c>
      <c r="W16" t="b">
        <f t="shared" si="4"/>
        <v>1</v>
      </c>
      <c r="X16" t="b">
        <f t="shared" si="5"/>
        <v>0</v>
      </c>
      <c r="Y16" t="b">
        <f t="shared" si="6"/>
        <v>1</v>
      </c>
      <c r="Z16" t="b">
        <f t="shared" si="7"/>
        <v>1</v>
      </c>
      <c r="AA16" t="b">
        <f t="shared" si="8"/>
        <v>0</v>
      </c>
      <c r="AB16" t="b">
        <f t="shared" si="9"/>
        <v>0</v>
      </c>
    </row>
    <row r="17" spans="1:28" ht="14.4">
      <c r="A17" s="2" t="s">
        <v>500</v>
      </c>
      <c r="B17" s="2" t="s">
        <v>14</v>
      </c>
      <c r="C17" s="2" t="s">
        <v>15</v>
      </c>
      <c r="D17" s="2" t="s">
        <v>65</v>
      </c>
      <c r="E17" s="2" t="s">
        <v>28</v>
      </c>
      <c r="F17" s="2" t="s">
        <v>186</v>
      </c>
      <c r="G17" s="2" t="s">
        <v>19</v>
      </c>
      <c r="H17" s="2" t="s">
        <v>10</v>
      </c>
      <c r="I17" s="2" t="s">
        <v>12</v>
      </c>
      <c r="J17" t="b">
        <f t="shared" si="1"/>
        <v>1</v>
      </c>
      <c r="K17" s="8" t="s">
        <v>500</v>
      </c>
      <c r="L17" s="9" t="s">
        <v>14</v>
      </c>
      <c r="M17" s="9" t="s">
        <v>15</v>
      </c>
      <c r="N17" s="9" t="s">
        <v>65</v>
      </c>
      <c r="O17" s="9" t="s">
        <v>28</v>
      </c>
      <c r="P17" s="9" t="s">
        <v>186</v>
      </c>
      <c r="Q17" s="9" t="s">
        <v>19</v>
      </c>
      <c r="R17" s="9" t="s">
        <v>10</v>
      </c>
      <c r="S17" s="9" t="s">
        <v>12</v>
      </c>
      <c r="U17" t="b">
        <f t="shared" si="2"/>
        <v>1</v>
      </c>
      <c r="V17" t="b">
        <f t="shared" si="3"/>
        <v>1</v>
      </c>
      <c r="W17" t="b">
        <f t="shared" si="4"/>
        <v>1</v>
      </c>
      <c r="X17" t="b">
        <f t="shared" si="5"/>
        <v>1</v>
      </c>
      <c r="Y17" t="b">
        <f t="shared" si="6"/>
        <v>1</v>
      </c>
      <c r="Z17" t="b">
        <f t="shared" si="7"/>
        <v>1</v>
      </c>
      <c r="AA17" t="b">
        <f t="shared" si="8"/>
        <v>1</v>
      </c>
      <c r="AB17" t="b">
        <f t="shared" si="9"/>
        <v>1</v>
      </c>
    </row>
    <row r="18" spans="1:28" ht="14.4" hidden="1">
      <c r="A18" s="2" t="s">
        <v>499</v>
      </c>
      <c r="B18" s="2" t="s">
        <v>14</v>
      </c>
      <c r="C18" s="2" t="s">
        <v>15</v>
      </c>
      <c r="D18" s="2" t="s">
        <v>65</v>
      </c>
      <c r="E18" s="2" t="s">
        <v>28</v>
      </c>
      <c r="F18" s="2" t="s">
        <v>186</v>
      </c>
      <c r="G18" s="2" t="s">
        <v>19</v>
      </c>
      <c r="H18" s="2" t="s">
        <v>10</v>
      </c>
      <c r="I18" s="2" t="s">
        <v>11</v>
      </c>
      <c r="J18" t="b">
        <f t="shared" si="1"/>
        <v>1</v>
      </c>
      <c r="K18" s="6" t="s">
        <v>499</v>
      </c>
      <c r="L18" s="7" t="s">
        <v>14</v>
      </c>
      <c r="M18" s="7" t="s">
        <v>15</v>
      </c>
      <c r="N18" s="7" t="s">
        <v>65</v>
      </c>
      <c r="O18" s="7" t="s">
        <v>28</v>
      </c>
      <c r="P18" s="7" t="s">
        <v>186</v>
      </c>
      <c r="Q18" s="7" t="s">
        <v>13</v>
      </c>
      <c r="R18" s="7" t="s">
        <v>19</v>
      </c>
      <c r="S18" s="7" t="s">
        <v>10</v>
      </c>
      <c r="U18" t="b">
        <f t="shared" si="2"/>
        <v>1</v>
      </c>
      <c r="V18" t="b">
        <f t="shared" si="3"/>
        <v>1</v>
      </c>
      <c r="W18" t="b">
        <f t="shared" si="4"/>
        <v>1</v>
      </c>
      <c r="X18" t="b">
        <f t="shared" si="5"/>
        <v>1</v>
      </c>
      <c r="Y18" t="b">
        <f t="shared" si="6"/>
        <v>1</v>
      </c>
      <c r="Z18" t="b">
        <f t="shared" si="7"/>
        <v>0</v>
      </c>
      <c r="AA18" t="b">
        <f t="shared" si="8"/>
        <v>0</v>
      </c>
      <c r="AB18" t="b">
        <f t="shared" si="9"/>
        <v>0</v>
      </c>
    </row>
    <row r="19" spans="1:28" ht="14.4" hidden="1">
      <c r="A19" s="2" t="s">
        <v>498</v>
      </c>
      <c r="B19" s="2" t="s">
        <v>14</v>
      </c>
      <c r="C19" s="2" t="s">
        <v>15</v>
      </c>
      <c r="D19" s="2" t="s">
        <v>65</v>
      </c>
      <c r="E19" s="2" t="s">
        <v>28</v>
      </c>
      <c r="F19" s="2" t="s">
        <v>186</v>
      </c>
      <c r="G19" s="2" t="s">
        <v>19</v>
      </c>
      <c r="H19" s="2" t="s">
        <v>10</v>
      </c>
      <c r="I19" s="2" t="s">
        <v>17</v>
      </c>
      <c r="J19" t="b">
        <f t="shared" si="1"/>
        <v>1</v>
      </c>
      <c r="K19" s="8" t="s">
        <v>498</v>
      </c>
      <c r="L19" s="9" t="s">
        <v>14</v>
      </c>
      <c r="M19" s="9" t="s">
        <v>15</v>
      </c>
      <c r="N19" s="9" t="s">
        <v>65</v>
      </c>
      <c r="O19" s="9" t="s">
        <v>28</v>
      </c>
      <c r="P19" s="9" t="s">
        <v>186</v>
      </c>
      <c r="Q19" s="9" t="s">
        <v>13</v>
      </c>
      <c r="R19" s="9" t="s">
        <v>19</v>
      </c>
      <c r="S19" s="9" t="s">
        <v>10</v>
      </c>
      <c r="U19" t="b">
        <f t="shared" si="2"/>
        <v>1</v>
      </c>
      <c r="V19" t="b">
        <f t="shared" si="3"/>
        <v>1</v>
      </c>
      <c r="W19" t="b">
        <f t="shared" si="4"/>
        <v>1</v>
      </c>
      <c r="X19" t="b">
        <f t="shared" si="5"/>
        <v>1</v>
      </c>
      <c r="Y19" t="b">
        <f t="shared" si="6"/>
        <v>1</v>
      </c>
      <c r="Z19" t="b">
        <f t="shared" si="7"/>
        <v>0</v>
      </c>
      <c r="AA19" t="b">
        <f t="shared" si="8"/>
        <v>0</v>
      </c>
      <c r="AB19" t="b">
        <f t="shared" si="9"/>
        <v>0</v>
      </c>
    </row>
    <row r="20" spans="1:28" ht="14.4" hidden="1">
      <c r="A20" s="2" t="s">
        <v>497</v>
      </c>
      <c r="B20" s="2" t="s">
        <v>14</v>
      </c>
      <c r="C20" s="2" t="s">
        <v>15</v>
      </c>
      <c r="D20" s="2" t="s">
        <v>65</v>
      </c>
      <c r="E20" s="2" t="s">
        <v>28</v>
      </c>
      <c r="F20" s="2" t="s">
        <v>186</v>
      </c>
      <c r="G20" s="2" t="s">
        <v>19</v>
      </c>
      <c r="H20" s="2" t="s">
        <v>16</v>
      </c>
      <c r="I20" s="2" t="s">
        <v>10</v>
      </c>
      <c r="J20" t="b">
        <f t="shared" si="1"/>
        <v>1</v>
      </c>
      <c r="K20" s="6" t="s">
        <v>497</v>
      </c>
      <c r="L20" s="7" t="s">
        <v>14</v>
      </c>
      <c r="M20" s="7" t="s">
        <v>15</v>
      </c>
      <c r="N20" s="7" t="s">
        <v>65</v>
      </c>
      <c r="O20" s="7" t="s">
        <v>28</v>
      </c>
      <c r="P20" s="7" t="s">
        <v>186</v>
      </c>
      <c r="Q20" s="7" t="s">
        <v>13</v>
      </c>
      <c r="R20" s="7" t="s">
        <v>19</v>
      </c>
      <c r="S20" s="7" t="s">
        <v>10</v>
      </c>
      <c r="U20" t="b">
        <f t="shared" si="2"/>
        <v>1</v>
      </c>
      <c r="V20" t="b">
        <f t="shared" si="3"/>
        <v>1</v>
      </c>
      <c r="W20" t="b">
        <f t="shared" si="4"/>
        <v>1</v>
      </c>
      <c r="X20" t="b">
        <f t="shared" si="5"/>
        <v>1</v>
      </c>
      <c r="Y20" t="b">
        <f t="shared" si="6"/>
        <v>1</v>
      </c>
      <c r="Z20" t="b">
        <f t="shared" si="7"/>
        <v>0</v>
      </c>
      <c r="AA20" t="b">
        <f t="shared" si="8"/>
        <v>0</v>
      </c>
      <c r="AB20" t="b">
        <f t="shared" si="9"/>
        <v>1</v>
      </c>
    </row>
    <row r="21" spans="1:28" ht="14.4">
      <c r="A21" s="2" t="s">
        <v>496</v>
      </c>
      <c r="B21" s="2" t="s">
        <v>10</v>
      </c>
      <c r="C21" s="2" t="s">
        <v>15</v>
      </c>
      <c r="D21" s="2" t="s">
        <v>65</v>
      </c>
      <c r="E21" s="2" t="s">
        <v>28</v>
      </c>
      <c r="F21" s="2" t="s">
        <v>186</v>
      </c>
      <c r="G21" s="2" t="s">
        <v>19</v>
      </c>
      <c r="H21" s="2" t="s">
        <v>12</v>
      </c>
      <c r="I21" s="2" t="s">
        <v>11</v>
      </c>
      <c r="J21" t="b">
        <f t="shared" si="1"/>
        <v>1</v>
      </c>
      <c r="K21" s="8" t="s">
        <v>496</v>
      </c>
      <c r="L21" s="9" t="s">
        <v>10</v>
      </c>
      <c r="M21" s="9" t="s">
        <v>15</v>
      </c>
      <c r="N21" s="9" t="s">
        <v>65</v>
      </c>
      <c r="O21" s="9" t="s">
        <v>28</v>
      </c>
      <c r="P21" s="9" t="s">
        <v>186</v>
      </c>
      <c r="Q21" s="9" t="s">
        <v>19</v>
      </c>
      <c r="R21" s="9" t="s">
        <v>12</v>
      </c>
      <c r="S21" s="9" t="s">
        <v>11</v>
      </c>
      <c r="U21" t="b">
        <f t="shared" si="2"/>
        <v>1</v>
      </c>
      <c r="V21" t="b">
        <f t="shared" si="3"/>
        <v>1</v>
      </c>
      <c r="W21" t="b">
        <f t="shared" si="4"/>
        <v>1</v>
      </c>
      <c r="X21" t="b">
        <f t="shared" si="5"/>
        <v>1</v>
      </c>
      <c r="Y21" t="b">
        <f t="shared" si="6"/>
        <v>1</v>
      </c>
      <c r="Z21" t="b">
        <f t="shared" si="7"/>
        <v>1</v>
      </c>
      <c r="AA21" t="b">
        <f t="shared" si="8"/>
        <v>1</v>
      </c>
      <c r="AB21" t="b">
        <f t="shared" si="9"/>
        <v>1</v>
      </c>
    </row>
    <row r="22" spans="1:28" ht="14.4" hidden="1">
      <c r="A22" s="2" t="s">
        <v>495</v>
      </c>
      <c r="B22" s="2" t="s">
        <v>10</v>
      </c>
      <c r="C22" s="2" t="s">
        <v>15</v>
      </c>
      <c r="D22" s="2" t="s">
        <v>65</v>
      </c>
      <c r="E22" s="2" t="s">
        <v>28</v>
      </c>
      <c r="F22" s="2" t="s">
        <v>186</v>
      </c>
      <c r="G22" s="2" t="s">
        <v>19</v>
      </c>
      <c r="H22" s="2" t="s">
        <v>12</v>
      </c>
      <c r="I22" s="2" t="s">
        <v>17</v>
      </c>
      <c r="J22" t="b">
        <f t="shared" si="1"/>
        <v>1</v>
      </c>
      <c r="K22" s="6" t="s">
        <v>495</v>
      </c>
      <c r="L22" s="7" t="s">
        <v>14</v>
      </c>
      <c r="M22" s="7" t="s">
        <v>15</v>
      </c>
      <c r="N22" s="7" t="s">
        <v>65</v>
      </c>
      <c r="O22" s="7" t="s">
        <v>28</v>
      </c>
      <c r="P22" s="7" t="s">
        <v>186</v>
      </c>
      <c r="Q22" s="7" t="s">
        <v>13</v>
      </c>
      <c r="R22" s="7" t="s">
        <v>19</v>
      </c>
      <c r="S22" s="7" t="s">
        <v>10</v>
      </c>
      <c r="U22" t="b">
        <f t="shared" si="2"/>
        <v>0</v>
      </c>
      <c r="V22" t="b">
        <f t="shared" si="3"/>
        <v>1</v>
      </c>
      <c r="W22" t="b">
        <f t="shared" si="4"/>
        <v>1</v>
      </c>
      <c r="X22" t="b">
        <f t="shared" si="5"/>
        <v>1</v>
      </c>
      <c r="Y22" t="b">
        <f t="shared" si="6"/>
        <v>1</v>
      </c>
      <c r="Z22" t="b">
        <f t="shared" si="7"/>
        <v>0</v>
      </c>
      <c r="AA22" t="b">
        <f t="shared" si="8"/>
        <v>0</v>
      </c>
      <c r="AB22" t="b">
        <f t="shared" si="9"/>
        <v>0</v>
      </c>
    </row>
    <row r="23" spans="1:28" ht="14.4" hidden="1">
      <c r="A23" s="2" t="s">
        <v>494</v>
      </c>
      <c r="B23" s="2" t="s">
        <v>10</v>
      </c>
      <c r="C23" s="2" t="s">
        <v>15</v>
      </c>
      <c r="D23" s="2" t="s">
        <v>65</v>
      </c>
      <c r="E23" s="2" t="s">
        <v>28</v>
      </c>
      <c r="F23" s="2" t="s">
        <v>186</v>
      </c>
      <c r="G23" s="2" t="s">
        <v>19</v>
      </c>
      <c r="H23" s="2" t="s">
        <v>16</v>
      </c>
      <c r="I23" s="2" t="s">
        <v>12</v>
      </c>
      <c r="J23" t="b">
        <f t="shared" si="1"/>
        <v>1</v>
      </c>
      <c r="K23" s="8" t="s">
        <v>494</v>
      </c>
      <c r="L23" s="9" t="s">
        <v>14</v>
      </c>
      <c r="M23" s="9" t="s">
        <v>15</v>
      </c>
      <c r="N23" s="9" t="s">
        <v>65</v>
      </c>
      <c r="O23" s="9" t="s">
        <v>28</v>
      </c>
      <c r="P23" s="9" t="s">
        <v>186</v>
      </c>
      <c r="Q23" s="9" t="s">
        <v>13</v>
      </c>
      <c r="R23" s="9" t="s">
        <v>19</v>
      </c>
      <c r="S23" s="9" t="s">
        <v>10</v>
      </c>
      <c r="U23" t="b">
        <f t="shared" si="2"/>
        <v>0</v>
      </c>
      <c r="V23" t="b">
        <f t="shared" si="3"/>
        <v>1</v>
      </c>
      <c r="W23" t="b">
        <f t="shared" si="4"/>
        <v>1</v>
      </c>
      <c r="X23" t="b">
        <f t="shared" si="5"/>
        <v>1</v>
      </c>
      <c r="Y23" t="b">
        <f t="shared" si="6"/>
        <v>1</v>
      </c>
      <c r="Z23" t="b">
        <f t="shared" si="7"/>
        <v>0</v>
      </c>
      <c r="AA23" t="b">
        <f t="shared" si="8"/>
        <v>0</v>
      </c>
      <c r="AB23" t="b">
        <f t="shared" si="9"/>
        <v>0</v>
      </c>
    </row>
    <row r="24" spans="1:28" ht="14.4" hidden="1">
      <c r="A24" s="2" t="s">
        <v>493</v>
      </c>
      <c r="B24" s="2" t="s">
        <v>10</v>
      </c>
      <c r="C24" s="2" t="s">
        <v>15</v>
      </c>
      <c r="D24" s="2" t="s">
        <v>65</v>
      </c>
      <c r="E24" s="2" t="s">
        <v>28</v>
      </c>
      <c r="F24" s="2" t="s">
        <v>186</v>
      </c>
      <c r="G24" s="2" t="s">
        <v>19</v>
      </c>
      <c r="H24" s="2" t="s">
        <v>11</v>
      </c>
      <c r="I24" s="2" t="s">
        <v>17</v>
      </c>
      <c r="J24" t="b">
        <f t="shared" si="1"/>
        <v>1</v>
      </c>
      <c r="K24" s="6" t="s">
        <v>493</v>
      </c>
      <c r="L24" s="7" t="s">
        <v>14</v>
      </c>
      <c r="M24" s="7" t="s">
        <v>15</v>
      </c>
      <c r="N24" s="7" t="s">
        <v>65</v>
      </c>
      <c r="O24" s="7" t="s">
        <v>28</v>
      </c>
      <c r="P24" s="7" t="s">
        <v>186</v>
      </c>
      <c r="Q24" s="7" t="s">
        <v>13</v>
      </c>
      <c r="R24" s="7" t="s">
        <v>19</v>
      </c>
      <c r="S24" s="7" t="s">
        <v>10</v>
      </c>
      <c r="U24" t="b">
        <f t="shared" si="2"/>
        <v>0</v>
      </c>
      <c r="V24" t="b">
        <f t="shared" si="3"/>
        <v>1</v>
      </c>
      <c r="W24" t="b">
        <f t="shared" si="4"/>
        <v>1</v>
      </c>
      <c r="X24" t="b">
        <f t="shared" si="5"/>
        <v>1</v>
      </c>
      <c r="Y24" t="b">
        <f t="shared" si="6"/>
        <v>1</v>
      </c>
      <c r="Z24" t="b">
        <f t="shared" si="7"/>
        <v>0</v>
      </c>
      <c r="AA24" t="b">
        <f t="shared" si="8"/>
        <v>0</v>
      </c>
      <c r="AB24" t="b">
        <f t="shared" si="9"/>
        <v>0</v>
      </c>
    </row>
    <row r="25" spans="1:28" ht="14.4" hidden="1">
      <c r="A25" s="2" t="s">
        <v>492</v>
      </c>
      <c r="B25" s="2" t="s">
        <v>10</v>
      </c>
      <c r="C25" s="2" t="s">
        <v>15</v>
      </c>
      <c r="D25" s="2" t="s">
        <v>65</v>
      </c>
      <c r="E25" s="2" t="s">
        <v>28</v>
      </c>
      <c r="F25" s="2" t="s">
        <v>186</v>
      </c>
      <c r="G25" s="2" t="s">
        <v>19</v>
      </c>
      <c r="H25" s="2" t="s">
        <v>16</v>
      </c>
      <c r="I25" s="2" t="s">
        <v>11</v>
      </c>
      <c r="J25" t="b">
        <f t="shared" si="1"/>
        <v>1</v>
      </c>
      <c r="K25" s="8" t="s">
        <v>492</v>
      </c>
      <c r="L25" s="9" t="s">
        <v>14</v>
      </c>
      <c r="M25" s="9" t="s">
        <v>15</v>
      </c>
      <c r="N25" s="9" t="s">
        <v>65</v>
      </c>
      <c r="O25" s="9" t="s">
        <v>28</v>
      </c>
      <c r="P25" s="9" t="s">
        <v>186</v>
      </c>
      <c r="Q25" s="9" t="s">
        <v>13</v>
      </c>
      <c r="R25" s="9" t="s">
        <v>19</v>
      </c>
      <c r="S25" s="9" t="s">
        <v>10</v>
      </c>
      <c r="U25" t="b">
        <f t="shared" si="2"/>
        <v>0</v>
      </c>
      <c r="V25" t="b">
        <f t="shared" si="3"/>
        <v>1</v>
      </c>
      <c r="W25" t="b">
        <f t="shared" si="4"/>
        <v>1</v>
      </c>
      <c r="X25" t="b">
        <f t="shared" si="5"/>
        <v>1</v>
      </c>
      <c r="Y25" t="b">
        <f t="shared" si="6"/>
        <v>1</v>
      </c>
      <c r="Z25" t="b">
        <f t="shared" si="7"/>
        <v>0</v>
      </c>
      <c r="AA25" t="b">
        <f t="shared" si="8"/>
        <v>0</v>
      </c>
      <c r="AB25" t="b">
        <f t="shared" si="9"/>
        <v>0</v>
      </c>
    </row>
    <row r="26" spans="1:28" ht="14.4" hidden="1">
      <c r="A26" s="2" t="s">
        <v>491</v>
      </c>
      <c r="B26" s="2" t="s">
        <v>10</v>
      </c>
      <c r="C26" s="2" t="s">
        <v>15</v>
      </c>
      <c r="D26" s="2" t="s">
        <v>65</v>
      </c>
      <c r="E26" s="2" t="s">
        <v>28</v>
      </c>
      <c r="F26" s="2" t="s">
        <v>186</v>
      </c>
      <c r="G26" s="2" t="s">
        <v>19</v>
      </c>
      <c r="H26" s="2" t="s">
        <v>16</v>
      </c>
      <c r="I26" s="2" t="s">
        <v>17</v>
      </c>
      <c r="J26" t="b">
        <f t="shared" si="1"/>
        <v>1</v>
      </c>
      <c r="K26" s="6" t="s">
        <v>491</v>
      </c>
      <c r="L26" s="7" t="s">
        <v>14</v>
      </c>
      <c r="M26" s="7" t="s">
        <v>15</v>
      </c>
      <c r="N26" s="7" t="s">
        <v>65</v>
      </c>
      <c r="O26" s="7" t="s">
        <v>28</v>
      </c>
      <c r="P26" s="7" t="s">
        <v>186</v>
      </c>
      <c r="Q26" s="7" t="s">
        <v>13</v>
      </c>
      <c r="R26" s="7" t="s">
        <v>19</v>
      </c>
      <c r="S26" s="7" t="s">
        <v>10</v>
      </c>
      <c r="U26" t="b">
        <f t="shared" si="2"/>
        <v>0</v>
      </c>
      <c r="V26" t="b">
        <f t="shared" si="3"/>
        <v>1</v>
      </c>
      <c r="W26" t="b">
        <f t="shared" si="4"/>
        <v>1</v>
      </c>
      <c r="X26" t="b">
        <f t="shared" si="5"/>
        <v>1</v>
      </c>
      <c r="Y26" t="b">
        <f t="shared" si="6"/>
        <v>1</v>
      </c>
      <c r="Z26" t="b">
        <f t="shared" si="7"/>
        <v>0</v>
      </c>
      <c r="AA26" t="b">
        <f t="shared" si="8"/>
        <v>0</v>
      </c>
      <c r="AB26" t="b">
        <f t="shared" si="9"/>
        <v>0</v>
      </c>
    </row>
    <row r="27" spans="1:28" ht="14.4" hidden="1">
      <c r="A27" s="2" t="s">
        <v>490</v>
      </c>
      <c r="B27" s="2" t="s">
        <v>14</v>
      </c>
      <c r="C27" s="2" t="s">
        <v>11</v>
      </c>
      <c r="D27" s="2" t="s">
        <v>65</v>
      </c>
      <c r="E27" s="2" t="s">
        <v>28</v>
      </c>
      <c r="F27" s="2" t="s">
        <v>186</v>
      </c>
      <c r="G27" s="2" t="s">
        <v>19</v>
      </c>
      <c r="H27" s="2" t="s">
        <v>10</v>
      </c>
      <c r="I27" s="2" t="s">
        <v>12</v>
      </c>
      <c r="J27" t="b">
        <f t="shared" si="1"/>
        <v>1</v>
      </c>
      <c r="K27" s="8" t="s">
        <v>490</v>
      </c>
      <c r="L27" s="9" t="s">
        <v>14</v>
      </c>
      <c r="M27" s="9" t="s">
        <v>15</v>
      </c>
      <c r="N27" s="9" t="s">
        <v>65</v>
      </c>
      <c r="O27" s="9" t="s">
        <v>28</v>
      </c>
      <c r="P27" s="9" t="s">
        <v>186</v>
      </c>
      <c r="Q27" s="9" t="s">
        <v>13</v>
      </c>
      <c r="R27" s="9" t="s">
        <v>19</v>
      </c>
      <c r="S27" s="9" t="s">
        <v>10</v>
      </c>
      <c r="U27" t="b">
        <f t="shared" si="2"/>
        <v>1</v>
      </c>
      <c r="V27" t="b">
        <f t="shared" si="3"/>
        <v>0</v>
      </c>
      <c r="W27" t="b">
        <f t="shared" si="4"/>
        <v>1</v>
      </c>
      <c r="X27" t="b">
        <f t="shared" si="5"/>
        <v>1</v>
      </c>
      <c r="Y27" t="b">
        <f t="shared" si="6"/>
        <v>1</v>
      </c>
      <c r="Z27" t="b">
        <f t="shared" si="7"/>
        <v>0</v>
      </c>
      <c r="AA27" t="b">
        <f t="shared" si="8"/>
        <v>0</v>
      </c>
      <c r="AB27" t="b">
        <f t="shared" si="9"/>
        <v>0</v>
      </c>
    </row>
    <row r="28" spans="1:28" ht="14.4">
      <c r="A28" s="2" t="s">
        <v>489</v>
      </c>
      <c r="B28" s="2" t="s">
        <v>14</v>
      </c>
      <c r="C28" s="2" t="s">
        <v>10</v>
      </c>
      <c r="D28" s="2" t="s">
        <v>65</v>
      </c>
      <c r="E28" s="2" t="s">
        <v>28</v>
      </c>
      <c r="F28" s="2" t="s">
        <v>186</v>
      </c>
      <c r="G28" s="2" t="s">
        <v>19</v>
      </c>
      <c r="H28" s="2" t="s">
        <v>12</v>
      </c>
      <c r="I28" s="2" t="s">
        <v>17</v>
      </c>
      <c r="J28" t="b">
        <f t="shared" si="1"/>
        <v>1</v>
      </c>
      <c r="K28" s="6" t="s">
        <v>489</v>
      </c>
      <c r="L28" s="7" t="s">
        <v>14</v>
      </c>
      <c r="M28" s="7" t="s">
        <v>10</v>
      </c>
      <c r="N28" s="7" t="s">
        <v>65</v>
      </c>
      <c r="O28" s="7" t="s">
        <v>28</v>
      </c>
      <c r="P28" s="7" t="s">
        <v>186</v>
      </c>
      <c r="Q28" s="7" t="s">
        <v>19</v>
      </c>
      <c r="R28" s="7" t="s">
        <v>12</v>
      </c>
      <c r="S28" s="7" t="s">
        <v>17</v>
      </c>
      <c r="U28" t="b">
        <f t="shared" si="2"/>
        <v>1</v>
      </c>
      <c r="V28" t="b">
        <f t="shared" si="3"/>
        <v>1</v>
      </c>
      <c r="W28" t="b">
        <f t="shared" si="4"/>
        <v>1</v>
      </c>
      <c r="X28" t="b">
        <f t="shared" si="5"/>
        <v>1</v>
      </c>
      <c r="Y28" t="b">
        <f t="shared" si="6"/>
        <v>1</v>
      </c>
      <c r="Z28" t="b">
        <f t="shared" si="7"/>
        <v>1</v>
      </c>
      <c r="AA28" t="b">
        <f t="shared" si="8"/>
        <v>1</v>
      </c>
      <c r="AB28" t="b">
        <f t="shared" si="9"/>
        <v>1</v>
      </c>
    </row>
    <row r="29" spans="1:28" ht="14.4">
      <c r="A29" s="2" t="s">
        <v>488</v>
      </c>
      <c r="B29" s="2" t="s">
        <v>14</v>
      </c>
      <c r="C29" s="2" t="s">
        <v>10</v>
      </c>
      <c r="D29" s="2" t="s">
        <v>65</v>
      </c>
      <c r="E29" s="2" t="s">
        <v>28</v>
      </c>
      <c r="F29" s="2" t="s">
        <v>186</v>
      </c>
      <c r="G29" s="2" t="s">
        <v>19</v>
      </c>
      <c r="H29" s="2" t="s">
        <v>16</v>
      </c>
      <c r="I29" s="2" t="s">
        <v>12</v>
      </c>
      <c r="J29" t="b">
        <f t="shared" si="1"/>
        <v>1</v>
      </c>
      <c r="K29" s="8" t="s">
        <v>488</v>
      </c>
      <c r="L29" s="9" t="s">
        <v>14</v>
      </c>
      <c r="M29" s="9" t="s">
        <v>10</v>
      </c>
      <c r="N29" s="9" t="s">
        <v>65</v>
      </c>
      <c r="O29" s="9" t="s">
        <v>28</v>
      </c>
      <c r="P29" s="9" t="s">
        <v>186</v>
      </c>
      <c r="Q29" s="9" t="s">
        <v>19</v>
      </c>
      <c r="R29" s="9" t="s">
        <v>16</v>
      </c>
      <c r="S29" s="9" t="s">
        <v>12</v>
      </c>
      <c r="U29" t="b">
        <f t="shared" si="2"/>
        <v>1</v>
      </c>
      <c r="V29" t="b">
        <f t="shared" si="3"/>
        <v>1</v>
      </c>
      <c r="W29" t="b">
        <f t="shared" si="4"/>
        <v>1</v>
      </c>
      <c r="X29" t="b">
        <f t="shared" si="5"/>
        <v>1</v>
      </c>
      <c r="Y29" t="b">
        <f t="shared" si="6"/>
        <v>1</v>
      </c>
      <c r="Z29" t="b">
        <f t="shared" si="7"/>
        <v>1</v>
      </c>
      <c r="AA29" t="b">
        <f t="shared" si="8"/>
        <v>1</v>
      </c>
      <c r="AB29" t="b">
        <f t="shared" si="9"/>
        <v>1</v>
      </c>
    </row>
    <row r="30" spans="1:28" ht="14.4">
      <c r="A30" s="2" t="s">
        <v>487</v>
      </c>
      <c r="B30" s="2" t="s">
        <v>14</v>
      </c>
      <c r="C30" s="2" t="s">
        <v>11</v>
      </c>
      <c r="D30" s="2" t="s">
        <v>65</v>
      </c>
      <c r="E30" s="2" t="s">
        <v>28</v>
      </c>
      <c r="F30" s="2" t="s">
        <v>186</v>
      </c>
      <c r="G30" s="2" t="s">
        <v>19</v>
      </c>
      <c r="H30" s="2" t="s">
        <v>10</v>
      </c>
      <c r="I30" s="2" t="s">
        <v>17</v>
      </c>
      <c r="J30" t="b">
        <f t="shared" si="1"/>
        <v>1</v>
      </c>
      <c r="K30" s="6" t="s">
        <v>487</v>
      </c>
      <c r="L30" s="7" t="s">
        <v>14</v>
      </c>
      <c r="M30" s="7" t="s">
        <v>11</v>
      </c>
      <c r="N30" s="7" t="s">
        <v>65</v>
      </c>
      <c r="O30" s="7" t="s">
        <v>28</v>
      </c>
      <c r="P30" s="7" t="s">
        <v>186</v>
      </c>
      <c r="Q30" s="7" t="s">
        <v>19</v>
      </c>
      <c r="R30" s="7" t="s">
        <v>10</v>
      </c>
      <c r="S30" s="7" t="s">
        <v>17</v>
      </c>
      <c r="U30" t="b">
        <f t="shared" si="2"/>
        <v>1</v>
      </c>
      <c r="V30" t="b">
        <f t="shared" si="3"/>
        <v>1</v>
      </c>
      <c r="W30" t="b">
        <f t="shared" si="4"/>
        <v>1</v>
      </c>
      <c r="X30" t="b">
        <f t="shared" si="5"/>
        <v>1</v>
      </c>
      <c r="Y30" t="b">
        <f t="shared" si="6"/>
        <v>1</v>
      </c>
      <c r="Z30" t="b">
        <f t="shared" si="7"/>
        <v>1</v>
      </c>
      <c r="AA30" t="b">
        <f t="shared" si="8"/>
        <v>1</v>
      </c>
      <c r="AB30" t="b">
        <f t="shared" si="9"/>
        <v>1</v>
      </c>
    </row>
    <row r="31" spans="1:28" ht="14.4">
      <c r="A31" s="2" t="s">
        <v>486</v>
      </c>
      <c r="B31" s="2" t="s">
        <v>14</v>
      </c>
      <c r="C31" s="2" t="s">
        <v>11</v>
      </c>
      <c r="D31" s="2" t="s">
        <v>65</v>
      </c>
      <c r="E31" s="2" t="s">
        <v>28</v>
      </c>
      <c r="F31" s="2" t="s">
        <v>186</v>
      </c>
      <c r="G31" s="2" t="s">
        <v>19</v>
      </c>
      <c r="H31" s="2" t="s">
        <v>16</v>
      </c>
      <c r="I31" s="2" t="s">
        <v>10</v>
      </c>
      <c r="J31" t="b">
        <f t="shared" si="1"/>
        <v>1</v>
      </c>
      <c r="K31" s="8" t="s">
        <v>486</v>
      </c>
      <c r="L31" s="9" t="s">
        <v>14</v>
      </c>
      <c r="M31" s="9" t="s">
        <v>11</v>
      </c>
      <c r="N31" s="9" t="s">
        <v>65</v>
      </c>
      <c r="O31" s="9" t="s">
        <v>28</v>
      </c>
      <c r="P31" s="9" t="s">
        <v>186</v>
      </c>
      <c r="Q31" s="9" t="s">
        <v>19</v>
      </c>
      <c r="R31" s="9" t="s">
        <v>16</v>
      </c>
      <c r="S31" s="9" t="s">
        <v>10</v>
      </c>
      <c r="U31" t="b">
        <f t="shared" si="2"/>
        <v>1</v>
      </c>
      <c r="V31" t="b">
        <f t="shared" si="3"/>
        <v>1</v>
      </c>
      <c r="W31" t="b">
        <f t="shared" si="4"/>
        <v>1</v>
      </c>
      <c r="X31" t="b">
        <f t="shared" si="5"/>
        <v>1</v>
      </c>
      <c r="Y31" t="b">
        <f t="shared" si="6"/>
        <v>1</v>
      </c>
      <c r="Z31" t="b">
        <f t="shared" si="7"/>
        <v>1</v>
      </c>
      <c r="AA31" t="b">
        <f t="shared" si="8"/>
        <v>1</v>
      </c>
      <c r="AB31" t="b">
        <f t="shared" si="9"/>
        <v>1</v>
      </c>
    </row>
    <row r="32" spans="1:28" ht="14.4">
      <c r="A32" s="2" t="s">
        <v>485</v>
      </c>
      <c r="B32" s="2" t="s">
        <v>14</v>
      </c>
      <c r="C32" s="2" t="s">
        <v>10</v>
      </c>
      <c r="D32" s="2" t="s">
        <v>65</v>
      </c>
      <c r="E32" s="2" t="s">
        <v>28</v>
      </c>
      <c r="F32" s="2" t="s">
        <v>186</v>
      </c>
      <c r="G32" s="2" t="s">
        <v>19</v>
      </c>
      <c r="H32" s="2" t="s">
        <v>16</v>
      </c>
      <c r="I32" s="2" t="s">
        <v>17</v>
      </c>
      <c r="J32" t="b">
        <f t="shared" si="1"/>
        <v>1</v>
      </c>
      <c r="K32" s="6" t="s">
        <v>485</v>
      </c>
      <c r="L32" s="7" t="s">
        <v>14</v>
      </c>
      <c r="M32" s="7" t="s">
        <v>10</v>
      </c>
      <c r="N32" s="7" t="s">
        <v>65</v>
      </c>
      <c r="O32" s="7" t="s">
        <v>28</v>
      </c>
      <c r="P32" s="7" t="s">
        <v>186</v>
      </c>
      <c r="Q32" s="7" t="s">
        <v>19</v>
      </c>
      <c r="R32" s="7" t="s">
        <v>16</v>
      </c>
      <c r="S32" s="7" t="s">
        <v>17</v>
      </c>
      <c r="U32" t="b">
        <f t="shared" si="2"/>
        <v>1</v>
      </c>
      <c r="V32" t="b">
        <f t="shared" si="3"/>
        <v>1</v>
      </c>
      <c r="W32" t="b">
        <f t="shared" si="4"/>
        <v>1</v>
      </c>
      <c r="X32" t="b">
        <f t="shared" si="5"/>
        <v>1</v>
      </c>
      <c r="Y32" t="b">
        <f t="shared" si="6"/>
        <v>1</v>
      </c>
      <c r="Z32" t="b">
        <f t="shared" si="7"/>
        <v>1</v>
      </c>
      <c r="AA32" t="b">
        <f t="shared" si="8"/>
        <v>1</v>
      </c>
      <c r="AB32" t="b">
        <f t="shared" si="9"/>
        <v>1</v>
      </c>
    </row>
    <row r="33" spans="1:28" ht="14.4" hidden="1">
      <c r="A33" s="2" t="s">
        <v>484</v>
      </c>
      <c r="B33" s="2" t="s">
        <v>10</v>
      </c>
      <c r="C33" s="2" t="s">
        <v>11</v>
      </c>
      <c r="D33" s="2" t="s">
        <v>65</v>
      </c>
      <c r="E33" s="2" t="s">
        <v>28</v>
      </c>
      <c r="F33" s="2" t="s">
        <v>186</v>
      </c>
      <c r="G33" s="2" t="s">
        <v>19</v>
      </c>
      <c r="H33" s="2" t="s">
        <v>12</v>
      </c>
      <c r="I33" s="2" t="s">
        <v>17</v>
      </c>
      <c r="J33" t="b">
        <f t="shared" si="1"/>
        <v>1</v>
      </c>
      <c r="K33" s="8" t="s">
        <v>484</v>
      </c>
      <c r="L33" s="9" t="s">
        <v>14</v>
      </c>
      <c r="M33" s="9" t="s">
        <v>15</v>
      </c>
      <c r="N33" s="9" t="s">
        <v>65</v>
      </c>
      <c r="O33" s="9" t="s">
        <v>28</v>
      </c>
      <c r="P33" s="9" t="s">
        <v>186</v>
      </c>
      <c r="Q33" s="9" t="s">
        <v>13</v>
      </c>
      <c r="R33" s="9" t="s">
        <v>19</v>
      </c>
      <c r="S33" s="9" t="s">
        <v>10</v>
      </c>
      <c r="U33" t="b">
        <f t="shared" si="2"/>
        <v>0</v>
      </c>
      <c r="V33" t="b">
        <f t="shared" si="3"/>
        <v>0</v>
      </c>
      <c r="W33" t="b">
        <f t="shared" si="4"/>
        <v>1</v>
      </c>
      <c r="X33" t="b">
        <f t="shared" si="5"/>
        <v>1</v>
      </c>
      <c r="Y33" t="b">
        <f t="shared" si="6"/>
        <v>1</v>
      </c>
      <c r="Z33" t="b">
        <f t="shared" si="7"/>
        <v>0</v>
      </c>
      <c r="AA33" t="b">
        <f t="shared" si="8"/>
        <v>0</v>
      </c>
      <c r="AB33" t="b">
        <f t="shared" si="9"/>
        <v>0</v>
      </c>
    </row>
    <row r="34" spans="1:28" ht="14.4" hidden="1">
      <c r="A34" s="2" t="s">
        <v>483</v>
      </c>
      <c r="B34" s="2" t="s">
        <v>10</v>
      </c>
      <c r="C34" s="2" t="s">
        <v>11</v>
      </c>
      <c r="D34" s="2" t="s">
        <v>65</v>
      </c>
      <c r="E34" s="2" t="s">
        <v>28</v>
      </c>
      <c r="F34" s="2" t="s">
        <v>186</v>
      </c>
      <c r="G34" s="2" t="s">
        <v>19</v>
      </c>
      <c r="H34" s="2" t="s">
        <v>16</v>
      </c>
      <c r="I34" s="2" t="s">
        <v>12</v>
      </c>
      <c r="J34" t="b">
        <f t="shared" si="1"/>
        <v>1</v>
      </c>
      <c r="K34" s="6" t="s">
        <v>483</v>
      </c>
      <c r="L34" s="7" t="s">
        <v>14</v>
      </c>
      <c r="M34" s="7" t="s">
        <v>15</v>
      </c>
      <c r="N34" s="7" t="s">
        <v>65</v>
      </c>
      <c r="O34" s="7" t="s">
        <v>28</v>
      </c>
      <c r="P34" s="7" t="s">
        <v>186</v>
      </c>
      <c r="Q34" s="7" t="s">
        <v>13</v>
      </c>
      <c r="R34" s="7" t="s">
        <v>19</v>
      </c>
      <c r="S34" s="7" t="s">
        <v>10</v>
      </c>
      <c r="U34" t="b">
        <f t="shared" si="2"/>
        <v>0</v>
      </c>
      <c r="V34" t="b">
        <f t="shared" si="3"/>
        <v>0</v>
      </c>
      <c r="W34" t="b">
        <f t="shared" si="4"/>
        <v>1</v>
      </c>
      <c r="X34" t="b">
        <f t="shared" si="5"/>
        <v>1</v>
      </c>
      <c r="Y34" t="b">
        <f t="shared" si="6"/>
        <v>1</v>
      </c>
      <c r="Z34" t="b">
        <f t="shared" si="7"/>
        <v>0</v>
      </c>
      <c r="AA34" t="b">
        <f t="shared" si="8"/>
        <v>0</v>
      </c>
      <c r="AB34" t="b">
        <f t="shared" si="9"/>
        <v>0</v>
      </c>
    </row>
    <row r="35" spans="1:28" ht="14.4" hidden="1">
      <c r="A35" s="2" t="s">
        <v>482</v>
      </c>
      <c r="B35" s="2" t="s">
        <v>10</v>
      </c>
      <c r="C35" s="2" t="s">
        <v>12</v>
      </c>
      <c r="D35" s="2" t="s">
        <v>65</v>
      </c>
      <c r="E35" s="2" t="s">
        <v>28</v>
      </c>
      <c r="F35" s="2" t="s">
        <v>186</v>
      </c>
      <c r="G35" s="2" t="s">
        <v>19</v>
      </c>
      <c r="H35" s="2" t="s">
        <v>16</v>
      </c>
      <c r="I35" s="2" t="s">
        <v>17</v>
      </c>
      <c r="J35" t="b">
        <f t="shared" si="1"/>
        <v>1</v>
      </c>
      <c r="K35" s="8" t="s">
        <v>482</v>
      </c>
      <c r="L35" s="9" t="s">
        <v>14</v>
      </c>
      <c r="M35" s="9" t="s">
        <v>15</v>
      </c>
      <c r="N35" s="9" t="s">
        <v>65</v>
      </c>
      <c r="O35" s="9" t="s">
        <v>28</v>
      </c>
      <c r="P35" s="9" t="s">
        <v>186</v>
      </c>
      <c r="Q35" s="9" t="s">
        <v>13</v>
      </c>
      <c r="R35" s="9" t="s">
        <v>19</v>
      </c>
      <c r="S35" s="9" t="s">
        <v>10</v>
      </c>
      <c r="U35" t="b">
        <f t="shared" si="2"/>
        <v>0</v>
      </c>
      <c r="V35" t="b">
        <f t="shared" si="3"/>
        <v>0</v>
      </c>
      <c r="W35" t="b">
        <f t="shared" si="4"/>
        <v>1</v>
      </c>
      <c r="X35" t="b">
        <f t="shared" si="5"/>
        <v>1</v>
      </c>
      <c r="Y35" t="b">
        <f t="shared" si="6"/>
        <v>1</v>
      </c>
      <c r="Z35" t="b">
        <f t="shared" si="7"/>
        <v>0</v>
      </c>
      <c r="AA35" t="b">
        <f t="shared" si="8"/>
        <v>0</v>
      </c>
      <c r="AB35" t="b">
        <f t="shared" si="9"/>
        <v>0</v>
      </c>
    </row>
    <row r="36" spans="1:28" ht="14.4" hidden="1">
      <c r="A36" s="2" t="s">
        <v>481</v>
      </c>
      <c r="B36" s="2" t="s">
        <v>10</v>
      </c>
      <c r="C36" s="2" t="s">
        <v>11</v>
      </c>
      <c r="D36" s="2" t="s">
        <v>65</v>
      </c>
      <c r="E36" s="2" t="s">
        <v>28</v>
      </c>
      <c r="F36" s="2" t="s">
        <v>186</v>
      </c>
      <c r="G36" s="2" t="s">
        <v>19</v>
      </c>
      <c r="H36" s="2" t="s">
        <v>16</v>
      </c>
      <c r="I36" s="2" t="s">
        <v>17</v>
      </c>
      <c r="J36" t="b">
        <f t="shared" si="1"/>
        <v>1</v>
      </c>
      <c r="K36" s="6" t="s">
        <v>481</v>
      </c>
      <c r="L36" s="7" t="s">
        <v>14</v>
      </c>
      <c r="M36" s="7" t="s">
        <v>15</v>
      </c>
      <c r="N36" s="7" t="s">
        <v>65</v>
      </c>
      <c r="O36" s="7" t="s">
        <v>28</v>
      </c>
      <c r="P36" s="7" t="s">
        <v>186</v>
      </c>
      <c r="Q36" s="7" t="s">
        <v>13</v>
      </c>
      <c r="R36" s="7" t="s">
        <v>19</v>
      </c>
      <c r="S36" s="7" t="s">
        <v>10</v>
      </c>
      <c r="U36" t="b">
        <f t="shared" si="2"/>
        <v>0</v>
      </c>
      <c r="V36" t="b">
        <f t="shared" si="3"/>
        <v>0</v>
      </c>
      <c r="W36" t="b">
        <f t="shared" si="4"/>
        <v>1</v>
      </c>
      <c r="X36" t="b">
        <f t="shared" si="5"/>
        <v>1</v>
      </c>
      <c r="Y36" t="b">
        <f t="shared" si="6"/>
        <v>1</v>
      </c>
      <c r="Z36" t="b">
        <f t="shared" si="7"/>
        <v>0</v>
      </c>
      <c r="AA36" t="b">
        <f t="shared" si="8"/>
        <v>0</v>
      </c>
      <c r="AB36" t="b">
        <f t="shared" si="9"/>
        <v>0</v>
      </c>
    </row>
    <row r="37" spans="1:28" ht="14.4">
      <c r="A37" s="2" t="s">
        <v>480</v>
      </c>
      <c r="B37" s="2" t="s">
        <v>14</v>
      </c>
      <c r="C37" s="2" t="s">
        <v>15</v>
      </c>
      <c r="D37" s="2" t="s">
        <v>65</v>
      </c>
      <c r="E37" s="2" t="s">
        <v>28</v>
      </c>
      <c r="F37" s="2" t="s">
        <v>186</v>
      </c>
      <c r="G37" s="2" t="s">
        <v>13</v>
      </c>
      <c r="H37" s="2" t="s">
        <v>19</v>
      </c>
      <c r="I37" s="2" t="s">
        <v>12</v>
      </c>
      <c r="J37" t="b">
        <f t="shared" si="1"/>
        <v>1</v>
      </c>
      <c r="K37" s="8" t="s">
        <v>480</v>
      </c>
      <c r="L37" s="9" t="s">
        <v>14</v>
      </c>
      <c r="M37" s="9" t="s">
        <v>15</v>
      </c>
      <c r="N37" s="9" t="s">
        <v>65</v>
      </c>
      <c r="O37" s="9" t="s">
        <v>28</v>
      </c>
      <c r="P37" s="9" t="s">
        <v>186</v>
      </c>
      <c r="Q37" s="9" t="s">
        <v>13</v>
      </c>
      <c r="R37" s="9" t="s">
        <v>19</v>
      </c>
      <c r="S37" s="9" t="s">
        <v>12</v>
      </c>
      <c r="U37" t="b">
        <f t="shared" si="2"/>
        <v>1</v>
      </c>
      <c r="V37" t="b">
        <f t="shared" si="3"/>
        <v>1</v>
      </c>
      <c r="W37" t="b">
        <f t="shared" si="4"/>
        <v>1</v>
      </c>
      <c r="X37" t="b">
        <f t="shared" si="5"/>
        <v>1</v>
      </c>
      <c r="Y37" t="b">
        <f t="shared" si="6"/>
        <v>1</v>
      </c>
      <c r="Z37" t="b">
        <f t="shared" si="7"/>
        <v>1</v>
      </c>
      <c r="AA37" t="b">
        <f t="shared" si="8"/>
        <v>1</v>
      </c>
      <c r="AB37" t="b">
        <f t="shared" si="9"/>
        <v>1</v>
      </c>
    </row>
    <row r="38" spans="1:28" ht="14.4">
      <c r="A38" s="2" t="s">
        <v>479</v>
      </c>
      <c r="B38" s="2" t="s">
        <v>14</v>
      </c>
      <c r="C38" s="2" t="s">
        <v>15</v>
      </c>
      <c r="D38" s="2" t="s">
        <v>65</v>
      </c>
      <c r="E38" s="2" t="s">
        <v>28</v>
      </c>
      <c r="F38" s="2" t="s">
        <v>186</v>
      </c>
      <c r="G38" s="2" t="s">
        <v>13</v>
      </c>
      <c r="H38" s="2" t="s">
        <v>19</v>
      </c>
      <c r="I38" s="2" t="s">
        <v>11</v>
      </c>
      <c r="J38" t="b">
        <f t="shared" si="1"/>
        <v>1</v>
      </c>
      <c r="K38" s="6" t="s">
        <v>479</v>
      </c>
      <c r="L38" s="7" t="s">
        <v>14</v>
      </c>
      <c r="M38" s="7" t="s">
        <v>15</v>
      </c>
      <c r="N38" s="7" t="s">
        <v>65</v>
      </c>
      <c r="O38" s="7" t="s">
        <v>28</v>
      </c>
      <c r="P38" s="7" t="s">
        <v>186</v>
      </c>
      <c r="Q38" s="7" t="s">
        <v>13</v>
      </c>
      <c r="R38" s="7" t="s">
        <v>19</v>
      </c>
      <c r="S38" s="7" t="s">
        <v>11</v>
      </c>
      <c r="U38" t="b">
        <f t="shared" si="2"/>
        <v>1</v>
      </c>
      <c r="V38" t="b">
        <f t="shared" si="3"/>
        <v>1</v>
      </c>
      <c r="W38" t="b">
        <f t="shared" si="4"/>
        <v>1</v>
      </c>
      <c r="X38" t="b">
        <f t="shared" si="5"/>
        <v>1</v>
      </c>
      <c r="Y38" t="b">
        <f t="shared" si="6"/>
        <v>1</v>
      </c>
      <c r="Z38" t="b">
        <f t="shared" si="7"/>
        <v>1</v>
      </c>
      <c r="AA38" t="b">
        <f t="shared" si="8"/>
        <v>1</v>
      </c>
      <c r="AB38" t="b">
        <f t="shared" si="9"/>
        <v>1</v>
      </c>
    </row>
    <row r="39" spans="1:28" ht="14.4">
      <c r="A39" s="2" t="s">
        <v>478</v>
      </c>
      <c r="B39" s="2" t="s">
        <v>14</v>
      </c>
      <c r="C39" s="2" t="s">
        <v>15</v>
      </c>
      <c r="D39" s="2" t="s">
        <v>65</v>
      </c>
      <c r="E39" s="2" t="s">
        <v>28</v>
      </c>
      <c r="F39" s="2" t="s">
        <v>186</v>
      </c>
      <c r="G39" s="2" t="s">
        <v>13</v>
      </c>
      <c r="H39" s="2" t="s">
        <v>19</v>
      </c>
      <c r="I39" s="2" t="s">
        <v>17</v>
      </c>
      <c r="J39" t="b">
        <f t="shared" si="1"/>
        <v>1</v>
      </c>
      <c r="K39" s="8" t="s">
        <v>478</v>
      </c>
      <c r="L39" s="9" t="s">
        <v>14</v>
      </c>
      <c r="M39" s="9" t="s">
        <v>15</v>
      </c>
      <c r="N39" s="9" t="s">
        <v>65</v>
      </c>
      <c r="O39" s="9" t="s">
        <v>28</v>
      </c>
      <c r="P39" s="9" t="s">
        <v>186</v>
      </c>
      <c r="Q39" s="9" t="s">
        <v>13</v>
      </c>
      <c r="R39" s="9" t="s">
        <v>19</v>
      </c>
      <c r="S39" s="9" t="s">
        <v>17</v>
      </c>
      <c r="U39" t="b">
        <f t="shared" si="2"/>
        <v>1</v>
      </c>
      <c r="V39" t="b">
        <f t="shared" si="3"/>
        <v>1</v>
      </c>
      <c r="W39" t="b">
        <f t="shared" si="4"/>
        <v>1</v>
      </c>
      <c r="X39" t="b">
        <f t="shared" si="5"/>
        <v>1</v>
      </c>
      <c r="Y39" t="b">
        <f t="shared" si="6"/>
        <v>1</v>
      </c>
      <c r="Z39" t="b">
        <f t="shared" si="7"/>
        <v>1</v>
      </c>
      <c r="AA39" t="b">
        <f t="shared" si="8"/>
        <v>1</v>
      </c>
      <c r="AB39" t="b">
        <f t="shared" si="9"/>
        <v>1</v>
      </c>
    </row>
    <row r="40" spans="1:28" ht="14.4" hidden="1">
      <c r="A40" s="2" t="s">
        <v>477</v>
      </c>
      <c r="B40" s="2" t="s">
        <v>28</v>
      </c>
      <c r="C40" s="2" t="s">
        <v>15</v>
      </c>
      <c r="D40" s="2" t="s">
        <v>65</v>
      </c>
      <c r="E40" s="2" t="s">
        <v>19</v>
      </c>
      <c r="F40" s="2" t="s">
        <v>186</v>
      </c>
      <c r="G40" s="2" t="s">
        <v>13</v>
      </c>
      <c r="H40" s="2" t="s">
        <v>16</v>
      </c>
      <c r="I40" s="2" t="s">
        <v>14</v>
      </c>
      <c r="J40" t="b">
        <f t="shared" si="1"/>
        <v>1</v>
      </c>
      <c r="K40" s="6" t="s">
        <v>477</v>
      </c>
      <c r="L40" s="7" t="s">
        <v>14</v>
      </c>
      <c r="M40" s="7" t="s">
        <v>15</v>
      </c>
      <c r="N40" s="7" t="s">
        <v>65</v>
      </c>
      <c r="O40" s="7" t="s">
        <v>28</v>
      </c>
      <c r="P40" s="7" t="s">
        <v>186</v>
      </c>
      <c r="Q40" s="7" t="s">
        <v>13</v>
      </c>
      <c r="R40" s="7" t="s">
        <v>19</v>
      </c>
      <c r="S40" s="7" t="s">
        <v>16</v>
      </c>
      <c r="U40" t="b">
        <f t="shared" si="2"/>
        <v>0</v>
      </c>
      <c r="V40" t="b">
        <f t="shared" si="3"/>
        <v>1</v>
      </c>
      <c r="W40" t="b">
        <f t="shared" si="4"/>
        <v>1</v>
      </c>
      <c r="X40" t="b">
        <f t="shared" si="5"/>
        <v>0</v>
      </c>
      <c r="Y40" t="b">
        <f t="shared" si="6"/>
        <v>1</v>
      </c>
      <c r="Z40" t="b">
        <f t="shared" si="7"/>
        <v>1</v>
      </c>
      <c r="AA40" t="b">
        <f t="shared" si="8"/>
        <v>0</v>
      </c>
      <c r="AB40" t="b">
        <f t="shared" si="9"/>
        <v>0</v>
      </c>
    </row>
    <row r="41" spans="1:28" ht="14.4">
      <c r="A41" s="2" t="s">
        <v>476</v>
      </c>
      <c r="B41" s="2" t="s">
        <v>28</v>
      </c>
      <c r="C41" s="2" t="s">
        <v>15</v>
      </c>
      <c r="D41" s="2" t="s">
        <v>65</v>
      </c>
      <c r="E41" s="2" t="s">
        <v>19</v>
      </c>
      <c r="F41" s="2" t="s">
        <v>186</v>
      </c>
      <c r="G41" s="2" t="s">
        <v>13</v>
      </c>
      <c r="H41" s="2" t="s">
        <v>12</v>
      </c>
      <c r="I41" s="2" t="s">
        <v>11</v>
      </c>
      <c r="J41" t="b">
        <f t="shared" si="1"/>
        <v>1</v>
      </c>
      <c r="K41" s="8" t="s">
        <v>476</v>
      </c>
      <c r="L41" s="9" t="s">
        <v>28</v>
      </c>
      <c r="M41" s="9" t="s">
        <v>15</v>
      </c>
      <c r="N41" s="9" t="s">
        <v>65</v>
      </c>
      <c r="O41" s="9" t="s">
        <v>19</v>
      </c>
      <c r="P41" s="9" t="s">
        <v>186</v>
      </c>
      <c r="Q41" s="9" t="s">
        <v>13</v>
      </c>
      <c r="R41" s="9" t="s">
        <v>12</v>
      </c>
      <c r="S41" s="9" t="s">
        <v>11</v>
      </c>
      <c r="U41" t="b">
        <f t="shared" si="2"/>
        <v>1</v>
      </c>
      <c r="V41" t="b">
        <f t="shared" si="3"/>
        <v>1</v>
      </c>
      <c r="W41" t="b">
        <f t="shared" si="4"/>
        <v>1</v>
      </c>
      <c r="X41" t="b">
        <f t="shared" si="5"/>
        <v>1</v>
      </c>
      <c r="Y41" t="b">
        <f t="shared" si="6"/>
        <v>1</v>
      </c>
      <c r="Z41" t="b">
        <f t="shared" si="7"/>
        <v>1</v>
      </c>
      <c r="AA41" t="b">
        <f t="shared" si="8"/>
        <v>1</v>
      </c>
      <c r="AB41" t="b">
        <f t="shared" si="9"/>
        <v>1</v>
      </c>
    </row>
    <row r="42" spans="1:28" ht="14.4">
      <c r="A42" s="2" t="s">
        <v>475</v>
      </c>
      <c r="B42" s="2" t="s">
        <v>28</v>
      </c>
      <c r="C42" s="2" t="s">
        <v>15</v>
      </c>
      <c r="D42" s="2" t="s">
        <v>65</v>
      </c>
      <c r="E42" s="2" t="s">
        <v>19</v>
      </c>
      <c r="F42" s="2" t="s">
        <v>186</v>
      </c>
      <c r="G42" s="2" t="s">
        <v>13</v>
      </c>
      <c r="H42" s="2" t="s">
        <v>12</v>
      </c>
      <c r="I42" s="2" t="s">
        <v>17</v>
      </c>
      <c r="J42" t="b">
        <f t="shared" si="1"/>
        <v>1</v>
      </c>
      <c r="K42" s="6" t="s">
        <v>475</v>
      </c>
      <c r="L42" s="7" t="s">
        <v>28</v>
      </c>
      <c r="M42" s="7" t="s">
        <v>15</v>
      </c>
      <c r="N42" s="7" t="s">
        <v>65</v>
      </c>
      <c r="O42" s="7" t="s">
        <v>19</v>
      </c>
      <c r="P42" s="7" t="s">
        <v>186</v>
      </c>
      <c r="Q42" s="7" t="s">
        <v>13</v>
      </c>
      <c r="R42" s="7" t="s">
        <v>12</v>
      </c>
      <c r="S42" s="7" t="s">
        <v>17</v>
      </c>
      <c r="U42" t="b">
        <f t="shared" si="2"/>
        <v>1</v>
      </c>
      <c r="V42" t="b">
        <f t="shared" si="3"/>
        <v>1</v>
      </c>
      <c r="W42" t="b">
        <f t="shared" si="4"/>
        <v>1</v>
      </c>
      <c r="X42" t="b">
        <f t="shared" si="5"/>
        <v>1</v>
      </c>
      <c r="Y42" t="b">
        <f t="shared" si="6"/>
        <v>1</v>
      </c>
      <c r="Z42" t="b">
        <f t="shared" si="7"/>
        <v>1</v>
      </c>
      <c r="AA42" t="b">
        <f t="shared" si="8"/>
        <v>1</v>
      </c>
      <c r="AB42" t="b">
        <f t="shared" si="9"/>
        <v>1</v>
      </c>
    </row>
    <row r="43" spans="1:28" ht="14.4">
      <c r="A43" s="2" t="s">
        <v>474</v>
      </c>
      <c r="B43" s="2" t="s">
        <v>28</v>
      </c>
      <c r="C43" s="2" t="s">
        <v>15</v>
      </c>
      <c r="D43" s="2" t="s">
        <v>65</v>
      </c>
      <c r="E43" s="2" t="s">
        <v>19</v>
      </c>
      <c r="F43" s="2" t="s">
        <v>186</v>
      </c>
      <c r="G43" s="2" t="s">
        <v>13</v>
      </c>
      <c r="H43" s="2" t="s">
        <v>16</v>
      </c>
      <c r="I43" s="2" t="s">
        <v>12</v>
      </c>
      <c r="J43" t="b">
        <f t="shared" si="1"/>
        <v>1</v>
      </c>
      <c r="K43" s="8" t="s">
        <v>474</v>
      </c>
      <c r="L43" s="9" t="s">
        <v>28</v>
      </c>
      <c r="M43" s="9" t="s">
        <v>15</v>
      </c>
      <c r="N43" s="9" t="s">
        <v>65</v>
      </c>
      <c r="O43" s="9" t="s">
        <v>19</v>
      </c>
      <c r="P43" s="9" t="s">
        <v>186</v>
      </c>
      <c r="Q43" s="9" t="s">
        <v>13</v>
      </c>
      <c r="R43" s="9" t="s">
        <v>16</v>
      </c>
      <c r="S43" s="9" t="s">
        <v>12</v>
      </c>
      <c r="U43" t="b">
        <f t="shared" si="2"/>
        <v>1</v>
      </c>
      <c r="V43" t="b">
        <f t="shared" si="3"/>
        <v>1</v>
      </c>
      <c r="W43" t="b">
        <f t="shared" si="4"/>
        <v>1</v>
      </c>
      <c r="X43" t="b">
        <f t="shared" si="5"/>
        <v>1</v>
      </c>
      <c r="Y43" t="b">
        <f t="shared" si="6"/>
        <v>1</v>
      </c>
      <c r="Z43" t="b">
        <f t="shared" si="7"/>
        <v>1</v>
      </c>
      <c r="AA43" t="b">
        <f t="shared" si="8"/>
        <v>1</v>
      </c>
      <c r="AB43" t="b">
        <f t="shared" si="9"/>
        <v>1</v>
      </c>
    </row>
    <row r="44" spans="1:28" ht="14.4">
      <c r="A44" s="2" t="s">
        <v>473</v>
      </c>
      <c r="B44" s="2" t="s">
        <v>28</v>
      </c>
      <c r="C44" s="2" t="s">
        <v>15</v>
      </c>
      <c r="D44" s="2" t="s">
        <v>65</v>
      </c>
      <c r="E44" s="2" t="s">
        <v>19</v>
      </c>
      <c r="F44" s="2" t="s">
        <v>186</v>
      </c>
      <c r="G44" s="2" t="s">
        <v>13</v>
      </c>
      <c r="H44" s="2" t="s">
        <v>11</v>
      </c>
      <c r="I44" s="2" t="s">
        <v>17</v>
      </c>
      <c r="J44" t="b">
        <f t="shared" si="1"/>
        <v>1</v>
      </c>
      <c r="K44" s="6" t="s">
        <v>473</v>
      </c>
      <c r="L44" s="7" t="s">
        <v>28</v>
      </c>
      <c r="M44" s="7" t="s">
        <v>15</v>
      </c>
      <c r="N44" s="7" t="s">
        <v>65</v>
      </c>
      <c r="O44" s="7" t="s">
        <v>19</v>
      </c>
      <c r="P44" s="7" t="s">
        <v>186</v>
      </c>
      <c r="Q44" s="7" t="s">
        <v>13</v>
      </c>
      <c r="R44" s="7" t="s">
        <v>11</v>
      </c>
      <c r="S44" s="7" t="s">
        <v>17</v>
      </c>
      <c r="U44" t="b">
        <f t="shared" si="2"/>
        <v>1</v>
      </c>
      <c r="V44" t="b">
        <f t="shared" si="3"/>
        <v>1</v>
      </c>
      <c r="W44" t="b">
        <f t="shared" si="4"/>
        <v>1</v>
      </c>
      <c r="X44" t="b">
        <f t="shared" si="5"/>
        <v>1</v>
      </c>
      <c r="Y44" t="b">
        <f t="shared" si="6"/>
        <v>1</v>
      </c>
      <c r="Z44" t="b">
        <f t="shared" si="7"/>
        <v>1</v>
      </c>
      <c r="AA44" t="b">
        <f t="shared" si="8"/>
        <v>1</v>
      </c>
      <c r="AB44" t="b">
        <f t="shared" si="9"/>
        <v>1</v>
      </c>
    </row>
    <row r="45" spans="1:28" ht="14.4">
      <c r="A45" s="2" t="s">
        <v>472</v>
      </c>
      <c r="B45" s="2" t="s">
        <v>28</v>
      </c>
      <c r="C45" s="2" t="s">
        <v>15</v>
      </c>
      <c r="D45" s="2" t="s">
        <v>65</v>
      </c>
      <c r="E45" s="2" t="s">
        <v>19</v>
      </c>
      <c r="F45" s="2" t="s">
        <v>186</v>
      </c>
      <c r="G45" s="2" t="s">
        <v>13</v>
      </c>
      <c r="H45" s="2" t="s">
        <v>16</v>
      </c>
      <c r="I45" s="2" t="s">
        <v>11</v>
      </c>
      <c r="J45" t="b">
        <f t="shared" si="1"/>
        <v>1</v>
      </c>
      <c r="K45" s="8" t="s">
        <v>472</v>
      </c>
      <c r="L45" s="9" t="s">
        <v>28</v>
      </c>
      <c r="M45" s="9" t="s">
        <v>15</v>
      </c>
      <c r="N45" s="9" t="s">
        <v>65</v>
      </c>
      <c r="O45" s="9" t="s">
        <v>19</v>
      </c>
      <c r="P45" s="9" t="s">
        <v>186</v>
      </c>
      <c r="Q45" s="9" t="s">
        <v>13</v>
      </c>
      <c r="R45" s="9" t="s">
        <v>16</v>
      </c>
      <c r="S45" s="9" t="s">
        <v>11</v>
      </c>
      <c r="U45" t="b">
        <f t="shared" si="2"/>
        <v>1</v>
      </c>
      <c r="V45" t="b">
        <f t="shared" si="3"/>
        <v>1</v>
      </c>
      <c r="W45" t="b">
        <f t="shared" si="4"/>
        <v>1</v>
      </c>
      <c r="X45" t="b">
        <f t="shared" si="5"/>
        <v>1</v>
      </c>
      <c r="Y45" t="b">
        <f t="shared" si="6"/>
        <v>1</v>
      </c>
      <c r="Z45" t="b">
        <f t="shared" si="7"/>
        <v>1</v>
      </c>
      <c r="AA45" t="b">
        <f t="shared" si="8"/>
        <v>1</v>
      </c>
      <c r="AB45" t="b">
        <f t="shared" si="9"/>
        <v>1</v>
      </c>
    </row>
    <row r="46" spans="1:28" ht="14.4">
      <c r="A46" s="2" t="s">
        <v>471</v>
      </c>
      <c r="B46" s="2" t="s">
        <v>28</v>
      </c>
      <c r="C46" s="2" t="s">
        <v>15</v>
      </c>
      <c r="D46" s="2" t="s">
        <v>65</v>
      </c>
      <c r="E46" s="2" t="s">
        <v>19</v>
      </c>
      <c r="F46" s="2" t="s">
        <v>186</v>
      </c>
      <c r="G46" s="2" t="s">
        <v>13</v>
      </c>
      <c r="H46" s="2" t="s">
        <v>16</v>
      </c>
      <c r="I46" s="2" t="s">
        <v>17</v>
      </c>
      <c r="J46" t="b">
        <f t="shared" si="1"/>
        <v>1</v>
      </c>
      <c r="K46" s="6" t="s">
        <v>471</v>
      </c>
      <c r="L46" s="7" t="s">
        <v>28</v>
      </c>
      <c r="M46" s="7" t="s">
        <v>15</v>
      </c>
      <c r="N46" s="7" t="s">
        <v>65</v>
      </c>
      <c r="O46" s="7" t="s">
        <v>19</v>
      </c>
      <c r="P46" s="7" t="s">
        <v>186</v>
      </c>
      <c r="Q46" s="7" t="s">
        <v>13</v>
      </c>
      <c r="R46" s="7" t="s">
        <v>16</v>
      </c>
      <c r="S46" s="7" t="s">
        <v>17</v>
      </c>
      <c r="U46" t="b">
        <f t="shared" si="2"/>
        <v>1</v>
      </c>
      <c r="V46" t="b">
        <f t="shared" si="3"/>
        <v>1</v>
      </c>
      <c r="W46" t="b">
        <f t="shared" si="4"/>
        <v>1</v>
      </c>
      <c r="X46" t="b">
        <f t="shared" si="5"/>
        <v>1</v>
      </c>
      <c r="Y46" t="b">
        <f t="shared" si="6"/>
        <v>1</v>
      </c>
      <c r="Z46" t="b">
        <f t="shared" si="7"/>
        <v>1</v>
      </c>
      <c r="AA46" t="b">
        <f t="shared" si="8"/>
        <v>1</v>
      </c>
      <c r="AB46" t="b">
        <f t="shared" si="9"/>
        <v>1</v>
      </c>
    </row>
    <row r="47" spans="1:28" ht="14.4">
      <c r="A47" s="2" t="s">
        <v>470</v>
      </c>
      <c r="B47" s="2" t="s">
        <v>14</v>
      </c>
      <c r="C47" s="2" t="s">
        <v>11</v>
      </c>
      <c r="D47" s="2" t="s">
        <v>65</v>
      </c>
      <c r="E47" s="2" t="s">
        <v>28</v>
      </c>
      <c r="F47" s="2" t="s">
        <v>186</v>
      </c>
      <c r="G47" s="2" t="s">
        <v>13</v>
      </c>
      <c r="H47" s="2" t="s">
        <v>19</v>
      </c>
      <c r="I47" s="2" t="s">
        <v>12</v>
      </c>
      <c r="J47" t="b">
        <f t="shared" si="1"/>
        <v>1</v>
      </c>
      <c r="K47" s="8" t="s">
        <v>470</v>
      </c>
      <c r="L47" s="9" t="s">
        <v>14</v>
      </c>
      <c r="M47" s="9" t="s">
        <v>11</v>
      </c>
      <c r="N47" s="9" t="s">
        <v>65</v>
      </c>
      <c r="O47" s="9" t="s">
        <v>28</v>
      </c>
      <c r="P47" s="9" t="s">
        <v>186</v>
      </c>
      <c r="Q47" s="9" t="s">
        <v>13</v>
      </c>
      <c r="R47" s="9" t="s">
        <v>19</v>
      </c>
      <c r="S47" s="9" t="s">
        <v>12</v>
      </c>
      <c r="U47" t="b">
        <f t="shared" si="2"/>
        <v>1</v>
      </c>
      <c r="V47" t="b">
        <f t="shared" si="3"/>
        <v>1</v>
      </c>
      <c r="W47" t="b">
        <f t="shared" si="4"/>
        <v>1</v>
      </c>
      <c r="X47" t="b">
        <f t="shared" si="5"/>
        <v>1</v>
      </c>
      <c r="Y47" t="b">
        <f t="shared" si="6"/>
        <v>1</v>
      </c>
      <c r="Z47" t="b">
        <f t="shared" si="7"/>
        <v>1</v>
      </c>
      <c r="AA47" t="b">
        <f t="shared" si="8"/>
        <v>1</v>
      </c>
      <c r="AB47" t="b">
        <f t="shared" si="9"/>
        <v>1</v>
      </c>
    </row>
    <row r="48" spans="1:28" ht="14.4">
      <c r="A48" s="2" t="s">
        <v>469</v>
      </c>
      <c r="B48" s="2" t="s">
        <v>14</v>
      </c>
      <c r="C48" s="2" t="s">
        <v>13</v>
      </c>
      <c r="D48" s="2" t="s">
        <v>65</v>
      </c>
      <c r="E48" s="2" t="s">
        <v>28</v>
      </c>
      <c r="F48" s="2" t="s">
        <v>186</v>
      </c>
      <c r="G48" s="2" t="s">
        <v>19</v>
      </c>
      <c r="H48" s="2" t="s">
        <v>12</v>
      </c>
      <c r="I48" s="2" t="s">
        <v>17</v>
      </c>
      <c r="J48" t="b">
        <f t="shared" si="1"/>
        <v>1</v>
      </c>
      <c r="K48" s="6" t="s">
        <v>469</v>
      </c>
      <c r="L48" s="7" t="s">
        <v>14</v>
      </c>
      <c r="M48" s="7" t="s">
        <v>13</v>
      </c>
      <c r="N48" s="7" t="s">
        <v>65</v>
      </c>
      <c r="O48" s="7" t="s">
        <v>28</v>
      </c>
      <c r="P48" s="7" t="s">
        <v>186</v>
      </c>
      <c r="Q48" s="7" t="s">
        <v>19</v>
      </c>
      <c r="R48" s="7" t="s">
        <v>12</v>
      </c>
      <c r="S48" s="7" t="s">
        <v>17</v>
      </c>
      <c r="U48" t="b">
        <f t="shared" si="2"/>
        <v>1</v>
      </c>
      <c r="V48" t="b">
        <f t="shared" si="3"/>
        <v>1</v>
      </c>
      <c r="W48" t="b">
        <f t="shared" si="4"/>
        <v>1</v>
      </c>
      <c r="X48" t="b">
        <f t="shared" si="5"/>
        <v>1</v>
      </c>
      <c r="Y48" t="b">
        <f t="shared" si="6"/>
        <v>1</v>
      </c>
      <c r="Z48" t="b">
        <f t="shared" si="7"/>
        <v>1</v>
      </c>
      <c r="AA48" t="b">
        <f t="shared" si="8"/>
        <v>1</v>
      </c>
      <c r="AB48" t="b">
        <f t="shared" si="9"/>
        <v>1</v>
      </c>
    </row>
    <row r="49" spans="1:28" ht="14.4">
      <c r="A49" s="2" t="s">
        <v>468</v>
      </c>
      <c r="B49" s="2" t="s">
        <v>14</v>
      </c>
      <c r="C49" s="2" t="s">
        <v>13</v>
      </c>
      <c r="D49" s="2" t="s">
        <v>65</v>
      </c>
      <c r="E49" s="2" t="s">
        <v>28</v>
      </c>
      <c r="F49" s="2" t="s">
        <v>186</v>
      </c>
      <c r="G49" s="2" t="s">
        <v>19</v>
      </c>
      <c r="H49" s="2" t="s">
        <v>16</v>
      </c>
      <c r="I49" s="2" t="s">
        <v>12</v>
      </c>
      <c r="J49" t="b">
        <f t="shared" si="1"/>
        <v>1</v>
      </c>
      <c r="K49" s="8" t="s">
        <v>468</v>
      </c>
      <c r="L49" s="9" t="s">
        <v>14</v>
      </c>
      <c r="M49" s="9" t="s">
        <v>13</v>
      </c>
      <c r="N49" s="9" t="s">
        <v>65</v>
      </c>
      <c r="O49" s="9" t="s">
        <v>28</v>
      </c>
      <c r="P49" s="9" t="s">
        <v>186</v>
      </c>
      <c r="Q49" s="9" t="s">
        <v>19</v>
      </c>
      <c r="R49" s="9" t="s">
        <v>16</v>
      </c>
      <c r="S49" s="9" t="s">
        <v>12</v>
      </c>
      <c r="U49" t="b">
        <f t="shared" si="2"/>
        <v>1</v>
      </c>
      <c r="V49" t="b">
        <f t="shared" si="3"/>
        <v>1</v>
      </c>
      <c r="W49" t="b">
        <f t="shared" si="4"/>
        <v>1</v>
      </c>
      <c r="X49" t="b">
        <f t="shared" si="5"/>
        <v>1</v>
      </c>
      <c r="Y49" t="b">
        <f t="shared" si="6"/>
        <v>1</v>
      </c>
      <c r="Z49" t="b">
        <f t="shared" si="7"/>
        <v>1</v>
      </c>
      <c r="AA49" t="b">
        <f t="shared" si="8"/>
        <v>1</v>
      </c>
      <c r="AB49" t="b">
        <f t="shared" si="9"/>
        <v>1</v>
      </c>
    </row>
    <row r="50" spans="1:28" ht="14.4">
      <c r="A50" s="2" t="s">
        <v>467</v>
      </c>
      <c r="B50" s="2" t="s">
        <v>14</v>
      </c>
      <c r="C50" s="2" t="s">
        <v>11</v>
      </c>
      <c r="D50" s="2" t="s">
        <v>65</v>
      </c>
      <c r="E50" s="2" t="s">
        <v>28</v>
      </c>
      <c r="F50" s="2" t="s">
        <v>186</v>
      </c>
      <c r="G50" s="2" t="s">
        <v>13</v>
      </c>
      <c r="H50" s="2" t="s">
        <v>19</v>
      </c>
      <c r="I50" s="2" t="s">
        <v>17</v>
      </c>
      <c r="J50" t="b">
        <f t="shared" si="1"/>
        <v>1</v>
      </c>
      <c r="K50" s="6" t="s">
        <v>467</v>
      </c>
      <c r="L50" s="7" t="s">
        <v>14</v>
      </c>
      <c r="M50" s="7" t="s">
        <v>11</v>
      </c>
      <c r="N50" s="7" t="s">
        <v>65</v>
      </c>
      <c r="O50" s="7" t="s">
        <v>28</v>
      </c>
      <c r="P50" s="7" t="s">
        <v>186</v>
      </c>
      <c r="Q50" s="7" t="s">
        <v>13</v>
      </c>
      <c r="R50" s="7" t="s">
        <v>19</v>
      </c>
      <c r="S50" s="7" t="s">
        <v>17</v>
      </c>
      <c r="U50" t="b">
        <f t="shared" si="2"/>
        <v>1</v>
      </c>
      <c r="V50" t="b">
        <f t="shared" si="3"/>
        <v>1</v>
      </c>
      <c r="W50" t="b">
        <f t="shared" si="4"/>
        <v>1</v>
      </c>
      <c r="X50" t="b">
        <f t="shared" si="5"/>
        <v>1</v>
      </c>
      <c r="Y50" t="b">
        <f t="shared" si="6"/>
        <v>1</v>
      </c>
      <c r="Z50" t="b">
        <f t="shared" si="7"/>
        <v>1</v>
      </c>
      <c r="AA50" t="b">
        <f t="shared" si="8"/>
        <v>1</v>
      </c>
      <c r="AB50" t="b">
        <f t="shared" si="9"/>
        <v>1</v>
      </c>
    </row>
    <row r="51" spans="1:28" ht="14.4" hidden="1">
      <c r="A51" s="2" t="s">
        <v>466</v>
      </c>
      <c r="B51" s="2" t="s">
        <v>28</v>
      </c>
      <c r="C51" s="2" t="s">
        <v>11</v>
      </c>
      <c r="D51" s="2" t="s">
        <v>65</v>
      </c>
      <c r="E51" s="2" t="s">
        <v>19</v>
      </c>
      <c r="F51" s="2" t="s">
        <v>186</v>
      </c>
      <c r="G51" s="2" t="s">
        <v>13</v>
      </c>
      <c r="H51" s="2" t="s">
        <v>16</v>
      </c>
      <c r="I51" s="2" t="s">
        <v>14</v>
      </c>
      <c r="J51" t="b">
        <f t="shared" si="1"/>
        <v>1</v>
      </c>
      <c r="K51" s="8" t="s">
        <v>466</v>
      </c>
      <c r="L51" s="9" t="s">
        <v>14</v>
      </c>
      <c r="M51" s="9" t="s">
        <v>11</v>
      </c>
      <c r="N51" s="9" t="s">
        <v>65</v>
      </c>
      <c r="O51" s="9" t="s">
        <v>28</v>
      </c>
      <c r="P51" s="9" t="s">
        <v>186</v>
      </c>
      <c r="Q51" s="9" t="s">
        <v>19</v>
      </c>
      <c r="R51" s="9" t="s">
        <v>16</v>
      </c>
      <c r="S51" s="9" t="s">
        <v>13</v>
      </c>
      <c r="U51" t="b">
        <f t="shared" si="2"/>
        <v>0</v>
      </c>
      <c r="V51" t="b">
        <f t="shared" si="3"/>
        <v>1</v>
      </c>
      <c r="W51" t="b">
        <f t="shared" si="4"/>
        <v>1</v>
      </c>
      <c r="X51" t="b">
        <f t="shared" si="5"/>
        <v>0</v>
      </c>
      <c r="Y51" t="b">
        <f t="shared" si="6"/>
        <v>1</v>
      </c>
      <c r="Z51" t="b">
        <f t="shared" si="7"/>
        <v>0</v>
      </c>
      <c r="AA51" t="b">
        <f t="shared" si="8"/>
        <v>1</v>
      </c>
      <c r="AB51" t="b">
        <f t="shared" si="9"/>
        <v>0</v>
      </c>
    </row>
    <row r="52" spans="1:28" ht="14.4">
      <c r="A52" s="2" t="s">
        <v>465</v>
      </c>
      <c r="B52" s="2" t="s">
        <v>14</v>
      </c>
      <c r="C52" s="2" t="s">
        <v>13</v>
      </c>
      <c r="D52" s="2" t="s">
        <v>65</v>
      </c>
      <c r="E52" s="2" t="s">
        <v>28</v>
      </c>
      <c r="F52" s="2" t="s">
        <v>186</v>
      </c>
      <c r="G52" s="2" t="s">
        <v>19</v>
      </c>
      <c r="H52" s="2" t="s">
        <v>16</v>
      </c>
      <c r="I52" s="2" t="s">
        <v>17</v>
      </c>
      <c r="J52" t="b">
        <f t="shared" si="1"/>
        <v>1</v>
      </c>
      <c r="K52" s="6" t="s">
        <v>465</v>
      </c>
      <c r="L52" s="7" t="s">
        <v>14</v>
      </c>
      <c r="M52" s="7" t="s">
        <v>13</v>
      </c>
      <c r="N52" s="7" t="s">
        <v>65</v>
      </c>
      <c r="O52" s="7" t="s">
        <v>28</v>
      </c>
      <c r="P52" s="7" t="s">
        <v>186</v>
      </c>
      <c r="Q52" s="7" t="s">
        <v>19</v>
      </c>
      <c r="R52" s="7" t="s">
        <v>16</v>
      </c>
      <c r="S52" s="7" t="s">
        <v>17</v>
      </c>
      <c r="U52" t="b">
        <f t="shared" si="2"/>
        <v>1</v>
      </c>
      <c r="V52" t="b">
        <f t="shared" si="3"/>
        <v>1</v>
      </c>
      <c r="W52" t="b">
        <f t="shared" si="4"/>
        <v>1</v>
      </c>
      <c r="X52" t="b">
        <f t="shared" si="5"/>
        <v>1</v>
      </c>
      <c r="Y52" t="b">
        <f t="shared" si="6"/>
        <v>1</v>
      </c>
      <c r="Z52" t="b">
        <f t="shared" si="7"/>
        <v>1</v>
      </c>
      <c r="AA52" t="b">
        <f t="shared" si="8"/>
        <v>1</v>
      </c>
      <c r="AB52" t="b">
        <f t="shared" si="9"/>
        <v>1</v>
      </c>
    </row>
    <row r="53" spans="1:28" ht="14.4">
      <c r="A53" s="2" t="s">
        <v>464</v>
      </c>
      <c r="B53" s="2" t="s">
        <v>28</v>
      </c>
      <c r="C53" s="2" t="s">
        <v>11</v>
      </c>
      <c r="D53" s="2" t="s">
        <v>65</v>
      </c>
      <c r="E53" s="2" t="s">
        <v>19</v>
      </c>
      <c r="F53" s="2" t="s">
        <v>186</v>
      </c>
      <c r="G53" s="2" t="s">
        <v>13</v>
      </c>
      <c r="H53" s="2" t="s">
        <v>12</v>
      </c>
      <c r="I53" s="2" t="s">
        <v>17</v>
      </c>
      <c r="J53" t="b">
        <f t="shared" si="1"/>
        <v>1</v>
      </c>
      <c r="K53" s="8" t="s">
        <v>464</v>
      </c>
      <c r="L53" s="9" t="s">
        <v>28</v>
      </c>
      <c r="M53" s="9" t="s">
        <v>11</v>
      </c>
      <c r="N53" s="9" t="s">
        <v>65</v>
      </c>
      <c r="O53" s="9" t="s">
        <v>19</v>
      </c>
      <c r="P53" s="9" t="s">
        <v>186</v>
      </c>
      <c r="Q53" s="9" t="s">
        <v>13</v>
      </c>
      <c r="R53" s="9" t="s">
        <v>12</v>
      </c>
      <c r="S53" s="9" t="s">
        <v>17</v>
      </c>
      <c r="U53" t="b">
        <f t="shared" si="2"/>
        <v>1</v>
      </c>
      <c r="V53" t="b">
        <f t="shared" si="3"/>
        <v>1</v>
      </c>
      <c r="W53" t="b">
        <f t="shared" si="4"/>
        <v>1</v>
      </c>
      <c r="X53" t="b">
        <f t="shared" si="5"/>
        <v>1</v>
      </c>
      <c r="Y53" t="b">
        <f t="shared" si="6"/>
        <v>1</v>
      </c>
      <c r="Z53" t="b">
        <f t="shared" si="7"/>
        <v>1</v>
      </c>
      <c r="AA53" t="b">
        <f t="shared" si="8"/>
        <v>1</v>
      </c>
      <c r="AB53" t="b">
        <f t="shared" si="9"/>
        <v>1</v>
      </c>
    </row>
    <row r="54" spans="1:28" ht="14.4">
      <c r="A54" s="2" t="s">
        <v>463</v>
      </c>
      <c r="B54" s="2" t="s">
        <v>28</v>
      </c>
      <c r="C54" s="2" t="s">
        <v>11</v>
      </c>
      <c r="D54" s="2" t="s">
        <v>65</v>
      </c>
      <c r="E54" s="2" t="s">
        <v>19</v>
      </c>
      <c r="F54" s="2" t="s">
        <v>186</v>
      </c>
      <c r="G54" s="2" t="s">
        <v>13</v>
      </c>
      <c r="H54" s="2" t="s">
        <v>16</v>
      </c>
      <c r="I54" s="2" t="s">
        <v>12</v>
      </c>
      <c r="J54" t="b">
        <f t="shared" si="1"/>
        <v>1</v>
      </c>
      <c r="K54" s="6" t="s">
        <v>463</v>
      </c>
      <c r="L54" s="7" t="s">
        <v>28</v>
      </c>
      <c r="M54" s="7" t="s">
        <v>11</v>
      </c>
      <c r="N54" s="7" t="s">
        <v>65</v>
      </c>
      <c r="O54" s="7" t="s">
        <v>19</v>
      </c>
      <c r="P54" s="7" t="s">
        <v>186</v>
      </c>
      <c r="Q54" s="7" t="s">
        <v>13</v>
      </c>
      <c r="R54" s="7" t="s">
        <v>16</v>
      </c>
      <c r="S54" s="7" t="s">
        <v>12</v>
      </c>
      <c r="U54" t="b">
        <f t="shared" si="2"/>
        <v>1</v>
      </c>
      <c r="V54" t="b">
        <f t="shared" si="3"/>
        <v>1</v>
      </c>
      <c r="W54" t="b">
        <f t="shared" si="4"/>
        <v>1</v>
      </c>
      <c r="X54" t="b">
        <f t="shared" si="5"/>
        <v>1</v>
      </c>
      <c r="Y54" t="b">
        <f t="shared" si="6"/>
        <v>1</v>
      </c>
      <c r="Z54" t="b">
        <f t="shared" si="7"/>
        <v>1</v>
      </c>
      <c r="AA54" t="b">
        <f t="shared" si="8"/>
        <v>1</v>
      </c>
      <c r="AB54" t="b">
        <f t="shared" si="9"/>
        <v>1</v>
      </c>
    </row>
    <row r="55" spans="1:28" ht="14.4">
      <c r="A55" s="2" t="s">
        <v>462</v>
      </c>
      <c r="B55" s="2" t="s">
        <v>28</v>
      </c>
      <c r="C55" s="2" t="s">
        <v>12</v>
      </c>
      <c r="D55" s="2" t="s">
        <v>65</v>
      </c>
      <c r="E55" s="2" t="s">
        <v>19</v>
      </c>
      <c r="F55" s="2" t="s">
        <v>186</v>
      </c>
      <c r="G55" s="2" t="s">
        <v>13</v>
      </c>
      <c r="H55" s="2" t="s">
        <v>16</v>
      </c>
      <c r="I55" s="2" t="s">
        <v>17</v>
      </c>
      <c r="J55" t="b">
        <f t="shared" si="1"/>
        <v>1</v>
      </c>
      <c r="K55" s="8" t="s">
        <v>462</v>
      </c>
      <c r="L55" s="9" t="s">
        <v>28</v>
      </c>
      <c r="M55" s="9" t="s">
        <v>12</v>
      </c>
      <c r="N55" s="9" t="s">
        <v>65</v>
      </c>
      <c r="O55" s="9" t="s">
        <v>19</v>
      </c>
      <c r="P55" s="9" t="s">
        <v>186</v>
      </c>
      <c r="Q55" s="9" t="s">
        <v>13</v>
      </c>
      <c r="R55" s="9" t="s">
        <v>16</v>
      </c>
      <c r="S55" s="9" t="s">
        <v>17</v>
      </c>
      <c r="U55" t="b">
        <f t="shared" si="2"/>
        <v>1</v>
      </c>
      <c r="V55" t="b">
        <f t="shared" si="3"/>
        <v>1</v>
      </c>
      <c r="W55" t="b">
        <f t="shared" si="4"/>
        <v>1</v>
      </c>
      <c r="X55" t="b">
        <f t="shared" si="5"/>
        <v>1</v>
      </c>
      <c r="Y55" t="b">
        <f t="shared" si="6"/>
        <v>1</v>
      </c>
      <c r="Z55" t="b">
        <f t="shared" si="7"/>
        <v>1</v>
      </c>
      <c r="AA55" t="b">
        <f t="shared" si="8"/>
        <v>1</v>
      </c>
      <c r="AB55" t="b">
        <f t="shared" si="9"/>
        <v>1</v>
      </c>
    </row>
    <row r="56" spans="1:28" ht="14.4" hidden="1">
      <c r="A56" s="2" t="s">
        <v>461</v>
      </c>
      <c r="B56" s="2" t="s">
        <v>28</v>
      </c>
      <c r="C56" s="2" t="s">
        <v>11</v>
      </c>
      <c r="D56" s="2" t="s">
        <v>65</v>
      </c>
      <c r="E56" s="2" t="s">
        <v>19</v>
      </c>
      <c r="F56" s="2" t="s">
        <v>186</v>
      </c>
      <c r="G56" s="2" t="s">
        <v>13</v>
      </c>
      <c r="H56" s="2" t="s">
        <v>16</v>
      </c>
      <c r="I56" s="2" t="s">
        <v>17</v>
      </c>
      <c r="J56" t="b">
        <f t="shared" si="1"/>
        <v>1</v>
      </c>
      <c r="K56" s="6" t="s">
        <v>461</v>
      </c>
      <c r="L56" s="7" t="s">
        <v>14</v>
      </c>
      <c r="M56" s="7" t="s">
        <v>15</v>
      </c>
      <c r="N56" s="7" t="s">
        <v>65</v>
      </c>
      <c r="O56" s="7" t="s">
        <v>28</v>
      </c>
      <c r="P56" s="7" t="s">
        <v>186</v>
      </c>
      <c r="Q56" s="7" t="s">
        <v>13</v>
      </c>
      <c r="R56" s="7" t="s">
        <v>19</v>
      </c>
      <c r="S56" s="7" t="s">
        <v>10</v>
      </c>
      <c r="U56" t="b">
        <f t="shared" si="2"/>
        <v>0</v>
      </c>
      <c r="V56" t="b">
        <f t="shared" si="3"/>
        <v>0</v>
      </c>
      <c r="W56" t="b">
        <f t="shared" si="4"/>
        <v>1</v>
      </c>
      <c r="X56" t="b">
        <f t="shared" si="5"/>
        <v>0</v>
      </c>
      <c r="Y56" t="b">
        <f t="shared" si="6"/>
        <v>1</v>
      </c>
      <c r="Z56" t="b">
        <f t="shared" si="7"/>
        <v>1</v>
      </c>
      <c r="AA56" t="b">
        <f t="shared" si="8"/>
        <v>0</v>
      </c>
      <c r="AB56" t="b">
        <f t="shared" si="9"/>
        <v>0</v>
      </c>
    </row>
    <row r="57" spans="1:28" ht="14.4">
      <c r="A57" s="2" t="s">
        <v>460</v>
      </c>
      <c r="B57" s="2" t="s">
        <v>14</v>
      </c>
      <c r="C57" s="2" t="s">
        <v>15</v>
      </c>
      <c r="D57" s="2" t="s">
        <v>65</v>
      </c>
      <c r="E57" s="2" t="s">
        <v>28</v>
      </c>
      <c r="F57" s="2" t="s">
        <v>186</v>
      </c>
      <c r="G57" s="2" t="s">
        <v>19</v>
      </c>
      <c r="H57" s="2" t="s">
        <v>12</v>
      </c>
      <c r="I57" s="2" t="s">
        <v>11</v>
      </c>
      <c r="J57" t="b">
        <f t="shared" si="1"/>
        <v>1</v>
      </c>
      <c r="K57" s="8" t="s">
        <v>460</v>
      </c>
      <c r="L57" s="9" t="s">
        <v>14</v>
      </c>
      <c r="M57" s="9" t="s">
        <v>15</v>
      </c>
      <c r="N57" s="9" t="s">
        <v>65</v>
      </c>
      <c r="O57" s="9" t="s">
        <v>28</v>
      </c>
      <c r="P57" s="9" t="s">
        <v>186</v>
      </c>
      <c r="Q57" s="9" t="s">
        <v>19</v>
      </c>
      <c r="R57" s="9" t="s">
        <v>12</v>
      </c>
      <c r="S57" s="9" t="s">
        <v>11</v>
      </c>
      <c r="U57" t="b">
        <f t="shared" si="2"/>
        <v>1</v>
      </c>
      <c r="V57" t="b">
        <f t="shared" si="3"/>
        <v>1</v>
      </c>
      <c r="W57" t="b">
        <f t="shared" si="4"/>
        <v>1</v>
      </c>
      <c r="X57" t="b">
        <f t="shared" si="5"/>
        <v>1</v>
      </c>
      <c r="Y57" t="b">
        <f t="shared" si="6"/>
        <v>1</v>
      </c>
      <c r="Z57" t="b">
        <f t="shared" si="7"/>
        <v>1</v>
      </c>
      <c r="AA57" t="b">
        <f t="shared" si="8"/>
        <v>1</v>
      </c>
      <c r="AB57" t="b">
        <f t="shared" si="9"/>
        <v>1</v>
      </c>
    </row>
    <row r="58" spans="1:28" ht="14.4">
      <c r="A58" s="2" t="s">
        <v>459</v>
      </c>
      <c r="B58" s="2" t="s">
        <v>14</v>
      </c>
      <c r="C58" s="2" t="s">
        <v>15</v>
      </c>
      <c r="D58" s="2" t="s">
        <v>65</v>
      </c>
      <c r="E58" s="2" t="s">
        <v>28</v>
      </c>
      <c r="F58" s="2" t="s">
        <v>186</v>
      </c>
      <c r="G58" s="2" t="s">
        <v>19</v>
      </c>
      <c r="H58" s="2" t="s">
        <v>12</v>
      </c>
      <c r="I58" s="2" t="s">
        <v>17</v>
      </c>
      <c r="J58" t="b">
        <f t="shared" si="1"/>
        <v>1</v>
      </c>
      <c r="K58" s="6" t="s">
        <v>459</v>
      </c>
      <c r="L58" s="7" t="s">
        <v>14</v>
      </c>
      <c r="M58" s="7" t="s">
        <v>15</v>
      </c>
      <c r="N58" s="7" t="s">
        <v>65</v>
      </c>
      <c r="O58" s="7" t="s">
        <v>28</v>
      </c>
      <c r="P58" s="7" t="s">
        <v>186</v>
      </c>
      <c r="Q58" s="7" t="s">
        <v>19</v>
      </c>
      <c r="R58" s="7" t="s">
        <v>12</v>
      </c>
      <c r="S58" s="7" t="s">
        <v>17</v>
      </c>
      <c r="U58" t="b">
        <f t="shared" si="2"/>
        <v>1</v>
      </c>
      <c r="V58" t="b">
        <f t="shared" si="3"/>
        <v>1</v>
      </c>
      <c r="W58" t="b">
        <f t="shared" si="4"/>
        <v>1</v>
      </c>
      <c r="X58" t="b">
        <f t="shared" si="5"/>
        <v>1</v>
      </c>
      <c r="Y58" t="b">
        <f t="shared" si="6"/>
        <v>1</v>
      </c>
      <c r="Z58" t="b">
        <f t="shared" si="7"/>
        <v>1</v>
      </c>
      <c r="AA58" t="b">
        <f t="shared" si="8"/>
        <v>1</v>
      </c>
      <c r="AB58" t="b">
        <f t="shared" si="9"/>
        <v>1</v>
      </c>
    </row>
    <row r="59" spans="1:28" ht="14.4">
      <c r="A59" s="2" t="s">
        <v>458</v>
      </c>
      <c r="B59" s="2" t="s">
        <v>14</v>
      </c>
      <c r="C59" s="2" t="s">
        <v>15</v>
      </c>
      <c r="D59" s="2" t="s">
        <v>65</v>
      </c>
      <c r="E59" s="2" t="s">
        <v>28</v>
      </c>
      <c r="F59" s="2" t="s">
        <v>186</v>
      </c>
      <c r="G59" s="2" t="s">
        <v>19</v>
      </c>
      <c r="H59" s="2" t="s">
        <v>16</v>
      </c>
      <c r="I59" s="2" t="s">
        <v>12</v>
      </c>
      <c r="J59" t="b">
        <f t="shared" si="1"/>
        <v>1</v>
      </c>
      <c r="K59" s="8" t="s">
        <v>458</v>
      </c>
      <c r="L59" s="9" t="s">
        <v>14</v>
      </c>
      <c r="M59" s="9" t="s">
        <v>15</v>
      </c>
      <c r="N59" s="9" t="s">
        <v>65</v>
      </c>
      <c r="O59" s="9" t="s">
        <v>28</v>
      </c>
      <c r="P59" s="9" t="s">
        <v>186</v>
      </c>
      <c r="Q59" s="9" t="s">
        <v>19</v>
      </c>
      <c r="R59" s="9" t="s">
        <v>16</v>
      </c>
      <c r="S59" s="9" t="s">
        <v>12</v>
      </c>
      <c r="U59" t="b">
        <f t="shared" si="2"/>
        <v>1</v>
      </c>
      <c r="V59" t="b">
        <f t="shared" si="3"/>
        <v>1</v>
      </c>
      <c r="W59" t="b">
        <f t="shared" si="4"/>
        <v>1</v>
      </c>
      <c r="X59" t="b">
        <f t="shared" si="5"/>
        <v>1</v>
      </c>
      <c r="Y59" t="b">
        <f t="shared" si="6"/>
        <v>1</v>
      </c>
      <c r="Z59" t="b">
        <f t="shared" si="7"/>
        <v>1</v>
      </c>
      <c r="AA59" t="b">
        <f t="shared" si="8"/>
        <v>1</v>
      </c>
      <c r="AB59" t="b">
        <f t="shared" si="9"/>
        <v>1</v>
      </c>
    </row>
    <row r="60" spans="1:28" ht="14.4">
      <c r="A60" s="2" t="s">
        <v>457</v>
      </c>
      <c r="B60" s="2" t="s">
        <v>14</v>
      </c>
      <c r="C60" s="2" t="s">
        <v>15</v>
      </c>
      <c r="D60" s="2" t="s">
        <v>65</v>
      </c>
      <c r="E60" s="2" t="s">
        <v>28</v>
      </c>
      <c r="F60" s="2" t="s">
        <v>186</v>
      </c>
      <c r="G60" s="2" t="s">
        <v>19</v>
      </c>
      <c r="H60" s="2" t="s">
        <v>11</v>
      </c>
      <c r="I60" s="2" t="s">
        <v>17</v>
      </c>
      <c r="J60" t="b">
        <f t="shared" si="1"/>
        <v>1</v>
      </c>
      <c r="K60" s="6" t="s">
        <v>457</v>
      </c>
      <c r="L60" s="7" t="s">
        <v>14</v>
      </c>
      <c r="M60" s="7" t="s">
        <v>15</v>
      </c>
      <c r="N60" s="7" t="s">
        <v>65</v>
      </c>
      <c r="O60" s="7" t="s">
        <v>28</v>
      </c>
      <c r="P60" s="7" t="s">
        <v>186</v>
      </c>
      <c r="Q60" s="7" t="s">
        <v>19</v>
      </c>
      <c r="R60" s="7" t="s">
        <v>11</v>
      </c>
      <c r="S60" s="7" t="s">
        <v>17</v>
      </c>
      <c r="U60" t="b">
        <f t="shared" si="2"/>
        <v>1</v>
      </c>
      <c r="V60" t="b">
        <f t="shared" si="3"/>
        <v>1</v>
      </c>
      <c r="W60" t="b">
        <f t="shared" si="4"/>
        <v>1</v>
      </c>
      <c r="X60" t="b">
        <f t="shared" si="5"/>
        <v>1</v>
      </c>
      <c r="Y60" t="b">
        <f t="shared" si="6"/>
        <v>1</v>
      </c>
      <c r="Z60" t="b">
        <f t="shared" si="7"/>
        <v>1</v>
      </c>
      <c r="AA60" t="b">
        <f t="shared" si="8"/>
        <v>1</v>
      </c>
      <c r="AB60" t="b">
        <f t="shared" si="9"/>
        <v>1</v>
      </c>
    </row>
    <row r="61" spans="1:28" ht="14.4">
      <c r="A61" s="2" t="s">
        <v>456</v>
      </c>
      <c r="B61" s="2" t="s">
        <v>14</v>
      </c>
      <c r="C61" s="2" t="s">
        <v>15</v>
      </c>
      <c r="D61" s="2" t="s">
        <v>65</v>
      </c>
      <c r="E61" s="2" t="s">
        <v>28</v>
      </c>
      <c r="F61" s="2" t="s">
        <v>186</v>
      </c>
      <c r="G61" s="2" t="s">
        <v>19</v>
      </c>
      <c r="H61" s="2" t="s">
        <v>16</v>
      </c>
      <c r="I61" s="2" t="s">
        <v>11</v>
      </c>
      <c r="J61" t="b">
        <f t="shared" si="1"/>
        <v>1</v>
      </c>
      <c r="K61" s="8" t="s">
        <v>456</v>
      </c>
      <c r="L61" s="9" t="s">
        <v>14</v>
      </c>
      <c r="M61" s="9" t="s">
        <v>15</v>
      </c>
      <c r="N61" s="9" t="s">
        <v>65</v>
      </c>
      <c r="O61" s="9" t="s">
        <v>28</v>
      </c>
      <c r="P61" s="9" t="s">
        <v>186</v>
      </c>
      <c r="Q61" s="9" t="s">
        <v>19</v>
      </c>
      <c r="R61" s="9" t="s">
        <v>16</v>
      </c>
      <c r="S61" s="9" t="s">
        <v>11</v>
      </c>
      <c r="U61" t="b">
        <f t="shared" si="2"/>
        <v>1</v>
      </c>
      <c r="V61" t="b">
        <f t="shared" si="3"/>
        <v>1</v>
      </c>
      <c r="W61" t="b">
        <f t="shared" si="4"/>
        <v>1</v>
      </c>
      <c r="X61" t="b">
        <f t="shared" si="5"/>
        <v>1</v>
      </c>
      <c r="Y61" t="b">
        <f t="shared" si="6"/>
        <v>1</v>
      </c>
      <c r="Z61" t="b">
        <f t="shared" si="7"/>
        <v>1</v>
      </c>
      <c r="AA61" t="b">
        <f t="shared" si="8"/>
        <v>1</v>
      </c>
      <c r="AB61" t="b">
        <f t="shared" si="9"/>
        <v>1</v>
      </c>
    </row>
    <row r="62" spans="1:28" ht="14.4">
      <c r="A62" s="2" t="s">
        <v>455</v>
      </c>
      <c r="B62" s="2" t="s">
        <v>14</v>
      </c>
      <c r="C62" s="2" t="s">
        <v>15</v>
      </c>
      <c r="D62" s="2" t="s">
        <v>65</v>
      </c>
      <c r="E62" s="2" t="s">
        <v>28</v>
      </c>
      <c r="F62" s="2" t="s">
        <v>186</v>
      </c>
      <c r="G62" s="2" t="s">
        <v>19</v>
      </c>
      <c r="H62" s="2" t="s">
        <v>16</v>
      </c>
      <c r="I62" s="2" t="s">
        <v>17</v>
      </c>
      <c r="J62" t="b">
        <f t="shared" si="1"/>
        <v>1</v>
      </c>
      <c r="K62" s="6" t="s">
        <v>455</v>
      </c>
      <c r="L62" s="7" t="s">
        <v>14</v>
      </c>
      <c r="M62" s="7" t="s">
        <v>15</v>
      </c>
      <c r="N62" s="7" t="s">
        <v>65</v>
      </c>
      <c r="O62" s="7" t="s">
        <v>28</v>
      </c>
      <c r="P62" s="7" t="s">
        <v>186</v>
      </c>
      <c r="Q62" s="7" t="s">
        <v>19</v>
      </c>
      <c r="R62" s="7" t="s">
        <v>16</v>
      </c>
      <c r="S62" s="7" t="s">
        <v>17</v>
      </c>
      <c r="U62" t="b">
        <f t="shared" si="2"/>
        <v>1</v>
      </c>
      <c r="V62" t="b">
        <f t="shared" si="3"/>
        <v>1</v>
      </c>
      <c r="W62" t="b">
        <f t="shared" si="4"/>
        <v>1</v>
      </c>
      <c r="X62" t="b">
        <f t="shared" si="5"/>
        <v>1</v>
      </c>
      <c r="Y62" t="b">
        <f t="shared" si="6"/>
        <v>1</v>
      </c>
      <c r="Z62" t="b">
        <f t="shared" si="7"/>
        <v>1</v>
      </c>
      <c r="AA62" t="b">
        <f t="shared" si="8"/>
        <v>1</v>
      </c>
      <c r="AB62" t="b">
        <f t="shared" si="9"/>
        <v>1</v>
      </c>
    </row>
    <row r="63" spans="1:28" ht="14.4" hidden="1">
      <c r="A63" s="2" t="s">
        <v>454</v>
      </c>
      <c r="B63" s="2" t="s">
        <v>28</v>
      </c>
      <c r="C63" s="2" t="s">
        <v>11</v>
      </c>
      <c r="D63" s="2" t="s">
        <v>65</v>
      </c>
      <c r="E63" s="2" t="s">
        <v>19</v>
      </c>
      <c r="F63" s="2" t="s">
        <v>186</v>
      </c>
      <c r="G63" s="2" t="s">
        <v>15</v>
      </c>
      <c r="H63" s="2" t="s">
        <v>12</v>
      </c>
      <c r="I63" s="2" t="s">
        <v>17</v>
      </c>
      <c r="J63" t="b">
        <f t="shared" si="1"/>
        <v>1</v>
      </c>
      <c r="K63" s="8" t="s">
        <v>454</v>
      </c>
      <c r="L63" s="9" t="s">
        <v>14</v>
      </c>
      <c r="M63" s="9" t="s">
        <v>15</v>
      </c>
      <c r="N63" s="9" t="s">
        <v>65</v>
      </c>
      <c r="O63" s="9" t="s">
        <v>28</v>
      </c>
      <c r="P63" s="9" t="s">
        <v>186</v>
      </c>
      <c r="Q63" s="9" t="s">
        <v>13</v>
      </c>
      <c r="R63" s="9" t="s">
        <v>19</v>
      </c>
      <c r="S63" s="9" t="s">
        <v>10</v>
      </c>
      <c r="U63" t="b">
        <f t="shared" si="2"/>
        <v>0</v>
      </c>
      <c r="V63" t="b">
        <f t="shared" si="3"/>
        <v>0</v>
      </c>
      <c r="W63" t="b">
        <f t="shared" si="4"/>
        <v>1</v>
      </c>
      <c r="X63" t="b">
        <f t="shared" si="5"/>
        <v>0</v>
      </c>
      <c r="Y63" t="b">
        <f t="shared" si="6"/>
        <v>1</v>
      </c>
      <c r="Z63" t="b">
        <f t="shared" si="7"/>
        <v>0</v>
      </c>
      <c r="AA63" t="b">
        <f t="shared" si="8"/>
        <v>0</v>
      </c>
      <c r="AB63" t="b">
        <f t="shared" si="9"/>
        <v>0</v>
      </c>
    </row>
    <row r="64" spans="1:28" ht="14.4" hidden="1">
      <c r="A64" s="2" t="s">
        <v>453</v>
      </c>
      <c r="B64" s="2" t="s">
        <v>28</v>
      </c>
      <c r="C64" s="2" t="s">
        <v>11</v>
      </c>
      <c r="D64" s="2" t="s">
        <v>65</v>
      </c>
      <c r="E64" s="2" t="s">
        <v>19</v>
      </c>
      <c r="F64" s="2" t="s">
        <v>186</v>
      </c>
      <c r="G64" s="2" t="s">
        <v>15</v>
      </c>
      <c r="H64" s="2" t="s">
        <v>16</v>
      </c>
      <c r="I64" s="2" t="s">
        <v>12</v>
      </c>
      <c r="J64" t="b">
        <f t="shared" si="1"/>
        <v>1</v>
      </c>
      <c r="K64" s="6" t="s">
        <v>453</v>
      </c>
      <c r="L64" s="7" t="s">
        <v>14</v>
      </c>
      <c r="M64" s="7" t="s">
        <v>15</v>
      </c>
      <c r="N64" s="7" t="s">
        <v>65</v>
      </c>
      <c r="O64" s="7" t="s">
        <v>28</v>
      </c>
      <c r="P64" s="7" t="s">
        <v>186</v>
      </c>
      <c r="Q64" s="7" t="s">
        <v>13</v>
      </c>
      <c r="R64" s="7" t="s">
        <v>19</v>
      </c>
      <c r="S64" s="7" t="s">
        <v>10</v>
      </c>
      <c r="U64" t="b">
        <f t="shared" si="2"/>
        <v>0</v>
      </c>
      <c r="V64" t="b">
        <f t="shared" si="3"/>
        <v>0</v>
      </c>
      <c r="W64" t="b">
        <f t="shared" si="4"/>
        <v>1</v>
      </c>
      <c r="X64" t="b">
        <f t="shared" si="5"/>
        <v>0</v>
      </c>
      <c r="Y64" t="b">
        <f t="shared" si="6"/>
        <v>1</v>
      </c>
      <c r="Z64" t="b">
        <f t="shared" si="7"/>
        <v>0</v>
      </c>
      <c r="AA64" t="b">
        <f t="shared" si="8"/>
        <v>0</v>
      </c>
      <c r="AB64" t="b">
        <f t="shared" si="9"/>
        <v>0</v>
      </c>
    </row>
    <row r="65" spans="1:28" ht="14.4">
      <c r="A65" s="2" t="s">
        <v>452</v>
      </c>
      <c r="B65" s="2" t="s">
        <v>12</v>
      </c>
      <c r="C65" s="2" t="s">
        <v>15</v>
      </c>
      <c r="D65" s="2" t="s">
        <v>65</v>
      </c>
      <c r="E65" s="2" t="s">
        <v>28</v>
      </c>
      <c r="F65" s="2" t="s">
        <v>186</v>
      </c>
      <c r="G65" s="2" t="s">
        <v>19</v>
      </c>
      <c r="H65" s="2" t="s">
        <v>16</v>
      </c>
      <c r="I65" s="2" t="s">
        <v>17</v>
      </c>
      <c r="J65" t="b">
        <f t="shared" si="1"/>
        <v>1</v>
      </c>
      <c r="K65" s="8" t="s">
        <v>452</v>
      </c>
      <c r="L65" s="9" t="s">
        <v>12</v>
      </c>
      <c r="M65" s="9" t="s">
        <v>15</v>
      </c>
      <c r="N65" s="9" t="s">
        <v>65</v>
      </c>
      <c r="O65" s="9" t="s">
        <v>28</v>
      </c>
      <c r="P65" s="9" t="s">
        <v>186</v>
      </c>
      <c r="Q65" s="9" t="s">
        <v>19</v>
      </c>
      <c r="R65" s="9" t="s">
        <v>16</v>
      </c>
      <c r="S65" s="9" t="s">
        <v>17</v>
      </c>
      <c r="U65" t="b">
        <f t="shared" si="2"/>
        <v>1</v>
      </c>
      <c r="V65" t="b">
        <f t="shared" si="3"/>
        <v>1</v>
      </c>
      <c r="W65" t="b">
        <f t="shared" si="4"/>
        <v>1</v>
      </c>
      <c r="X65" t="b">
        <f t="shared" si="5"/>
        <v>1</v>
      </c>
      <c r="Y65" t="b">
        <f t="shared" si="6"/>
        <v>1</v>
      </c>
      <c r="Z65" t="b">
        <f t="shared" si="7"/>
        <v>1</v>
      </c>
      <c r="AA65" t="b">
        <f t="shared" si="8"/>
        <v>1</v>
      </c>
      <c r="AB65" t="b">
        <f t="shared" si="9"/>
        <v>1</v>
      </c>
    </row>
    <row r="66" spans="1:28" ht="14.4">
      <c r="A66" s="2" t="s">
        <v>451</v>
      </c>
      <c r="B66" s="2" t="s">
        <v>28</v>
      </c>
      <c r="C66" s="2" t="s">
        <v>11</v>
      </c>
      <c r="D66" s="2" t="s">
        <v>65</v>
      </c>
      <c r="E66" s="2" t="s">
        <v>19</v>
      </c>
      <c r="F66" s="2" t="s">
        <v>186</v>
      </c>
      <c r="G66" s="2" t="s">
        <v>15</v>
      </c>
      <c r="H66" s="2" t="s">
        <v>16</v>
      </c>
      <c r="I66" s="2" t="s">
        <v>17</v>
      </c>
      <c r="J66" t="b">
        <f t="shared" si="1"/>
        <v>1</v>
      </c>
      <c r="K66" s="6" t="s">
        <v>451</v>
      </c>
      <c r="L66" s="7" t="s">
        <v>28</v>
      </c>
      <c r="M66" s="7" t="s">
        <v>11</v>
      </c>
      <c r="N66" s="7" t="s">
        <v>65</v>
      </c>
      <c r="O66" s="7" t="s">
        <v>19</v>
      </c>
      <c r="P66" s="7" t="s">
        <v>186</v>
      </c>
      <c r="Q66" s="7" t="s">
        <v>15</v>
      </c>
      <c r="R66" s="7" t="s">
        <v>16</v>
      </c>
      <c r="S66" s="7" t="s">
        <v>17</v>
      </c>
      <c r="U66" t="b">
        <f t="shared" si="2"/>
        <v>1</v>
      </c>
      <c r="V66" t="b">
        <f t="shared" si="3"/>
        <v>1</v>
      </c>
      <c r="W66" t="b">
        <f t="shared" si="4"/>
        <v>1</v>
      </c>
      <c r="X66" t="b">
        <f t="shared" si="5"/>
        <v>1</v>
      </c>
      <c r="Y66" t="b">
        <f t="shared" si="6"/>
        <v>1</v>
      </c>
      <c r="Z66" t="b">
        <f t="shared" si="7"/>
        <v>1</v>
      </c>
      <c r="AA66" t="b">
        <f t="shared" si="8"/>
        <v>1</v>
      </c>
      <c r="AB66" t="b">
        <f t="shared" si="9"/>
        <v>1</v>
      </c>
    </row>
    <row r="67" spans="1:28" ht="14.4">
      <c r="A67" s="2" t="s">
        <v>450</v>
      </c>
      <c r="B67" s="2" t="s">
        <v>14</v>
      </c>
      <c r="C67" s="2" t="s">
        <v>11</v>
      </c>
      <c r="D67" s="2" t="s">
        <v>65</v>
      </c>
      <c r="E67" s="2" t="s">
        <v>28</v>
      </c>
      <c r="F67" s="2" t="s">
        <v>186</v>
      </c>
      <c r="G67" s="2" t="s">
        <v>19</v>
      </c>
      <c r="H67" s="2" t="s">
        <v>12</v>
      </c>
      <c r="I67" s="2" t="s">
        <v>17</v>
      </c>
      <c r="J67" t="b">
        <f t="shared" ref="J67:J130" si="10">K67=A67</f>
        <v>1</v>
      </c>
      <c r="K67" s="8" t="s">
        <v>450</v>
      </c>
      <c r="L67" s="9" t="s">
        <v>14</v>
      </c>
      <c r="M67" s="9" t="s">
        <v>11</v>
      </c>
      <c r="N67" s="9" t="s">
        <v>65</v>
      </c>
      <c r="O67" s="9" t="s">
        <v>28</v>
      </c>
      <c r="P67" s="9" t="s">
        <v>186</v>
      </c>
      <c r="Q67" s="9" t="s">
        <v>19</v>
      </c>
      <c r="R67" s="9" t="s">
        <v>12</v>
      </c>
      <c r="S67" s="9" t="s">
        <v>17</v>
      </c>
      <c r="U67" t="b">
        <f t="shared" ref="U67:U130" si="11">B67=L67</f>
        <v>1</v>
      </c>
      <c r="V67" t="b">
        <f t="shared" ref="V67:V130" si="12">C67=M67</f>
        <v>1</v>
      </c>
      <c r="W67" t="b">
        <f t="shared" ref="W67:W130" si="13">D67=N67</f>
        <v>1</v>
      </c>
      <c r="X67" t="b">
        <f t="shared" ref="X67:X130" si="14">E67=O67</f>
        <v>1</v>
      </c>
      <c r="Y67" t="b">
        <f t="shared" ref="Y67:Y130" si="15">F67=P67</f>
        <v>1</v>
      </c>
      <c r="Z67" t="b">
        <f t="shared" ref="Z67:Z130" si="16">G67=Q67</f>
        <v>1</v>
      </c>
      <c r="AA67" t="b">
        <f t="shared" ref="AA67:AA130" si="17">H67=R67</f>
        <v>1</v>
      </c>
      <c r="AB67" t="b">
        <f t="shared" ref="AB67:AB130" si="18">I67=S67</f>
        <v>1</v>
      </c>
    </row>
    <row r="68" spans="1:28" ht="14.4" hidden="1">
      <c r="A68" s="2" t="s">
        <v>449</v>
      </c>
      <c r="B68" s="2" t="s">
        <v>14</v>
      </c>
      <c r="C68" s="2" t="s">
        <v>11</v>
      </c>
      <c r="D68" s="2" t="s">
        <v>65</v>
      </c>
      <c r="E68" s="2" t="s">
        <v>28</v>
      </c>
      <c r="F68" s="2" t="s">
        <v>186</v>
      </c>
      <c r="G68" s="2" t="s">
        <v>19</v>
      </c>
      <c r="H68" s="2" t="s">
        <v>16</v>
      </c>
      <c r="I68" s="2" t="s">
        <v>12</v>
      </c>
      <c r="J68" t="b">
        <f t="shared" si="10"/>
        <v>1</v>
      </c>
      <c r="K68" s="6" t="s">
        <v>449</v>
      </c>
      <c r="L68" s="7" t="s">
        <v>12</v>
      </c>
      <c r="M68" s="7" t="s">
        <v>11</v>
      </c>
      <c r="N68" s="7" t="s">
        <v>65</v>
      </c>
      <c r="O68" s="7" t="s">
        <v>28</v>
      </c>
      <c r="P68" s="7" t="s">
        <v>186</v>
      </c>
      <c r="Q68" s="7" t="s">
        <v>19</v>
      </c>
      <c r="R68" s="7" t="s">
        <v>16</v>
      </c>
      <c r="S68" s="7" t="s">
        <v>17</v>
      </c>
      <c r="U68" t="b">
        <f t="shared" si="11"/>
        <v>0</v>
      </c>
      <c r="V68" t="b">
        <f t="shared" si="12"/>
        <v>1</v>
      </c>
      <c r="W68" t="b">
        <f t="shared" si="13"/>
        <v>1</v>
      </c>
      <c r="X68" t="b">
        <f t="shared" si="14"/>
        <v>1</v>
      </c>
      <c r="Y68" t="b">
        <f t="shared" si="15"/>
        <v>1</v>
      </c>
      <c r="Z68" t="b">
        <f t="shared" si="16"/>
        <v>1</v>
      </c>
      <c r="AA68" t="b">
        <f t="shared" si="17"/>
        <v>1</v>
      </c>
      <c r="AB68" t="b">
        <f t="shared" si="18"/>
        <v>0</v>
      </c>
    </row>
    <row r="69" spans="1:28" ht="14.4">
      <c r="A69" s="2" t="s">
        <v>448</v>
      </c>
      <c r="B69" s="2" t="s">
        <v>14</v>
      </c>
      <c r="C69" s="2" t="s">
        <v>12</v>
      </c>
      <c r="D69" s="2" t="s">
        <v>65</v>
      </c>
      <c r="E69" s="2" t="s">
        <v>28</v>
      </c>
      <c r="F69" s="2" t="s">
        <v>186</v>
      </c>
      <c r="G69" s="2" t="s">
        <v>19</v>
      </c>
      <c r="H69" s="2" t="s">
        <v>16</v>
      </c>
      <c r="I69" s="2" t="s">
        <v>17</v>
      </c>
      <c r="J69" t="b">
        <f t="shared" si="10"/>
        <v>1</v>
      </c>
      <c r="K69" s="8" t="s">
        <v>448</v>
      </c>
      <c r="L69" s="9" t="s">
        <v>14</v>
      </c>
      <c r="M69" s="9" t="s">
        <v>12</v>
      </c>
      <c r="N69" s="9" t="s">
        <v>65</v>
      </c>
      <c r="O69" s="9" t="s">
        <v>28</v>
      </c>
      <c r="P69" s="9" t="s">
        <v>186</v>
      </c>
      <c r="Q69" s="9" t="s">
        <v>19</v>
      </c>
      <c r="R69" s="9" t="s">
        <v>16</v>
      </c>
      <c r="S69" s="9" t="s">
        <v>17</v>
      </c>
      <c r="U69" t="b">
        <f t="shared" si="11"/>
        <v>1</v>
      </c>
      <c r="V69" t="b">
        <f t="shared" si="12"/>
        <v>1</v>
      </c>
      <c r="W69" t="b">
        <f t="shared" si="13"/>
        <v>1</v>
      </c>
      <c r="X69" t="b">
        <f t="shared" si="14"/>
        <v>1</v>
      </c>
      <c r="Y69" t="b">
        <f t="shared" si="15"/>
        <v>1</v>
      </c>
      <c r="Z69" t="b">
        <f t="shared" si="16"/>
        <v>1</v>
      </c>
      <c r="AA69" t="b">
        <f t="shared" si="17"/>
        <v>1</v>
      </c>
      <c r="AB69" t="b">
        <f t="shared" si="18"/>
        <v>1</v>
      </c>
    </row>
    <row r="70" spans="1:28" ht="14.4">
      <c r="A70" s="2" t="s">
        <v>447</v>
      </c>
      <c r="B70" s="2" t="s">
        <v>14</v>
      </c>
      <c r="C70" s="2" t="s">
        <v>11</v>
      </c>
      <c r="D70" s="2" t="s">
        <v>65</v>
      </c>
      <c r="E70" s="2" t="s">
        <v>28</v>
      </c>
      <c r="F70" s="2" t="s">
        <v>186</v>
      </c>
      <c r="G70" s="2" t="s">
        <v>19</v>
      </c>
      <c r="H70" s="2" t="s">
        <v>16</v>
      </c>
      <c r="I70" s="2" t="s">
        <v>17</v>
      </c>
      <c r="J70" t="b">
        <f t="shared" si="10"/>
        <v>1</v>
      </c>
      <c r="K70" s="6" t="s">
        <v>447</v>
      </c>
      <c r="L70" s="7" t="s">
        <v>14</v>
      </c>
      <c r="M70" s="7" t="s">
        <v>11</v>
      </c>
      <c r="N70" s="7" t="s">
        <v>65</v>
      </c>
      <c r="O70" s="7" t="s">
        <v>28</v>
      </c>
      <c r="P70" s="7" t="s">
        <v>186</v>
      </c>
      <c r="Q70" s="7" t="s">
        <v>19</v>
      </c>
      <c r="R70" s="7" t="s">
        <v>16</v>
      </c>
      <c r="S70" s="7" t="s">
        <v>17</v>
      </c>
      <c r="U70" t="b">
        <f t="shared" si="11"/>
        <v>1</v>
      </c>
      <c r="V70" t="b">
        <f t="shared" si="12"/>
        <v>1</v>
      </c>
      <c r="W70" t="b">
        <f t="shared" si="13"/>
        <v>1</v>
      </c>
      <c r="X70" t="b">
        <f t="shared" si="14"/>
        <v>1</v>
      </c>
      <c r="Y70" t="b">
        <f t="shared" si="15"/>
        <v>1</v>
      </c>
      <c r="Z70" t="b">
        <f t="shared" si="16"/>
        <v>1</v>
      </c>
      <c r="AA70" t="b">
        <f t="shared" si="17"/>
        <v>1</v>
      </c>
      <c r="AB70" t="b">
        <f t="shared" si="18"/>
        <v>1</v>
      </c>
    </row>
    <row r="71" spans="1:28" ht="14.4" hidden="1">
      <c r="A71" s="2" t="s">
        <v>446</v>
      </c>
      <c r="B71" s="2" t="s">
        <v>12</v>
      </c>
      <c r="C71" s="2" t="s">
        <v>11</v>
      </c>
      <c r="D71" s="2" t="s">
        <v>65</v>
      </c>
      <c r="E71" s="2" t="s">
        <v>28</v>
      </c>
      <c r="F71" s="2" t="s">
        <v>186</v>
      </c>
      <c r="G71" s="2" t="s">
        <v>19</v>
      </c>
      <c r="H71" s="2" t="s">
        <v>16</v>
      </c>
      <c r="I71" s="2" t="s">
        <v>17</v>
      </c>
      <c r="J71" t="b">
        <f t="shared" si="10"/>
        <v>1</v>
      </c>
      <c r="K71" s="8" t="s">
        <v>446</v>
      </c>
      <c r="L71" s="9" t="s">
        <v>14</v>
      </c>
      <c r="M71" s="9" t="s">
        <v>15</v>
      </c>
      <c r="N71" s="9" t="s">
        <v>65</v>
      </c>
      <c r="O71" s="9" t="s">
        <v>28</v>
      </c>
      <c r="P71" s="9" t="s">
        <v>186</v>
      </c>
      <c r="Q71" s="9" t="s">
        <v>13</v>
      </c>
      <c r="R71" s="9" t="s">
        <v>19</v>
      </c>
      <c r="S71" s="9" t="s">
        <v>10</v>
      </c>
      <c r="U71" t="b">
        <f t="shared" si="11"/>
        <v>0</v>
      </c>
      <c r="V71" t="b">
        <f t="shared" si="12"/>
        <v>0</v>
      </c>
      <c r="W71" t="b">
        <f t="shared" si="13"/>
        <v>1</v>
      </c>
      <c r="X71" t="b">
        <f t="shared" si="14"/>
        <v>1</v>
      </c>
      <c r="Y71" t="b">
        <f t="shared" si="15"/>
        <v>1</v>
      </c>
      <c r="Z71" t="b">
        <f t="shared" si="16"/>
        <v>0</v>
      </c>
      <c r="AA71" t="b">
        <f t="shared" si="17"/>
        <v>0</v>
      </c>
      <c r="AB71" t="b">
        <f t="shared" si="18"/>
        <v>0</v>
      </c>
    </row>
    <row r="72" spans="1:28" ht="14.4">
      <c r="A72" s="2" t="s">
        <v>445</v>
      </c>
      <c r="B72" s="2" t="s">
        <v>14</v>
      </c>
      <c r="C72" s="2" t="s">
        <v>15</v>
      </c>
      <c r="D72" s="2" t="s">
        <v>65</v>
      </c>
      <c r="E72" s="2" t="s">
        <v>28</v>
      </c>
      <c r="F72" s="2" t="s">
        <v>186</v>
      </c>
      <c r="G72" s="2" t="s">
        <v>13</v>
      </c>
      <c r="H72" s="2" t="s">
        <v>10</v>
      </c>
      <c r="I72" s="2" t="s">
        <v>12</v>
      </c>
      <c r="J72" t="b">
        <f t="shared" si="10"/>
        <v>1</v>
      </c>
      <c r="K72" s="6" t="s">
        <v>445</v>
      </c>
      <c r="L72" s="7" t="s">
        <v>14</v>
      </c>
      <c r="M72" s="7" t="s">
        <v>15</v>
      </c>
      <c r="N72" s="7" t="s">
        <v>65</v>
      </c>
      <c r="O72" s="7" t="s">
        <v>28</v>
      </c>
      <c r="P72" s="7" t="s">
        <v>186</v>
      </c>
      <c r="Q72" s="7" t="s">
        <v>13</v>
      </c>
      <c r="R72" s="7" t="s">
        <v>10</v>
      </c>
      <c r="S72" s="7" t="s">
        <v>12</v>
      </c>
      <c r="U72" t="b">
        <f t="shared" si="11"/>
        <v>1</v>
      </c>
      <c r="V72" t="b">
        <f t="shared" si="12"/>
        <v>1</v>
      </c>
      <c r="W72" t="b">
        <f t="shared" si="13"/>
        <v>1</v>
      </c>
      <c r="X72" t="b">
        <f t="shared" si="14"/>
        <v>1</v>
      </c>
      <c r="Y72" t="b">
        <f t="shared" si="15"/>
        <v>1</v>
      </c>
      <c r="Z72" t="b">
        <f t="shared" si="16"/>
        <v>1</v>
      </c>
      <c r="AA72" t="b">
        <f t="shared" si="17"/>
        <v>1</v>
      </c>
      <c r="AB72" t="b">
        <f t="shared" si="18"/>
        <v>1</v>
      </c>
    </row>
    <row r="73" spans="1:28" ht="14.4">
      <c r="A73" s="2" t="s">
        <v>444</v>
      </c>
      <c r="B73" s="2" t="s">
        <v>14</v>
      </c>
      <c r="C73" s="2" t="s">
        <v>15</v>
      </c>
      <c r="D73" s="2" t="s">
        <v>65</v>
      </c>
      <c r="E73" s="2" t="s">
        <v>28</v>
      </c>
      <c r="F73" s="2" t="s">
        <v>186</v>
      </c>
      <c r="G73" s="2" t="s">
        <v>13</v>
      </c>
      <c r="H73" s="2" t="s">
        <v>10</v>
      </c>
      <c r="I73" s="2" t="s">
        <v>11</v>
      </c>
      <c r="J73" t="b">
        <f t="shared" si="10"/>
        <v>1</v>
      </c>
      <c r="K73" s="8" t="s">
        <v>444</v>
      </c>
      <c r="L73" s="9" t="s">
        <v>14</v>
      </c>
      <c r="M73" s="9" t="s">
        <v>15</v>
      </c>
      <c r="N73" s="9" t="s">
        <v>65</v>
      </c>
      <c r="O73" s="9" t="s">
        <v>28</v>
      </c>
      <c r="P73" s="9" t="s">
        <v>186</v>
      </c>
      <c r="Q73" s="9" t="s">
        <v>13</v>
      </c>
      <c r="R73" s="9" t="s">
        <v>10</v>
      </c>
      <c r="S73" s="9" t="s">
        <v>11</v>
      </c>
      <c r="U73" t="b">
        <f t="shared" si="11"/>
        <v>1</v>
      </c>
      <c r="V73" t="b">
        <f t="shared" si="12"/>
        <v>1</v>
      </c>
      <c r="W73" t="b">
        <f t="shared" si="13"/>
        <v>1</v>
      </c>
      <c r="X73" t="b">
        <f t="shared" si="14"/>
        <v>1</v>
      </c>
      <c r="Y73" t="b">
        <f t="shared" si="15"/>
        <v>1</v>
      </c>
      <c r="Z73" t="b">
        <f t="shared" si="16"/>
        <v>1</v>
      </c>
      <c r="AA73" t="b">
        <f t="shared" si="17"/>
        <v>1</v>
      </c>
      <c r="AB73" t="b">
        <f t="shared" si="18"/>
        <v>1</v>
      </c>
    </row>
    <row r="74" spans="1:28" ht="14.4">
      <c r="A74" s="2" t="s">
        <v>443</v>
      </c>
      <c r="B74" s="2" t="s">
        <v>14</v>
      </c>
      <c r="C74" s="2" t="s">
        <v>15</v>
      </c>
      <c r="D74" s="2" t="s">
        <v>65</v>
      </c>
      <c r="E74" s="2" t="s">
        <v>28</v>
      </c>
      <c r="F74" s="2" t="s">
        <v>186</v>
      </c>
      <c r="G74" s="2" t="s">
        <v>13</v>
      </c>
      <c r="H74" s="2" t="s">
        <v>10</v>
      </c>
      <c r="I74" s="2" t="s">
        <v>17</v>
      </c>
      <c r="J74" t="b">
        <f t="shared" si="10"/>
        <v>1</v>
      </c>
      <c r="K74" s="6" t="s">
        <v>443</v>
      </c>
      <c r="L74" s="7" t="s">
        <v>14</v>
      </c>
      <c r="M74" s="7" t="s">
        <v>15</v>
      </c>
      <c r="N74" s="7" t="s">
        <v>65</v>
      </c>
      <c r="O74" s="7" t="s">
        <v>28</v>
      </c>
      <c r="P74" s="7" t="s">
        <v>186</v>
      </c>
      <c r="Q74" s="7" t="s">
        <v>13</v>
      </c>
      <c r="R74" s="7" t="s">
        <v>10</v>
      </c>
      <c r="S74" s="7" t="s">
        <v>17</v>
      </c>
      <c r="U74" t="b">
        <f t="shared" si="11"/>
        <v>1</v>
      </c>
      <c r="V74" t="b">
        <f t="shared" si="12"/>
        <v>1</v>
      </c>
      <c r="W74" t="b">
        <f t="shared" si="13"/>
        <v>1</v>
      </c>
      <c r="X74" t="b">
        <f t="shared" si="14"/>
        <v>1</v>
      </c>
      <c r="Y74" t="b">
        <f t="shared" si="15"/>
        <v>1</v>
      </c>
      <c r="Z74" t="b">
        <f t="shared" si="16"/>
        <v>1</v>
      </c>
      <c r="AA74" t="b">
        <f t="shared" si="17"/>
        <v>1</v>
      </c>
      <c r="AB74" t="b">
        <f t="shared" si="18"/>
        <v>1</v>
      </c>
    </row>
    <row r="75" spans="1:28" ht="14.4">
      <c r="A75" s="2" t="s">
        <v>442</v>
      </c>
      <c r="B75" s="2" t="s">
        <v>14</v>
      </c>
      <c r="C75" s="2" t="s">
        <v>15</v>
      </c>
      <c r="D75" s="2" t="s">
        <v>65</v>
      </c>
      <c r="E75" s="2" t="s">
        <v>28</v>
      </c>
      <c r="F75" s="2" t="s">
        <v>186</v>
      </c>
      <c r="G75" s="2" t="s">
        <v>13</v>
      </c>
      <c r="H75" s="2" t="s">
        <v>16</v>
      </c>
      <c r="I75" s="2" t="s">
        <v>10</v>
      </c>
      <c r="J75" t="b">
        <f t="shared" si="10"/>
        <v>1</v>
      </c>
      <c r="K75" s="8" t="s">
        <v>442</v>
      </c>
      <c r="L75" s="9" t="s">
        <v>14</v>
      </c>
      <c r="M75" s="9" t="s">
        <v>15</v>
      </c>
      <c r="N75" s="9" t="s">
        <v>65</v>
      </c>
      <c r="O75" s="9" t="s">
        <v>28</v>
      </c>
      <c r="P75" s="9" t="s">
        <v>186</v>
      </c>
      <c r="Q75" s="9" t="s">
        <v>13</v>
      </c>
      <c r="R75" s="9" t="s">
        <v>16</v>
      </c>
      <c r="S75" s="9" t="s">
        <v>10</v>
      </c>
      <c r="U75" t="b">
        <f t="shared" si="11"/>
        <v>1</v>
      </c>
      <c r="V75" t="b">
        <f t="shared" si="12"/>
        <v>1</v>
      </c>
      <c r="W75" t="b">
        <f t="shared" si="13"/>
        <v>1</v>
      </c>
      <c r="X75" t="b">
        <f t="shared" si="14"/>
        <v>1</v>
      </c>
      <c r="Y75" t="b">
        <f t="shared" si="15"/>
        <v>1</v>
      </c>
      <c r="Z75" t="b">
        <f t="shared" si="16"/>
        <v>1</v>
      </c>
      <c r="AA75" t="b">
        <f t="shared" si="17"/>
        <v>1</v>
      </c>
      <c r="AB75" t="b">
        <f t="shared" si="18"/>
        <v>1</v>
      </c>
    </row>
    <row r="76" spans="1:28" ht="14.4" hidden="1">
      <c r="A76" s="2" t="s">
        <v>441</v>
      </c>
      <c r="B76" s="2" t="s">
        <v>10</v>
      </c>
      <c r="C76" s="2" t="s">
        <v>15</v>
      </c>
      <c r="D76" s="2" t="s">
        <v>65</v>
      </c>
      <c r="E76" s="2" t="s">
        <v>28</v>
      </c>
      <c r="F76" s="2" t="s">
        <v>186</v>
      </c>
      <c r="G76" s="2" t="s">
        <v>13</v>
      </c>
      <c r="H76" s="2" t="s">
        <v>12</v>
      </c>
      <c r="I76" s="2" t="s">
        <v>11</v>
      </c>
      <c r="J76" t="b">
        <f t="shared" si="10"/>
        <v>1</v>
      </c>
      <c r="K76" s="6" t="s">
        <v>441</v>
      </c>
      <c r="L76" s="7" t="s">
        <v>28</v>
      </c>
      <c r="M76" s="7" t="s">
        <v>15</v>
      </c>
      <c r="N76" s="7" t="s">
        <v>65</v>
      </c>
      <c r="O76" s="7" t="s">
        <v>10</v>
      </c>
      <c r="P76" s="7" t="s">
        <v>186</v>
      </c>
      <c r="Q76" s="7" t="s">
        <v>13</v>
      </c>
      <c r="R76" s="7" t="s">
        <v>12</v>
      </c>
      <c r="S76" s="7" t="s">
        <v>11</v>
      </c>
      <c r="U76" t="b">
        <f t="shared" si="11"/>
        <v>0</v>
      </c>
      <c r="V76" t="b">
        <f t="shared" si="12"/>
        <v>1</v>
      </c>
      <c r="W76" t="b">
        <f t="shared" si="13"/>
        <v>1</v>
      </c>
      <c r="X76" t="b">
        <f t="shared" si="14"/>
        <v>0</v>
      </c>
      <c r="Y76" t="b">
        <f t="shared" si="15"/>
        <v>1</v>
      </c>
      <c r="Z76" t="b">
        <f t="shared" si="16"/>
        <v>1</v>
      </c>
      <c r="AA76" t="b">
        <f t="shared" si="17"/>
        <v>1</v>
      </c>
      <c r="AB76" t="b">
        <f t="shared" si="18"/>
        <v>1</v>
      </c>
    </row>
    <row r="77" spans="1:28" ht="14.4" hidden="1">
      <c r="A77" s="2" t="s">
        <v>440</v>
      </c>
      <c r="B77" s="2" t="s">
        <v>10</v>
      </c>
      <c r="C77" s="2" t="s">
        <v>15</v>
      </c>
      <c r="D77" s="2" t="s">
        <v>65</v>
      </c>
      <c r="E77" s="2" t="s">
        <v>28</v>
      </c>
      <c r="F77" s="2" t="s">
        <v>186</v>
      </c>
      <c r="G77" s="2" t="s">
        <v>13</v>
      </c>
      <c r="H77" s="2" t="s">
        <v>12</v>
      </c>
      <c r="I77" s="2" t="s">
        <v>17</v>
      </c>
      <c r="J77" t="b">
        <f t="shared" si="10"/>
        <v>1</v>
      </c>
      <c r="K77" s="8" t="s">
        <v>440</v>
      </c>
      <c r="L77" s="9" t="s">
        <v>28</v>
      </c>
      <c r="M77" s="9" t="s">
        <v>15</v>
      </c>
      <c r="N77" s="9" t="s">
        <v>65</v>
      </c>
      <c r="O77" s="9" t="s">
        <v>10</v>
      </c>
      <c r="P77" s="9" t="s">
        <v>186</v>
      </c>
      <c r="Q77" s="9" t="s">
        <v>13</v>
      </c>
      <c r="R77" s="9" t="s">
        <v>12</v>
      </c>
      <c r="S77" s="9" t="s">
        <v>17</v>
      </c>
      <c r="U77" t="b">
        <f t="shared" si="11"/>
        <v>0</v>
      </c>
      <c r="V77" t="b">
        <f t="shared" si="12"/>
        <v>1</v>
      </c>
      <c r="W77" t="b">
        <f t="shared" si="13"/>
        <v>1</v>
      </c>
      <c r="X77" t="b">
        <f t="shared" si="14"/>
        <v>0</v>
      </c>
      <c r="Y77" t="b">
        <f t="shared" si="15"/>
        <v>1</v>
      </c>
      <c r="Z77" t="b">
        <f t="shared" si="16"/>
        <v>1</v>
      </c>
      <c r="AA77" t="b">
        <f t="shared" si="17"/>
        <v>1</v>
      </c>
      <c r="AB77" t="b">
        <f t="shared" si="18"/>
        <v>1</v>
      </c>
    </row>
    <row r="78" spans="1:28" ht="14.4" hidden="1">
      <c r="A78" s="2" t="s">
        <v>439</v>
      </c>
      <c r="B78" s="2" t="s">
        <v>10</v>
      </c>
      <c r="C78" s="2" t="s">
        <v>15</v>
      </c>
      <c r="D78" s="2" t="s">
        <v>65</v>
      </c>
      <c r="E78" s="2" t="s">
        <v>28</v>
      </c>
      <c r="F78" s="2" t="s">
        <v>186</v>
      </c>
      <c r="G78" s="2" t="s">
        <v>13</v>
      </c>
      <c r="H78" s="2" t="s">
        <v>16</v>
      </c>
      <c r="I78" s="2" t="s">
        <v>12</v>
      </c>
      <c r="J78" t="b">
        <f t="shared" si="10"/>
        <v>1</v>
      </c>
      <c r="K78" s="6" t="s">
        <v>439</v>
      </c>
      <c r="L78" s="7" t="s">
        <v>28</v>
      </c>
      <c r="M78" s="7" t="s">
        <v>15</v>
      </c>
      <c r="N78" s="7" t="s">
        <v>65</v>
      </c>
      <c r="O78" s="7" t="s">
        <v>10</v>
      </c>
      <c r="P78" s="7" t="s">
        <v>186</v>
      </c>
      <c r="Q78" s="7" t="s">
        <v>13</v>
      </c>
      <c r="R78" s="7" t="s">
        <v>16</v>
      </c>
      <c r="S78" s="7" t="s">
        <v>12</v>
      </c>
      <c r="U78" t="b">
        <f t="shared" si="11"/>
        <v>0</v>
      </c>
      <c r="V78" t="b">
        <f t="shared" si="12"/>
        <v>1</v>
      </c>
      <c r="W78" t="b">
        <f t="shared" si="13"/>
        <v>1</v>
      </c>
      <c r="X78" t="b">
        <f t="shared" si="14"/>
        <v>0</v>
      </c>
      <c r="Y78" t="b">
        <f t="shared" si="15"/>
        <v>1</v>
      </c>
      <c r="Z78" t="b">
        <f t="shared" si="16"/>
        <v>1</v>
      </c>
      <c r="AA78" t="b">
        <f t="shared" si="17"/>
        <v>1</v>
      </c>
      <c r="AB78" t="b">
        <f t="shared" si="18"/>
        <v>1</v>
      </c>
    </row>
    <row r="79" spans="1:28" ht="14.4" hidden="1">
      <c r="A79" s="2" t="s">
        <v>438</v>
      </c>
      <c r="B79" s="2" t="s">
        <v>10</v>
      </c>
      <c r="C79" s="2" t="s">
        <v>15</v>
      </c>
      <c r="D79" s="2" t="s">
        <v>65</v>
      </c>
      <c r="E79" s="2" t="s">
        <v>28</v>
      </c>
      <c r="F79" s="2" t="s">
        <v>186</v>
      </c>
      <c r="G79" s="2" t="s">
        <v>13</v>
      </c>
      <c r="H79" s="2" t="s">
        <v>11</v>
      </c>
      <c r="I79" s="2" t="s">
        <v>17</v>
      </c>
      <c r="J79" t="b">
        <f t="shared" si="10"/>
        <v>1</v>
      </c>
      <c r="K79" s="8" t="s">
        <v>438</v>
      </c>
      <c r="L79" s="9" t="s">
        <v>28</v>
      </c>
      <c r="M79" s="9" t="s">
        <v>15</v>
      </c>
      <c r="N79" s="9" t="s">
        <v>65</v>
      </c>
      <c r="O79" s="9" t="s">
        <v>10</v>
      </c>
      <c r="P79" s="9" t="s">
        <v>186</v>
      </c>
      <c r="Q79" s="9" t="s">
        <v>13</v>
      </c>
      <c r="R79" s="9" t="s">
        <v>11</v>
      </c>
      <c r="S79" s="9" t="s">
        <v>17</v>
      </c>
      <c r="U79" t="b">
        <f t="shared" si="11"/>
        <v>0</v>
      </c>
      <c r="V79" t="b">
        <f t="shared" si="12"/>
        <v>1</v>
      </c>
      <c r="W79" t="b">
        <f t="shared" si="13"/>
        <v>1</v>
      </c>
      <c r="X79" t="b">
        <f t="shared" si="14"/>
        <v>0</v>
      </c>
      <c r="Y79" t="b">
        <f t="shared" si="15"/>
        <v>1</v>
      </c>
      <c r="Z79" t="b">
        <f t="shared" si="16"/>
        <v>1</v>
      </c>
      <c r="AA79" t="b">
        <f t="shared" si="17"/>
        <v>1</v>
      </c>
      <c r="AB79" t="b">
        <f t="shared" si="18"/>
        <v>1</v>
      </c>
    </row>
    <row r="80" spans="1:28" ht="14.4" hidden="1">
      <c r="A80" s="2" t="s">
        <v>437</v>
      </c>
      <c r="B80" s="2" t="s">
        <v>10</v>
      </c>
      <c r="C80" s="2" t="s">
        <v>15</v>
      </c>
      <c r="D80" s="2" t="s">
        <v>65</v>
      </c>
      <c r="E80" s="2" t="s">
        <v>28</v>
      </c>
      <c r="F80" s="2" t="s">
        <v>186</v>
      </c>
      <c r="G80" s="2" t="s">
        <v>13</v>
      </c>
      <c r="H80" s="2" t="s">
        <v>16</v>
      </c>
      <c r="I80" s="2" t="s">
        <v>11</v>
      </c>
      <c r="J80" t="b">
        <f t="shared" si="10"/>
        <v>1</v>
      </c>
      <c r="K80" s="6" t="s">
        <v>437</v>
      </c>
      <c r="L80" s="7" t="s">
        <v>28</v>
      </c>
      <c r="M80" s="7" t="s">
        <v>15</v>
      </c>
      <c r="N80" s="7" t="s">
        <v>65</v>
      </c>
      <c r="O80" s="7" t="s">
        <v>10</v>
      </c>
      <c r="P80" s="7" t="s">
        <v>186</v>
      </c>
      <c r="Q80" s="7" t="s">
        <v>13</v>
      </c>
      <c r="R80" s="7" t="s">
        <v>16</v>
      </c>
      <c r="S80" s="7" t="s">
        <v>11</v>
      </c>
      <c r="U80" t="b">
        <f t="shared" si="11"/>
        <v>0</v>
      </c>
      <c r="V80" t="b">
        <f t="shared" si="12"/>
        <v>1</v>
      </c>
      <c r="W80" t="b">
        <f t="shared" si="13"/>
        <v>1</v>
      </c>
      <c r="X80" t="b">
        <f t="shared" si="14"/>
        <v>0</v>
      </c>
      <c r="Y80" t="b">
        <f t="shared" si="15"/>
        <v>1</v>
      </c>
      <c r="Z80" t="b">
        <f t="shared" si="16"/>
        <v>1</v>
      </c>
      <c r="AA80" t="b">
        <f t="shared" si="17"/>
        <v>1</v>
      </c>
      <c r="AB80" t="b">
        <f t="shared" si="18"/>
        <v>1</v>
      </c>
    </row>
    <row r="81" spans="1:28" ht="14.4" hidden="1">
      <c r="A81" s="2" t="s">
        <v>436</v>
      </c>
      <c r="B81" s="2" t="s">
        <v>10</v>
      </c>
      <c r="C81" s="2" t="s">
        <v>15</v>
      </c>
      <c r="D81" s="2" t="s">
        <v>65</v>
      </c>
      <c r="E81" s="2" t="s">
        <v>28</v>
      </c>
      <c r="F81" s="2" t="s">
        <v>186</v>
      </c>
      <c r="G81" s="2" t="s">
        <v>13</v>
      </c>
      <c r="H81" s="2" t="s">
        <v>16</v>
      </c>
      <c r="I81" s="2" t="s">
        <v>17</v>
      </c>
      <c r="J81" t="b">
        <f t="shared" si="10"/>
        <v>1</v>
      </c>
      <c r="K81" s="8" t="s">
        <v>436</v>
      </c>
      <c r="L81" s="9" t="s">
        <v>28</v>
      </c>
      <c r="M81" s="9" t="s">
        <v>15</v>
      </c>
      <c r="N81" s="9" t="s">
        <v>65</v>
      </c>
      <c r="O81" s="9" t="s">
        <v>10</v>
      </c>
      <c r="P81" s="9" t="s">
        <v>186</v>
      </c>
      <c r="Q81" s="9" t="s">
        <v>13</v>
      </c>
      <c r="R81" s="9" t="s">
        <v>16</v>
      </c>
      <c r="S81" s="9" t="s">
        <v>17</v>
      </c>
      <c r="U81" t="b">
        <f t="shared" si="11"/>
        <v>0</v>
      </c>
      <c r="V81" t="b">
        <f t="shared" si="12"/>
        <v>1</v>
      </c>
      <c r="W81" t="b">
        <f t="shared" si="13"/>
        <v>1</v>
      </c>
      <c r="X81" t="b">
        <f t="shared" si="14"/>
        <v>0</v>
      </c>
      <c r="Y81" t="b">
        <f t="shared" si="15"/>
        <v>1</v>
      </c>
      <c r="Z81" t="b">
        <f t="shared" si="16"/>
        <v>1</v>
      </c>
      <c r="AA81" t="b">
        <f t="shared" si="17"/>
        <v>1</v>
      </c>
      <c r="AB81" t="b">
        <f t="shared" si="18"/>
        <v>1</v>
      </c>
    </row>
    <row r="82" spans="1:28" ht="14.4">
      <c r="A82" s="2" t="s">
        <v>435</v>
      </c>
      <c r="B82" s="2" t="s">
        <v>14</v>
      </c>
      <c r="C82" s="2" t="s">
        <v>11</v>
      </c>
      <c r="D82" s="2" t="s">
        <v>65</v>
      </c>
      <c r="E82" s="2" t="s">
        <v>28</v>
      </c>
      <c r="F82" s="2" t="s">
        <v>186</v>
      </c>
      <c r="G82" s="2" t="s">
        <v>13</v>
      </c>
      <c r="H82" s="2" t="s">
        <v>10</v>
      </c>
      <c r="I82" s="2" t="s">
        <v>12</v>
      </c>
      <c r="J82" t="b">
        <f t="shared" si="10"/>
        <v>1</v>
      </c>
      <c r="K82" s="6" t="s">
        <v>435</v>
      </c>
      <c r="L82" s="7" t="s">
        <v>14</v>
      </c>
      <c r="M82" s="7" t="s">
        <v>11</v>
      </c>
      <c r="N82" s="7" t="s">
        <v>65</v>
      </c>
      <c r="O82" s="7" t="s">
        <v>28</v>
      </c>
      <c r="P82" s="7" t="s">
        <v>186</v>
      </c>
      <c r="Q82" s="7" t="s">
        <v>13</v>
      </c>
      <c r="R82" s="7" t="s">
        <v>10</v>
      </c>
      <c r="S82" s="7" t="s">
        <v>12</v>
      </c>
      <c r="U82" t="b">
        <f t="shared" si="11"/>
        <v>1</v>
      </c>
      <c r="V82" t="b">
        <f t="shared" si="12"/>
        <v>1</v>
      </c>
      <c r="W82" t="b">
        <f t="shared" si="13"/>
        <v>1</v>
      </c>
      <c r="X82" t="b">
        <f t="shared" si="14"/>
        <v>1</v>
      </c>
      <c r="Y82" t="b">
        <f t="shared" si="15"/>
        <v>1</v>
      </c>
      <c r="Z82" t="b">
        <f t="shared" si="16"/>
        <v>1</v>
      </c>
      <c r="AA82" t="b">
        <f t="shared" si="17"/>
        <v>1</v>
      </c>
      <c r="AB82" t="b">
        <f t="shared" si="18"/>
        <v>1</v>
      </c>
    </row>
    <row r="83" spans="1:28" ht="14.4">
      <c r="A83" s="2" t="s">
        <v>434</v>
      </c>
      <c r="B83" s="2" t="s">
        <v>14</v>
      </c>
      <c r="C83" s="2" t="s">
        <v>10</v>
      </c>
      <c r="D83" s="2" t="s">
        <v>65</v>
      </c>
      <c r="E83" s="2" t="s">
        <v>28</v>
      </c>
      <c r="F83" s="2" t="s">
        <v>186</v>
      </c>
      <c r="G83" s="2" t="s">
        <v>13</v>
      </c>
      <c r="H83" s="2" t="s">
        <v>12</v>
      </c>
      <c r="I83" s="2" t="s">
        <v>17</v>
      </c>
      <c r="J83" t="b">
        <f t="shared" si="10"/>
        <v>1</v>
      </c>
      <c r="K83" s="8" t="s">
        <v>434</v>
      </c>
      <c r="L83" s="9" t="s">
        <v>14</v>
      </c>
      <c r="M83" s="9" t="s">
        <v>10</v>
      </c>
      <c r="N83" s="9" t="s">
        <v>65</v>
      </c>
      <c r="O83" s="9" t="s">
        <v>28</v>
      </c>
      <c r="P83" s="9" t="s">
        <v>186</v>
      </c>
      <c r="Q83" s="9" t="s">
        <v>13</v>
      </c>
      <c r="R83" s="9" t="s">
        <v>12</v>
      </c>
      <c r="S83" s="9" t="s">
        <v>17</v>
      </c>
      <c r="U83" t="b">
        <f t="shared" si="11"/>
        <v>1</v>
      </c>
      <c r="V83" t="b">
        <f t="shared" si="12"/>
        <v>1</v>
      </c>
      <c r="W83" t="b">
        <f t="shared" si="13"/>
        <v>1</v>
      </c>
      <c r="X83" t="b">
        <f t="shared" si="14"/>
        <v>1</v>
      </c>
      <c r="Y83" t="b">
        <f t="shared" si="15"/>
        <v>1</v>
      </c>
      <c r="Z83" t="b">
        <f t="shared" si="16"/>
        <v>1</v>
      </c>
      <c r="AA83" t="b">
        <f t="shared" si="17"/>
        <v>1</v>
      </c>
      <c r="AB83" t="b">
        <f t="shared" si="18"/>
        <v>1</v>
      </c>
    </row>
    <row r="84" spans="1:28" ht="14.4">
      <c r="A84" s="2" t="s">
        <v>433</v>
      </c>
      <c r="B84" s="2" t="s">
        <v>14</v>
      </c>
      <c r="C84" s="2" t="s">
        <v>10</v>
      </c>
      <c r="D84" s="2" t="s">
        <v>65</v>
      </c>
      <c r="E84" s="2" t="s">
        <v>28</v>
      </c>
      <c r="F84" s="2" t="s">
        <v>186</v>
      </c>
      <c r="G84" s="2" t="s">
        <v>13</v>
      </c>
      <c r="H84" s="2" t="s">
        <v>16</v>
      </c>
      <c r="I84" s="2" t="s">
        <v>12</v>
      </c>
      <c r="J84" t="b">
        <f t="shared" si="10"/>
        <v>1</v>
      </c>
      <c r="K84" s="6" t="s">
        <v>433</v>
      </c>
      <c r="L84" s="7" t="s">
        <v>14</v>
      </c>
      <c r="M84" s="7" t="s">
        <v>10</v>
      </c>
      <c r="N84" s="7" t="s">
        <v>65</v>
      </c>
      <c r="O84" s="7" t="s">
        <v>28</v>
      </c>
      <c r="P84" s="7" t="s">
        <v>186</v>
      </c>
      <c r="Q84" s="7" t="s">
        <v>13</v>
      </c>
      <c r="R84" s="7" t="s">
        <v>16</v>
      </c>
      <c r="S84" s="7" t="s">
        <v>12</v>
      </c>
      <c r="U84" t="b">
        <f t="shared" si="11"/>
        <v>1</v>
      </c>
      <c r="V84" t="b">
        <f t="shared" si="12"/>
        <v>1</v>
      </c>
      <c r="W84" t="b">
        <f t="shared" si="13"/>
        <v>1</v>
      </c>
      <c r="X84" t="b">
        <f t="shared" si="14"/>
        <v>1</v>
      </c>
      <c r="Y84" t="b">
        <f t="shared" si="15"/>
        <v>1</v>
      </c>
      <c r="Z84" t="b">
        <f t="shared" si="16"/>
        <v>1</v>
      </c>
      <c r="AA84" t="b">
        <f t="shared" si="17"/>
        <v>1</v>
      </c>
      <c r="AB84" t="b">
        <f t="shared" si="18"/>
        <v>1</v>
      </c>
    </row>
    <row r="85" spans="1:28" ht="14.4">
      <c r="A85" s="2" t="s">
        <v>432</v>
      </c>
      <c r="B85" s="2" t="s">
        <v>14</v>
      </c>
      <c r="C85" s="2" t="s">
        <v>11</v>
      </c>
      <c r="D85" s="2" t="s">
        <v>65</v>
      </c>
      <c r="E85" s="2" t="s">
        <v>28</v>
      </c>
      <c r="F85" s="2" t="s">
        <v>186</v>
      </c>
      <c r="G85" s="2" t="s">
        <v>13</v>
      </c>
      <c r="H85" s="2" t="s">
        <v>10</v>
      </c>
      <c r="I85" s="2" t="s">
        <v>17</v>
      </c>
      <c r="J85" t="b">
        <f t="shared" si="10"/>
        <v>1</v>
      </c>
      <c r="K85" s="8" t="s">
        <v>432</v>
      </c>
      <c r="L85" s="9" t="s">
        <v>14</v>
      </c>
      <c r="M85" s="9" t="s">
        <v>11</v>
      </c>
      <c r="N85" s="9" t="s">
        <v>65</v>
      </c>
      <c r="O85" s="9" t="s">
        <v>28</v>
      </c>
      <c r="P85" s="9" t="s">
        <v>186</v>
      </c>
      <c r="Q85" s="9" t="s">
        <v>13</v>
      </c>
      <c r="R85" s="9" t="s">
        <v>10</v>
      </c>
      <c r="S85" s="9" t="s">
        <v>17</v>
      </c>
      <c r="U85" t="b">
        <f t="shared" si="11"/>
        <v>1</v>
      </c>
      <c r="V85" t="b">
        <f t="shared" si="12"/>
        <v>1</v>
      </c>
      <c r="W85" t="b">
        <f t="shared" si="13"/>
        <v>1</v>
      </c>
      <c r="X85" t="b">
        <f t="shared" si="14"/>
        <v>1</v>
      </c>
      <c r="Y85" t="b">
        <f t="shared" si="15"/>
        <v>1</v>
      </c>
      <c r="Z85" t="b">
        <f t="shared" si="16"/>
        <v>1</v>
      </c>
      <c r="AA85" t="b">
        <f t="shared" si="17"/>
        <v>1</v>
      </c>
      <c r="AB85" t="b">
        <f t="shared" si="18"/>
        <v>1</v>
      </c>
    </row>
    <row r="86" spans="1:28" ht="14.4">
      <c r="A86" s="2" t="s">
        <v>431</v>
      </c>
      <c r="B86" s="2" t="s">
        <v>14</v>
      </c>
      <c r="C86" s="2" t="s">
        <v>11</v>
      </c>
      <c r="D86" s="2" t="s">
        <v>65</v>
      </c>
      <c r="E86" s="2" t="s">
        <v>28</v>
      </c>
      <c r="F86" s="2" t="s">
        <v>186</v>
      </c>
      <c r="G86" s="2" t="s">
        <v>13</v>
      </c>
      <c r="H86" s="2" t="s">
        <v>16</v>
      </c>
      <c r="I86" s="2" t="s">
        <v>10</v>
      </c>
      <c r="J86" t="b">
        <f t="shared" si="10"/>
        <v>1</v>
      </c>
      <c r="K86" s="6" t="s">
        <v>431</v>
      </c>
      <c r="L86" s="7" t="s">
        <v>14</v>
      </c>
      <c r="M86" s="7" t="s">
        <v>11</v>
      </c>
      <c r="N86" s="7" t="s">
        <v>65</v>
      </c>
      <c r="O86" s="7" t="s">
        <v>28</v>
      </c>
      <c r="P86" s="7" t="s">
        <v>186</v>
      </c>
      <c r="Q86" s="7" t="s">
        <v>13</v>
      </c>
      <c r="R86" s="7" t="s">
        <v>16</v>
      </c>
      <c r="S86" s="7" t="s">
        <v>10</v>
      </c>
      <c r="U86" t="b">
        <f t="shared" si="11"/>
        <v>1</v>
      </c>
      <c r="V86" t="b">
        <f t="shared" si="12"/>
        <v>1</v>
      </c>
      <c r="W86" t="b">
        <f t="shared" si="13"/>
        <v>1</v>
      </c>
      <c r="X86" t="b">
        <f t="shared" si="14"/>
        <v>1</v>
      </c>
      <c r="Y86" t="b">
        <f t="shared" si="15"/>
        <v>1</v>
      </c>
      <c r="Z86" t="b">
        <f t="shared" si="16"/>
        <v>1</v>
      </c>
      <c r="AA86" t="b">
        <f t="shared" si="17"/>
        <v>1</v>
      </c>
      <c r="AB86" t="b">
        <f t="shared" si="18"/>
        <v>1</v>
      </c>
    </row>
    <row r="87" spans="1:28" ht="14.4">
      <c r="A87" s="2" t="s">
        <v>430</v>
      </c>
      <c r="B87" s="2" t="s">
        <v>14</v>
      </c>
      <c r="C87" s="2" t="s">
        <v>10</v>
      </c>
      <c r="D87" s="2" t="s">
        <v>65</v>
      </c>
      <c r="E87" s="2" t="s">
        <v>28</v>
      </c>
      <c r="F87" s="2" t="s">
        <v>186</v>
      </c>
      <c r="G87" s="2" t="s">
        <v>13</v>
      </c>
      <c r="H87" s="2" t="s">
        <v>16</v>
      </c>
      <c r="I87" s="2" t="s">
        <v>17</v>
      </c>
      <c r="J87" t="b">
        <f t="shared" si="10"/>
        <v>1</v>
      </c>
      <c r="K87" s="8" t="s">
        <v>430</v>
      </c>
      <c r="L87" s="9" t="s">
        <v>14</v>
      </c>
      <c r="M87" s="9" t="s">
        <v>10</v>
      </c>
      <c r="N87" s="9" t="s">
        <v>65</v>
      </c>
      <c r="O87" s="9" t="s">
        <v>28</v>
      </c>
      <c r="P87" s="9" t="s">
        <v>186</v>
      </c>
      <c r="Q87" s="9" t="s">
        <v>13</v>
      </c>
      <c r="R87" s="9" t="s">
        <v>16</v>
      </c>
      <c r="S87" s="9" t="s">
        <v>17</v>
      </c>
      <c r="U87" t="b">
        <f t="shared" si="11"/>
        <v>1</v>
      </c>
      <c r="V87" t="b">
        <f t="shared" si="12"/>
        <v>1</v>
      </c>
      <c r="W87" t="b">
        <f t="shared" si="13"/>
        <v>1</v>
      </c>
      <c r="X87" t="b">
        <f t="shared" si="14"/>
        <v>1</v>
      </c>
      <c r="Y87" t="b">
        <f t="shared" si="15"/>
        <v>1</v>
      </c>
      <c r="Z87" t="b">
        <f t="shared" si="16"/>
        <v>1</v>
      </c>
      <c r="AA87" t="b">
        <f t="shared" si="17"/>
        <v>1</v>
      </c>
      <c r="AB87" t="b">
        <f t="shared" si="18"/>
        <v>1</v>
      </c>
    </row>
    <row r="88" spans="1:28" ht="14.4" hidden="1">
      <c r="A88" s="2" t="s">
        <v>429</v>
      </c>
      <c r="B88" s="2" t="s">
        <v>10</v>
      </c>
      <c r="C88" s="2" t="s">
        <v>11</v>
      </c>
      <c r="D88" s="2" t="s">
        <v>65</v>
      </c>
      <c r="E88" s="2" t="s">
        <v>28</v>
      </c>
      <c r="F88" s="2" t="s">
        <v>186</v>
      </c>
      <c r="G88" s="2" t="s">
        <v>13</v>
      </c>
      <c r="H88" s="2" t="s">
        <v>12</v>
      </c>
      <c r="I88" s="2" t="s">
        <v>17</v>
      </c>
      <c r="J88" t="b">
        <f t="shared" si="10"/>
        <v>1</v>
      </c>
      <c r="K88" s="6" t="s">
        <v>429</v>
      </c>
      <c r="L88" s="7" t="s">
        <v>28</v>
      </c>
      <c r="M88" s="7" t="s">
        <v>11</v>
      </c>
      <c r="N88" s="7" t="s">
        <v>65</v>
      </c>
      <c r="O88" s="7" t="s">
        <v>10</v>
      </c>
      <c r="P88" s="7" t="s">
        <v>186</v>
      </c>
      <c r="Q88" s="7" t="s">
        <v>13</v>
      </c>
      <c r="R88" s="7" t="s">
        <v>12</v>
      </c>
      <c r="S88" s="7" t="s">
        <v>17</v>
      </c>
      <c r="U88" t="b">
        <f t="shared" si="11"/>
        <v>0</v>
      </c>
      <c r="V88" t="b">
        <f t="shared" si="12"/>
        <v>1</v>
      </c>
      <c r="W88" t="b">
        <f t="shared" si="13"/>
        <v>1</v>
      </c>
      <c r="X88" t="b">
        <f t="shared" si="14"/>
        <v>0</v>
      </c>
      <c r="Y88" t="b">
        <f t="shared" si="15"/>
        <v>1</v>
      </c>
      <c r="Z88" t="b">
        <f t="shared" si="16"/>
        <v>1</v>
      </c>
      <c r="AA88" t="b">
        <f t="shared" si="17"/>
        <v>1</v>
      </c>
      <c r="AB88" t="b">
        <f t="shared" si="18"/>
        <v>1</v>
      </c>
    </row>
    <row r="89" spans="1:28" ht="14.4" hidden="1">
      <c r="A89" s="2" t="s">
        <v>428</v>
      </c>
      <c r="B89" s="2" t="s">
        <v>10</v>
      </c>
      <c r="C89" s="2" t="s">
        <v>11</v>
      </c>
      <c r="D89" s="2" t="s">
        <v>65</v>
      </c>
      <c r="E89" s="2" t="s">
        <v>28</v>
      </c>
      <c r="F89" s="2" t="s">
        <v>186</v>
      </c>
      <c r="G89" s="2" t="s">
        <v>13</v>
      </c>
      <c r="H89" s="2" t="s">
        <v>16</v>
      </c>
      <c r="I89" s="2" t="s">
        <v>12</v>
      </c>
      <c r="J89" t="b">
        <f t="shared" si="10"/>
        <v>1</v>
      </c>
      <c r="K89" s="8" t="s">
        <v>428</v>
      </c>
      <c r="L89" s="9" t="s">
        <v>28</v>
      </c>
      <c r="M89" s="9" t="s">
        <v>11</v>
      </c>
      <c r="N89" s="9" t="s">
        <v>65</v>
      </c>
      <c r="O89" s="9" t="s">
        <v>10</v>
      </c>
      <c r="P89" s="9" t="s">
        <v>186</v>
      </c>
      <c r="Q89" s="9" t="s">
        <v>13</v>
      </c>
      <c r="R89" s="9" t="s">
        <v>16</v>
      </c>
      <c r="S89" s="9" t="s">
        <v>12</v>
      </c>
      <c r="U89" t="b">
        <f t="shared" si="11"/>
        <v>0</v>
      </c>
      <c r="V89" t="b">
        <f t="shared" si="12"/>
        <v>1</v>
      </c>
      <c r="W89" t="b">
        <f t="shared" si="13"/>
        <v>1</v>
      </c>
      <c r="X89" t="b">
        <f t="shared" si="14"/>
        <v>0</v>
      </c>
      <c r="Y89" t="b">
        <f t="shared" si="15"/>
        <v>1</v>
      </c>
      <c r="Z89" t="b">
        <f t="shared" si="16"/>
        <v>1</v>
      </c>
      <c r="AA89" t="b">
        <f t="shared" si="17"/>
        <v>1</v>
      </c>
      <c r="AB89" t="b">
        <f t="shared" si="18"/>
        <v>1</v>
      </c>
    </row>
    <row r="90" spans="1:28" ht="14.4" hidden="1">
      <c r="A90" s="2" t="s">
        <v>427</v>
      </c>
      <c r="B90" s="2" t="s">
        <v>10</v>
      </c>
      <c r="C90" s="2" t="s">
        <v>12</v>
      </c>
      <c r="D90" s="2" t="s">
        <v>65</v>
      </c>
      <c r="E90" s="2" t="s">
        <v>28</v>
      </c>
      <c r="F90" s="2" t="s">
        <v>186</v>
      </c>
      <c r="G90" s="2" t="s">
        <v>13</v>
      </c>
      <c r="H90" s="2" t="s">
        <v>16</v>
      </c>
      <c r="I90" s="2" t="s">
        <v>17</v>
      </c>
      <c r="J90" t="b">
        <f t="shared" si="10"/>
        <v>1</v>
      </c>
      <c r="K90" s="6" t="s">
        <v>427</v>
      </c>
      <c r="L90" s="7" t="s">
        <v>14</v>
      </c>
      <c r="M90" s="7" t="s">
        <v>15</v>
      </c>
      <c r="N90" s="7" t="s">
        <v>65</v>
      </c>
      <c r="O90" s="7" t="s">
        <v>28</v>
      </c>
      <c r="P90" s="7" t="s">
        <v>186</v>
      </c>
      <c r="Q90" s="7" t="s">
        <v>13</v>
      </c>
      <c r="R90" s="7" t="s">
        <v>19</v>
      </c>
      <c r="S90" s="7" t="s">
        <v>10</v>
      </c>
      <c r="U90" t="b">
        <f t="shared" si="11"/>
        <v>0</v>
      </c>
      <c r="V90" t="b">
        <f t="shared" si="12"/>
        <v>0</v>
      </c>
      <c r="W90" t="b">
        <f t="shared" si="13"/>
        <v>1</v>
      </c>
      <c r="X90" t="b">
        <f t="shared" si="14"/>
        <v>1</v>
      </c>
      <c r="Y90" t="b">
        <f t="shared" si="15"/>
        <v>1</v>
      </c>
      <c r="Z90" t="b">
        <f t="shared" si="16"/>
        <v>1</v>
      </c>
      <c r="AA90" t="b">
        <f t="shared" si="17"/>
        <v>0</v>
      </c>
      <c r="AB90" t="b">
        <f t="shared" si="18"/>
        <v>0</v>
      </c>
    </row>
    <row r="91" spans="1:28" ht="14.4" hidden="1">
      <c r="A91" s="2" t="s">
        <v>426</v>
      </c>
      <c r="B91" s="2" t="s">
        <v>10</v>
      </c>
      <c r="C91" s="2" t="s">
        <v>11</v>
      </c>
      <c r="D91" s="2" t="s">
        <v>65</v>
      </c>
      <c r="E91" s="2" t="s">
        <v>28</v>
      </c>
      <c r="F91" s="2" t="s">
        <v>186</v>
      </c>
      <c r="G91" s="2" t="s">
        <v>13</v>
      </c>
      <c r="H91" s="2" t="s">
        <v>16</v>
      </c>
      <c r="I91" s="2" t="s">
        <v>17</v>
      </c>
      <c r="J91" t="b">
        <f t="shared" si="10"/>
        <v>1</v>
      </c>
      <c r="K91" s="8" t="s">
        <v>426</v>
      </c>
      <c r="L91" s="9" t="s">
        <v>28</v>
      </c>
      <c r="M91" s="9" t="s">
        <v>11</v>
      </c>
      <c r="N91" s="9" t="s">
        <v>65</v>
      </c>
      <c r="O91" s="9" t="s">
        <v>10</v>
      </c>
      <c r="P91" s="9" t="s">
        <v>186</v>
      </c>
      <c r="Q91" s="9" t="s">
        <v>13</v>
      </c>
      <c r="R91" s="9" t="s">
        <v>16</v>
      </c>
      <c r="S91" s="9" t="s">
        <v>17</v>
      </c>
      <c r="U91" t="b">
        <f t="shared" si="11"/>
        <v>0</v>
      </c>
      <c r="V91" t="b">
        <f t="shared" si="12"/>
        <v>1</v>
      </c>
      <c r="W91" t="b">
        <f t="shared" si="13"/>
        <v>1</v>
      </c>
      <c r="X91" t="b">
        <f t="shared" si="14"/>
        <v>0</v>
      </c>
      <c r="Y91" t="b">
        <f t="shared" si="15"/>
        <v>1</v>
      </c>
      <c r="Z91" t="b">
        <f t="shared" si="16"/>
        <v>1</v>
      </c>
      <c r="AA91" t="b">
        <f t="shared" si="17"/>
        <v>1</v>
      </c>
      <c r="AB91" t="b">
        <f t="shared" si="18"/>
        <v>1</v>
      </c>
    </row>
    <row r="92" spans="1:28" ht="14.4">
      <c r="A92" s="2" t="s">
        <v>425</v>
      </c>
      <c r="B92" s="2" t="s">
        <v>14</v>
      </c>
      <c r="C92" s="2" t="s">
        <v>11</v>
      </c>
      <c r="D92" s="2" t="s">
        <v>65</v>
      </c>
      <c r="E92" s="2" t="s">
        <v>28</v>
      </c>
      <c r="F92" s="2" t="s">
        <v>186</v>
      </c>
      <c r="G92" s="2" t="s">
        <v>15</v>
      </c>
      <c r="H92" s="2" t="s">
        <v>10</v>
      </c>
      <c r="I92" s="2" t="s">
        <v>12</v>
      </c>
      <c r="J92" t="b">
        <f t="shared" si="10"/>
        <v>1</v>
      </c>
      <c r="K92" s="6" t="s">
        <v>425</v>
      </c>
      <c r="L92" s="7" t="s">
        <v>14</v>
      </c>
      <c r="M92" s="7" t="s">
        <v>11</v>
      </c>
      <c r="N92" s="7" t="s">
        <v>65</v>
      </c>
      <c r="O92" s="7" t="s">
        <v>28</v>
      </c>
      <c r="P92" s="7" t="s">
        <v>186</v>
      </c>
      <c r="Q92" s="7" t="s">
        <v>15</v>
      </c>
      <c r="R92" s="7" t="s">
        <v>10</v>
      </c>
      <c r="S92" s="7" t="s">
        <v>12</v>
      </c>
      <c r="U92" t="b">
        <f t="shared" si="11"/>
        <v>1</v>
      </c>
      <c r="V92" t="b">
        <f t="shared" si="12"/>
        <v>1</v>
      </c>
      <c r="W92" t="b">
        <f t="shared" si="13"/>
        <v>1</v>
      </c>
      <c r="X92" t="b">
        <f t="shared" si="14"/>
        <v>1</v>
      </c>
      <c r="Y92" t="b">
        <f t="shared" si="15"/>
        <v>1</v>
      </c>
      <c r="Z92" t="b">
        <f t="shared" si="16"/>
        <v>1</v>
      </c>
      <c r="AA92" t="b">
        <f t="shared" si="17"/>
        <v>1</v>
      </c>
      <c r="AB92" t="b">
        <f t="shared" si="18"/>
        <v>1</v>
      </c>
    </row>
    <row r="93" spans="1:28" ht="14.4">
      <c r="A93" s="2" t="s">
        <v>424</v>
      </c>
      <c r="B93" s="2" t="s">
        <v>10</v>
      </c>
      <c r="C93" s="2" t="s">
        <v>15</v>
      </c>
      <c r="D93" s="2" t="s">
        <v>65</v>
      </c>
      <c r="E93" s="2" t="s">
        <v>28</v>
      </c>
      <c r="F93" s="2" t="s">
        <v>186</v>
      </c>
      <c r="G93" s="2" t="s">
        <v>14</v>
      </c>
      <c r="H93" s="2" t="s">
        <v>12</v>
      </c>
      <c r="I93" s="2" t="s">
        <v>17</v>
      </c>
      <c r="J93" t="b">
        <f t="shared" si="10"/>
        <v>1</v>
      </c>
      <c r="K93" s="8" t="s">
        <v>424</v>
      </c>
      <c r="L93" s="9" t="s">
        <v>10</v>
      </c>
      <c r="M93" s="9" t="s">
        <v>15</v>
      </c>
      <c r="N93" s="9" t="s">
        <v>65</v>
      </c>
      <c r="O93" s="9" t="s">
        <v>28</v>
      </c>
      <c r="P93" s="9" t="s">
        <v>186</v>
      </c>
      <c r="Q93" s="9" t="s">
        <v>14</v>
      </c>
      <c r="R93" s="9" t="s">
        <v>12</v>
      </c>
      <c r="S93" s="9" t="s">
        <v>17</v>
      </c>
      <c r="U93" t="b">
        <f t="shared" si="11"/>
        <v>1</v>
      </c>
      <c r="V93" t="b">
        <f t="shared" si="12"/>
        <v>1</v>
      </c>
      <c r="W93" t="b">
        <f t="shared" si="13"/>
        <v>1</v>
      </c>
      <c r="X93" t="b">
        <f t="shared" si="14"/>
        <v>1</v>
      </c>
      <c r="Y93" t="b">
        <f t="shared" si="15"/>
        <v>1</v>
      </c>
      <c r="Z93" t="b">
        <f t="shared" si="16"/>
        <v>1</v>
      </c>
      <c r="AA93" t="b">
        <f t="shared" si="17"/>
        <v>1</v>
      </c>
      <c r="AB93" t="b">
        <f t="shared" si="18"/>
        <v>1</v>
      </c>
    </row>
    <row r="94" spans="1:28" ht="14.4">
      <c r="A94" s="2" t="s">
        <v>423</v>
      </c>
      <c r="B94" s="2" t="s">
        <v>10</v>
      </c>
      <c r="C94" s="2" t="s">
        <v>15</v>
      </c>
      <c r="D94" s="2" t="s">
        <v>65</v>
      </c>
      <c r="E94" s="2" t="s">
        <v>28</v>
      </c>
      <c r="F94" s="2" t="s">
        <v>186</v>
      </c>
      <c r="G94" s="2" t="s">
        <v>14</v>
      </c>
      <c r="H94" s="2" t="s">
        <v>16</v>
      </c>
      <c r="I94" s="2" t="s">
        <v>12</v>
      </c>
      <c r="J94" t="b">
        <f t="shared" si="10"/>
        <v>1</v>
      </c>
      <c r="K94" s="6" t="s">
        <v>423</v>
      </c>
      <c r="L94" s="7" t="s">
        <v>10</v>
      </c>
      <c r="M94" s="7" t="s">
        <v>15</v>
      </c>
      <c r="N94" s="7" t="s">
        <v>65</v>
      </c>
      <c r="O94" s="7" t="s">
        <v>28</v>
      </c>
      <c r="P94" s="7" t="s">
        <v>186</v>
      </c>
      <c r="Q94" s="7" t="s">
        <v>14</v>
      </c>
      <c r="R94" s="7" t="s">
        <v>16</v>
      </c>
      <c r="S94" s="7" t="s">
        <v>12</v>
      </c>
      <c r="U94" t="b">
        <f t="shared" si="11"/>
        <v>1</v>
      </c>
      <c r="V94" t="b">
        <f t="shared" si="12"/>
        <v>1</v>
      </c>
      <c r="W94" t="b">
        <f t="shared" si="13"/>
        <v>1</v>
      </c>
      <c r="X94" t="b">
        <f t="shared" si="14"/>
        <v>1</v>
      </c>
      <c r="Y94" t="b">
        <f t="shared" si="15"/>
        <v>1</v>
      </c>
      <c r="Z94" t="b">
        <f t="shared" si="16"/>
        <v>1</v>
      </c>
      <c r="AA94" t="b">
        <f t="shared" si="17"/>
        <v>1</v>
      </c>
      <c r="AB94" t="b">
        <f t="shared" si="18"/>
        <v>1</v>
      </c>
    </row>
    <row r="95" spans="1:28" ht="14.4">
      <c r="A95" s="2" t="s">
        <v>422</v>
      </c>
      <c r="B95" s="2" t="s">
        <v>14</v>
      </c>
      <c r="C95" s="2" t="s">
        <v>11</v>
      </c>
      <c r="D95" s="2" t="s">
        <v>65</v>
      </c>
      <c r="E95" s="2" t="s">
        <v>28</v>
      </c>
      <c r="F95" s="2" t="s">
        <v>186</v>
      </c>
      <c r="G95" s="2" t="s">
        <v>15</v>
      </c>
      <c r="H95" s="2" t="s">
        <v>10</v>
      </c>
      <c r="I95" s="2" t="s">
        <v>17</v>
      </c>
      <c r="J95" t="b">
        <f t="shared" si="10"/>
        <v>1</v>
      </c>
      <c r="K95" s="8" t="s">
        <v>422</v>
      </c>
      <c r="L95" s="9" t="s">
        <v>14</v>
      </c>
      <c r="M95" s="9" t="s">
        <v>11</v>
      </c>
      <c r="N95" s="9" t="s">
        <v>65</v>
      </c>
      <c r="O95" s="9" t="s">
        <v>28</v>
      </c>
      <c r="P95" s="9" t="s">
        <v>186</v>
      </c>
      <c r="Q95" s="9" t="s">
        <v>15</v>
      </c>
      <c r="R95" s="9" t="s">
        <v>10</v>
      </c>
      <c r="S95" s="9" t="s">
        <v>17</v>
      </c>
      <c r="U95" t="b">
        <f t="shared" si="11"/>
        <v>1</v>
      </c>
      <c r="V95" t="b">
        <f t="shared" si="12"/>
        <v>1</v>
      </c>
      <c r="W95" t="b">
        <f t="shared" si="13"/>
        <v>1</v>
      </c>
      <c r="X95" t="b">
        <f t="shared" si="14"/>
        <v>1</v>
      </c>
      <c r="Y95" t="b">
        <f t="shared" si="15"/>
        <v>1</v>
      </c>
      <c r="Z95" t="b">
        <f t="shared" si="16"/>
        <v>1</v>
      </c>
      <c r="AA95" t="b">
        <f t="shared" si="17"/>
        <v>1</v>
      </c>
      <c r="AB95" t="b">
        <f t="shared" si="18"/>
        <v>1</v>
      </c>
    </row>
    <row r="96" spans="1:28" ht="14.4">
      <c r="A96" s="2" t="s">
        <v>421</v>
      </c>
      <c r="B96" s="2" t="s">
        <v>14</v>
      </c>
      <c r="C96" s="2" t="s">
        <v>11</v>
      </c>
      <c r="D96" s="2" t="s">
        <v>65</v>
      </c>
      <c r="E96" s="2" t="s">
        <v>28</v>
      </c>
      <c r="F96" s="2" t="s">
        <v>186</v>
      </c>
      <c r="G96" s="2" t="s">
        <v>15</v>
      </c>
      <c r="H96" s="2" t="s">
        <v>16</v>
      </c>
      <c r="I96" s="2" t="s">
        <v>10</v>
      </c>
      <c r="J96" t="b">
        <f t="shared" si="10"/>
        <v>1</v>
      </c>
      <c r="K96" s="6" t="s">
        <v>421</v>
      </c>
      <c r="L96" s="7" t="s">
        <v>14</v>
      </c>
      <c r="M96" s="7" t="s">
        <v>11</v>
      </c>
      <c r="N96" s="7" t="s">
        <v>65</v>
      </c>
      <c r="O96" s="7" t="s">
        <v>28</v>
      </c>
      <c r="P96" s="7" t="s">
        <v>186</v>
      </c>
      <c r="Q96" s="7" t="s">
        <v>15</v>
      </c>
      <c r="R96" s="7" t="s">
        <v>16</v>
      </c>
      <c r="S96" s="7" t="s">
        <v>10</v>
      </c>
      <c r="U96" t="b">
        <f t="shared" si="11"/>
        <v>1</v>
      </c>
      <c r="V96" t="b">
        <f t="shared" si="12"/>
        <v>1</v>
      </c>
      <c r="W96" t="b">
        <f t="shared" si="13"/>
        <v>1</v>
      </c>
      <c r="X96" t="b">
        <f t="shared" si="14"/>
        <v>1</v>
      </c>
      <c r="Y96" t="b">
        <f t="shared" si="15"/>
        <v>1</v>
      </c>
      <c r="Z96" t="b">
        <f t="shared" si="16"/>
        <v>1</v>
      </c>
      <c r="AA96" t="b">
        <f t="shared" si="17"/>
        <v>1</v>
      </c>
      <c r="AB96" t="b">
        <f t="shared" si="18"/>
        <v>1</v>
      </c>
    </row>
    <row r="97" spans="1:28" ht="14.4">
      <c r="A97" s="2" t="s">
        <v>420</v>
      </c>
      <c r="B97" s="2" t="s">
        <v>10</v>
      </c>
      <c r="C97" s="2" t="s">
        <v>15</v>
      </c>
      <c r="D97" s="2" t="s">
        <v>65</v>
      </c>
      <c r="E97" s="2" t="s">
        <v>28</v>
      </c>
      <c r="F97" s="2" t="s">
        <v>186</v>
      </c>
      <c r="G97" s="2" t="s">
        <v>14</v>
      </c>
      <c r="H97" s="2" t="s">
        <v>16</v>
      </c>
      <c r="I97" s="2" t="s">
        <v>17</v>
      </c>
      <c r="J97" t="b">
        <f t="shared" si="10"/>
        <v>1</v>
      </c>
      <c r="K97" s="8" t="s">
        <v>420</v>
      </c>
      <c r="L97" s="9" t="s">
        <v>10</v>
      </c>
      <c r="M97" s="9" t="s">
        <v>15</v>
      </c>
      <c r="N97" s="9" t="s">
        <v>65</v>
      </c>
      <c r="O97" s="9" t="s">
        <v>28</v>
      </c>
      <c r="P97" s="9" t="s">
        <v>186</v>
      </c>
      <c r="Q97" s="9" t="s">
        <v>14</v>
      </c>
      <c r="R97" s="9" t="s">
        <v>16</v>
      </c>
      <c r="S97" s="9" t="s">
        <v>17</v>
      </c>
      <c r="U97" t="b">
        <f t="shared" si="11"/>
        <v>1</v>
      </c>
      <c r="V97" t="b">
        <f t="shared" si="12"/>
        <v>1</v>
      </c>
      <c r="W97" t="b">
        <f t="shared" si="13"/>
        <v>1</v>
      </c>
      <c r="X97" t="b">
        <f t="shared" si="14"/>
        <v>1</v>
      </c>
      <c r="Y97" t="b">
        <f t="shared" si="15"/>
        <v>1</v>
      </c>
      <c r="Z97" t="b">
        <f t="shared" si="16"/>
        <v>1</v>
      </c>
      <c r="AA97" t="b">
        <f t="shared" si="17"/>
        <v>1</v>
      </c>
      <c r="AB97" t="b">
        <f t="shared" si="18"/>
        <v>1</v>
      </c>
    </row>
    <row r="98" spans="1:28" ht="14.4">
      <c r="A98" s="2" t="s">
        <v>419</v>
      </c>
      <c r="B98" s="2" t="s">
        <v>10</v>
      </c>
      <c r="C98" s="2" t="s">
        <v>11</v>
      </c>
      <c r="D98" s="2" t="s">
        <v>65</v>
      </c>
      <c r="E98" s="2" t="s">
        <v>28</v>
      </c>
      <c r="F98" s="2" t="s">
        <v>186</v>
      </c>
      <c r="G98" s="2" t="s">
        <v>15</v>
      </c>
      <c r="H98" s="2" t="s">
        <v>12</v>
      </c>
      <c r="I98" s="2" t="s">
        <v>17</v>
      </c>
      <c r="J98" t="b">
        <f t="shared" si="10"/>
        <v>1</v>
      </c>
      <c r="K98" s="6" t="s">
        <v>419</v>
      </c>
      <c r="L98" s="7" t="s">
        <v>10</v>
      </c>
      <c r="M98" s="7" t="s">
        <v>11</v>
      </c>
      <c r="N98" s="7" t="s">
        <v>65</v>
      </c>
      <c r="O98" s="7" t="s">
        <v>28</v>
      </c>
      <c r="P98" s="7" t="s">
        <v>186</v>
      </c>
      <c r="Q98" s="7" t="s">
        <v>15</v>
      </c>
      <c r="R98" s="7" t="s">
        <v>12</v>
      </c>
      <c r="S98" s="7" t="s">
        <v>17</v>
      </c>
      <c r="U98" t="b">
        <f t="shared" si="11"/>
        <v>1</v>
      </c>
      <c r="V98" t="b">
        <f t="shared" si="12"/>
        <v>1</v>
      </c>
      <c r="W98" t="b">
        <f t="shared" si="13"/>
        <v>1</v>
      </c>
      <c r="X98" t="b">
        <f t="shared" si="14"/>
        <v>1</v>
      </c>
      <c r="Y98" t="b">
        <f t="shared" si="15"/>
        <v>1</v>
      </c>
      <c r="Z98" t="b">
        <f t="shared" si="16"/>
        <v>1</v>
      </c>
      <c r="AA98" t="b">
        <f t="shared" si="17"/>
        <v>1</v>
      </c>
      <c r="AB98" t="b">
        <f t="shared" si="18"/>
        <v>1</v>
      </c>
    </row>
    <row r="99" spans="1:28" ht="14.4">
      <c r="A99" s="2" t="s">
        <v>418</v>
      </c>
      <c r="B99" s="2" t="s">
        <v>10</v>
      </c>
      <c r="C99" s="2" t="s">
        <v>11</v>
      </c>
      <c r="D99" s="2" t="s">
        <v>65</v>
      </c>
      <c r="E99" s="2" t="s">
        <v>28</v>
      </c>
      <c r="F99" s="2" t="s">
        <v>186</v>
      </c>
      <c r="G99" s="2" t="s">
        <v>15</v>
      </c>
      <c r="H99" s="2" t="s">
        <v>16</v>
      </c>
      <c r="I99" s="2" t="s">
        <v>12</v>
      </c>
      <c r="J99" t="b">
        <f t="shared" si="10"/>
        <v>1</v>
      </c>
      <c r="K99" s="8" t="s">
        <v>418</v>
      </c>
      <c r="L99" s="9" t="s">
        <v>10</v>
      </c>
      <c r="M99" s="9" t="s">
        <v>11</v>
      </c>
      <c r="N99" s="9" t="s">
        <v>65</v>
      </c>
      <c r="O99" s="9" t="s">
        <v>28</v>
      </c>
      <c r="P99" s="9" t="s">
        <v>186</v>
      </c>
      <c r="Q99" s="9" t="s">
        <v>15</v>
      </c>
      <c r="R99" s="9" t="s">
        <v>16</v>
      </c>
      <c r="S99" s="9" t="s">
        <v>12</v>
      </c>
      <c r="U99" t="b">
        <f t="shared" si="11"/>
        <v>1</v>
      </c>
      <c r="V99" t="b">
        <f t="shared" si="12"/>
        <v>1</v>
      </c>
      <c r="W99" t="b">
        <f t="shared" si="13"/>
        <v>1</v>
      </c>
      <c r="X99" t="b">
        <f t="shared" si="14"/>
        <v>1</v>
      </c>
      <c r="Y99" t="b">
        <f t="shared" si="15"/>
        <v>1</v>
      </c>
      <c r="Z99" t="b">
        <f t="shared" si="16"/>
        <v>1</v>
      </c>
      <c r="AA99" t="b">
        <f t="shared" si="17"/>
        <v>1</v>
      </c>
      <c r="AB99" t="b">
        <f t="shared" si="18"/>
        <v>1</v>
      </c>
    </row>
    <row r="100" spans="1:28" ht="14.4" hidden="1">
      <c r="A100" s="2" t="s">
        <v>417</v>
      </c>
      <c r="B100" s="2" t="s">
        <v>10</v>
      </c>
      <c r="C100" s="2" t="s">
        <v>15</v>
      </c>
      <c r="D100" s="2" t="s">
        <v>65</v>
      </c>
      <c r="E100" s="2" t="s">
        <v>186</v>
      </c>
      <c r="F100" s="2" t="s">
        <v>12</v>
      </c>
      <c r="G100" s="2" t="s">
        <v>28</v>
      </c>
      <c r="H100" s="2" t="s">
        <v>16</v>
      </c>
      <c r="I100" s="2" t="s">
        <v>17</v>
      </c>
      <c r="J100" t="b">
        <f t="shared" si="10"/>
        <v>1</v>
      </c>
      <c r="K100" s="6" t="s">
        <v>417</v>
      </c>
      <c r="L100" s="7" t="s">
        <v>10</v>
      </c>
      <c r="M100" s="7" t="s">
        <v>15</v>
      </c>
      <c r="N100" s="7" t="s">
        <v>65</v>
      </c>
      <c r="O100" s="7" t="s">
        <v>28</v>
      </c>
      <c r="P100" s="7" t="s">
        <v>186</v>
      </c>
      <c r="Q100" s="7" t="s">
        <v>14</v>
      </c>
      <c r="R100" s="7" t="s">
        <v>16</v>
      </c>
      <c r="S100" s="7" t="s">
        <v>17</v>
      </c>
      <c r="U100" t="b">
        <f t="shared" si="11"/>
        <v>1</v>
      </c>
      <c r="V100" t="b">
        <f t="shared" si="12"/>
        <v>1</v>
      </c>
      <c r="W100" t="b">
        <f t="shared" si="13"/>
        <v>1</v>
      </c>
      <c r="X100" t="b">
        <f t="shared" si="14"/>
        <v>0</v>
      </c>
      <c r="Y100" t="b">
        <f t="shared" si="15"/>
        <v>0</v>
      </c>
      <c r="Z100" t="b">
        <f t="shared" si="16"/>
        <v>0</v>
      </c>
      <c r="AA100" t="b">
        <f t="shared" si="17"/>
        <v>1</v>
      </c>
      <c r="AB100" t="b">
        <f t="shared" si="18"/>
        <v>1</v>
      </c>
    </row>
    <row r="101" spans="1:28" ht="14.4">
      <c r="A101" s="2" t="s">
        <v>416</v>
      </c>
      <c r="B101" s="2" t="s">
        <v>10</v>
      </c>
      <c r="C101" s="2" t="s">
        <v>11</v>
      </c>
      <c r="D101" s="2" t="s">
        <v>65</v>
      </c>
      <c r="E101" s="2" t="s">
        <v>28</v>
      </c>
      <c r="F101" s="2" t="s">
        <v>186</v>
      </c>
      <c r="G101" s="2" t="s">
        <v>15</v>
      </c>
      <c r="H101" s="2" t="s">
        <v>16</v>
      </c>
      <c r="I101" s="2" t="s">
        <v>17</v>
      </c>
      <c r="J101" t="b">
        <f t="shared" si="10"/>
        <v>1</v>
      </c>
      <c r="K101" s="8" t="s">
        <v>416</v>
      </c>
      <c r="L101" s="9" t="s">
        <v>10</v>
      </c>
      <c r="M101" s="9" t="s">
        <v>11</v>
      </c>
      <c r="N101" s="9" t="s">
        <v>65</v>
      </c>
      <c r="O101" s="9" t="s">
        <v>28</v>
      </c>
      <c r="P101" s="9" t="s">
        <v>186</v>
      </c>
      <c r="Q101" s="9" t="s">
        <v>15</v>
      </c>
      <c r="R101" s="9" t="s">
        <v>16</v>
      </c>
      <c r="S101" s="9" t="s">
        <v>17</v>
      </c>
      <c r="U101" t="b">
        <f t="shared" si="11"/>
        <v>1</v>
      </c>
      <c r="V101" t="b">
        <f t="shared" si="12"/>
        <v>1</v>
      </c>
      <c r="W101" t="b">
        <f t="shared" si="13"/>
        <v>1</v>
      </c>
      <c r="X101" t="b">
        <f t="shared" si="14"/>
        <v>1</v>
      </c>
      <c r="Y101" t="b">
        <f t="shared" si="15"/>
        <v>1</v>
      </c>
      <c r="Z101" t="b">
        <f t="shared" si="16"/>
        <v>1</v>
      </c>
      <c r="AA101" t="b">
        <f t="shared" si="17"/>
        <v>1</v>
      </c>
      <c r="AB101" t="b">
        <f t="shared" si="18"/>
        <v>1</v>
      </c>
    </row>
    <row r="102" spans="1:28" ht="14.4" hidden="1">
      <c r="A102" s="2" t="s">
        <v>415</v>
      </c>
      <c r="B102" s="2" t="s">
        <v>10</v>
      </c>
      <c r="C102" s="2" t="s">
        <v>11</v>
      </c>
      <c r="D102" s="2" t="s">
        <v>65</v>
      </c>
      <c r="E102" s="2" t="s">
        <v>28</v>
      </c>
      <c r="F102" s="2" t="s">
        <v>186</v>
      </c>
      <c r="G102" s="2" t="s">
        <v>14</v>
      </c>
      <c r="H102" s="2" t="s">
        <v>12</v>
      </c>
      <c r="I102" s="2" t="s">
        <v>17</v>
      </c>
      <c r="J102" t="b">
        <f t="shared" si="10"/>
        <v>1</v>
      </c>
      <c r="K102" s="6" t="s">
        <v>415</v>
      </c>
      <c r="L102" s="7" t="s">
        <v>14</v>
      </c>
      <c r="M102" s="7" t="s">
        <v>11</v>
      </c>
      <c r="N102" s="7" t="s">
        <v>65</v>
      </c>
      <c r="O102" s="7" t="s">
        <v>28</v>
      </c>
      <c r="P102" s="7" t="s">
        <v>186</v>
      </c>
      <c r="Q102" s="7" t="s">
        <v>10</v>
      </c>
      <c r="R102" s="7" t="s">
        <v>12</v>
      </c>
      <c r="S102" s="7" t="s">
        <v>17</v>
      </c>
      <c r="U102" t="b">
        <f t="shared" si="11"/>
        <v>0</v>
      </c>
      <c r="V102" t="b">
        <f t="shared" si="12"/>
        <v>1</v>
      </c>
      <c r="W102" t="b">
        <f t="shared" si="13"/>
        <v>1</v>
      </c>
      <c r="X102" t="b">
        <f t="shared" si="14"/>
        <v>1</v>
      </c>
      <c r="Y102" t="b">
        <f t="shared" si="15"/>
        <v>1</v>
      </c>
      <c r="Z102" t="b">
        <f t="shared" si="16"/>
        <v>0</v>
      </c>
      <c r="AA102" t="b">
        <f t="shared" si="17"/>
        <v>1</v>
      </c>
      <c r="AB102" t="b">
        <f t="shared" si="18"/>
        <v>1</v>
      </c>
    </row>
    <row r="103" spans="1:28" ht="14.4" hidden="1">
      <c r="A103" s="2" t="s">
        <v>414</v>
      </c>
      <c r="B103" s="2" t="s">
        <v>10</v>
      </c>
      <c r="C103" s="2" t="s">
        <v>11</v>
      </c>
      <c r="D103" s="2" t="s">
        <v>65</v>
      </c>
      <c r="E103" s="2" t="s">
        <v>28</v>
      </c>
      <c r="F103" s="2" t="s">
        <v>186</v>
      </c>
      <c r="G103" s="2" t="s">
        <v>14</v>
      </c>
      <c r="H103" s="2" t="s">
        <v>16</v>
      </c>
      <c r="I103" s="2" t="s">
        <v>12</v>
      </c>
      <c r="J103" t="b">
        <f t="shared" si="10"/>
        <v>1</v>
      </c>
      <c r="K103" s="8" t="s">
        <v>414</v>
      </c>
      <c r="L103" s="9" t="s">
        <v>10</v>
      </c>
      <c r="M103" s="9" t="s">
        <v>11</v>
      </c>
      <c r="N103" s="9" t="s">
        <v>65</v>
      </c>
      <c r="O103" s="9" t="s">
        <v>28</v>
      </c>
      <c r="P103" s="9" t="s">
        <v>186</v>
      </c>
      <c r="Q103" s="9" t="s">
        <v>14</v>
      </c>
      <c r="R103" s="9" t="s">
        <v>16</v>
      </c>
      <c r="S103" s="9" t="s">
        <v>17</v>
      </c>
      <c r="U103" t="b">
        <f t="shared" si="11"/>
        <v>1</v>
      </c>
      <c r="V103" t="b">
        <f t="shared" si="12"/>
        <v>1</v>
      </c>
      <c r="W103" t="b">
        <f t="shared" si="13"/>
        <v>1</v>
      </c>
      <c r="X103" t="b">
        <f t="shared" si="14"/>
        <v>1</v>
      </c>
      <c r="Y103" t="b">
        <f t="shared" si="15"/>
        <v>1</v>
      </c>
      <c r="Z103" t="b">
        <f t="shared" si="16"/>
        <v>1</v>
      </c>
      <c r="AA103" t="b">
        <f t="shared" si="17"/>
        <v>1</v>
      </c>
      <c r="AB103" t="b">
        <f t="shared" si="18"/>
        <v>0</v>
      </c>
    </row>
    <row r="104" spans="1:28" ht="14.4" hidden="1">
      <c r="A104" s="2" t="s">
        <v>413</v>
      </c>
      <c r="B104" s="2" t="s">
        <v>10</v>
      </c>
      <c r="C104" s="2" t="s">
        <v>12</v>
      </c>
      <c r="D104" s="2" t="s">
        <v>65</v>
      </c>
      <c r="E104" s="2" t="s">
        <v>28</v>
      </c>
      <c r="F104" s="2" t="s">
        <v>186</v>
      </c>
      <c r="G104" s="2" t="s">
        <v>14</v>
      </c>
      <c r="H104" s="2" t="s">
        <v>16</v>
      </c>
      <c r="I104" s="2" t="s">
        <v>17</v>
      </c>
      <c r="J104" t="b">
        <f t="shared" si="10"/>
        <v>1</v>
      </c>
      <c r="K104" s="6" t="s">
        <v>413</v>
      </c>
      <c r="L104" s="7" t="s">
        <v>14</v>
      </c>
      <c r="M104" s="7" t="s">
        <v>12</v>
      </c>
      <c r="N104" s="7" t="s">
        <v>65</v>
      </c>
      <c r="O104" s="7" t="s">
        <v>28</v>
      </c>
      <c r="P104" s="7" t="s">
        <v>186</v>
      </c>
      <c r="Q104" s="7" t="s">
        <v>10</v>
      </c>
      <c r="R104" s="7" t="s">
        <v>16</v>
      </c>
      <c r="S104" s="7" t="s">
        <v>17</v>
      </c>
      <c r="U104" t="b">
        <f t="shared" si="11"/>
        <v>0</v>
      </c>
      <c r="V104" t="b">
        <f t="shared" si="12"/>
        <v>1</v>
      </c>
      <c r="W104" t="b">
        <f t="shared" si="13"/>
        <v>1</v>
      </c>
      <c r="X104" t="b">
        <f t="shared" si="14"/>
        <v>1</v>
      </c>
      <c r="Y104" t="b">
        <f t="shared" si="15"/>
        <v>1</v>
      </c>
      <c r="Z104" t="b">
        <f t="shared" si="16"/>
        <v>0</v>
      </c>
      <c r="AA104" t="b">
        <f t="shared" si="17"/>
        <v>1</v>
      </c>
      <c r="AB104" t="b">
        <f t="shared" si="18"/>
        <v>1</v>
      </c>
    </row>
    <row r="105" spans="1:28" ht="14.4" hidden="1">
      <c r="A105" s="2" t="s">
        <v>412</v>
      </c>
      <c r="B105" s="2" t="s">
        <v>10</v>
      </c>
      <c r="C105" s="2" t="s">
        <v>11</v>
      </c>
      <c r="D105" s="2" t="s">
        <v>65</v>
      </c>
      <c r="E105" s="2" t="s">
        <v>28</v>
      </c>
      <c r="F105" s="2" t="s">
        <v>186</v>
      </c>
      <c r="G105" s="2" t="s">
        <v>14</v>
      </c>
      <c r="H105" s="2" t="s">
        <v>16</v>
      </c>
      <c r="I105" s="2" t="s">
        <v>17</v>
      </c>
      <c r="J105" t="b">
        <f t="shared" si="10"/>
        <v>1</v>
      </c>
      <c r="K105" s="8" t="s">
        <v>412</v>
      </c>
      <c r="L105" s="9" t="s">
        <v>14</v>
      </c>
      <c r="M105" s="9" t="s">
        <v>11</v>
      </c>
      <c r="N105" s="9" t="s">
        <v>65</v>
      </c>
      <c r="O105" s="9" t="s">
        <v>28</v>
      </c>
      <c r="P105" s="9" t="s">
        <v>186</v>
      </c>
      <c r="Q105" s="9" t="s">
        <v>10</v>
      </c>
      <c r="R105" s="9" t="s">
        <v>16</v>
      </c>
      <c r="S105" s="9" t="s">
        <v>17</v>
      </c>
      <c r="U105" t="b">
        <f t="shared" si="11"/>
        <v>0</v>
      </c>
      <c r="V105" t="b">
        <f t="shared" si="12"/>
        <v>1</v>
      </c>
      <c r="W105" t="b">
        <f t="shared" si="13"/>
        <v>1</v>
      </c>
      <c r="X105" t="b">
        <f t="shared" si="14"/>
        <v>1</v>
      </c>
      <c r="Y105" t="b">
        <f t="shared" si="15"/>
        <v>1</v>
      </c>
      <c r="Z105" t="b">
        <f t="shared" si="16"/>
        <v>0</v>
      </c>
      <c r="AA105" t="b">
        <f t="shared" si="17"/>
        <v>1</v>
      </c>
      <c r="AB105" t="b">
        <f t="shared" si="18"/>
        <v>1</v>
      </c>
    </row>
    <row r="106" spans="1:28" ht="14.4" hidden="1">
      <c r="A106" s="2" t="s">
        <v>411</v>
      </c>
      <c r="B106" s="2" t="s">
        <v>10</v>
      </c>
      <c r="C106" s="2" t="s">
        <v>11</v>
      </c>
      <c r="D106" s="2" t="s">
        <v>65</v>
      </c>
      <c r="E106" s="2" t="s">
        <v>186</v>
      </c>
      <c r="F106" s="2" t="s">
        <v>12</v>
      </c>
      <c r="G106" s="2" t="s">
        <v>28</v>
      </c>
      <c r="H106" s="2" t="s">
        <v>16</v>
      </c>
      <c r="I106" s="2" t="s">
        <v>17</v>
      </c>
      <c r="J106" t="b">
        <f t="shared" si="10"/>
        <v>1</v>
      </c>
      <c r="K106" s="6" t="s">
        <v>411</v>
      </c>
      <c r="L106" s="7" t="s">
        <v>14</v>
      </c>
      <c r="M106" s="7" t="s">
        <v>15</v>
      </c>
      <c r="N106" s="7" t="s">
        <v>65</v>
      </c>
      <c r="O106" s="7" t="s">
        <v>28</v>
      </c>
      <c r="P106" s="7" t="s">
        <v>186</v>
      </c>
      <c r="Q106" s="7" t="s">
        <v>13</v>
      </c>
      <c r="R106" s="7" t="s">
        <v>19</v>
      </c>
      <c r="S106" s="7" t="s">
        <v>10</v>
      </c>
      <c r="U106" t="b">
        <f t="shared" si="11"/>
        <v>0</v>
      </c>
      <c r="V106" t="b">
        <f t="shared" si="12"/>
        <v>0</v>
      </c>
      <c r="W106" t="b">
        <f t="shared" si="13"/>
        <v>1</v>
      </c>
      <c r="X106" t="b">
        <f t="shared" si="14"/>
        <v>0</v>
      </c>
      <c r="Y106" t="b">
        <f t="shared" si="15"/>
        <v>0</v>
      </c>
      <c r="Z106" t="b">
        <f t="shared" si="16"/>
        <v>0</v>
      </c>
      <c r="AA106" t="b">
        <f t="shared" si="17"/>
        <v>0</v>
      </c>
      <c r="AB106" t="b">
        <f t="shared" si="18"/>
        <v>0</v>
      </c>
    </row>
    <row r="107" spans="1:28" ht="14.4">
      <c r="A107" s="2" t="s">
        <v>410</v>
      </c>
      <c r="B107" s="2" t="s">
        <v>14</v>
      </c>
      <c r="C107" s="2" t="s">
        <v>15</v>
      </c>
      <c r="D107" s="2" t="s">
        <v>65</v>
      </c>
      <c r="E107" s="2" t="s">
        <v>28</v>
      </c>
      <c r="F107" s="2" t="s">
        <v>186</v>
      </c>
      <c r="G107" s="2" t="s">
        <v>13</v>
      </c>
      <c r="H107" s="2" t="s">
        <v>12</v>
      </c>
      <c r="I107" s="2" t="s">
        <v>11</v>
      </c>
      <c r="J107" t="b">
        <f t="shared" si="10"/>
        <v>1</v>
      </c>
      <c r="K107" s="8" t="s">
        <v>410</v>
      </c>
      <c r="L107" s="9" t="s">
        <v>14</v>
      </c>
      <c r="M107" s="9" t="s">
        <v>15</v>
      </c>
      <c r="N107" s="9" t="s">
        <v>65</v>
      </c>
      <c r="O107" s="9" t="s">
        <v>28</v>
      </c>
      <c r="P107" s="9" t="s">
        <v>186</v>
      </c>
      <c r="Q107" s="9" t="s">
        <v>13</v>
      </c>
      <c r="R107" s="9" t="s">
        <v>12</v>
      </c>
      <c r="S107" s="9" t="s">
        <v>11</v>
      </c>
      <c r="U107" t="b">
        <f t="shared" si="11"/>
        <v>1</v>
      </c>
      <c r="V107" t="b">
        <f t="shared" si="12"/>
        <v>1</v>
      </c>
      <c r="W107" t="b">
        <f t="shared" si="13"/>
        <v>1</v>
      </c>
      <c r="X107" t="b">
        <f t="shared" si="14"/>
        <v>1</v>
      </c>
      <c r="Y107" t="b">
        <f t="shared" si="15"/>
        <v>1</v>
      </c>
      <c r="Z107" t="b">
        <f t="shared" si="16"/>
        <v>1</v>
      </c>
      <c r="AA107" t="b">
        <f t="shared" si="17"/>
        <v>1</v>
      </c>
      <c r="AB107" t="b">
        <f t="shared" si="18"/>
        <v>1</v>
      </c>
    </row>
    <row r="108" spans="1:28" ht="14.4">
      <c r="A108" s="2" t="s">
        <v>409</v>
      </c>
      <c r="B108" s="2" t="s">
        <v>14</v>
      </c>
      <c r="C108" s="2" t="s">
        <v>15</v>
      </c>
      <c r="D108" s="2" t="s">
        <v>65</v>
      </c>
      <c r="E108" s="2" t="s">
        <v>28</v>
      </c>
      <c r="F108" s="2" t="s">
        <v>186</v>
      </c>
      <c r="G108" s="2" t="s">
        <v>13</v>
      </c>
      <c r="H108" s="2" t="s">
        <v>12</v>
      </c>
      <c r="I108" s="2" t="s">
        <v>17</v>
      </c>
      <c r="J108" t="b">
        <f t="shared" si="10"/>
        <v>1</v>
      </c>
      <c r="K108" s="6" t="s">
        <v>409</v>
      </c>
      <c r="L108" s="7" t="s">
        <v>14</v>
      </c>
      <c r="M108" s="7" t="s">
        <v>15</v>
      </c>
      <c r="N108" s="7" t="s">
        <v>65</v>
      </c>
      <c r="O108" s="7" t="s">
        <v>28</v>
      </c>
      <c r="P108" s="7" t="s">
        <v>186</v>
      </c>
      <c r="Q108" s="7" t="s">
        <v>13</v>
      </c>
      <c r="R108" s="7" t="s">
        <v>12</v>
      </c>
      <c r="S108" s="7" t="s">
        <v>17</v>
      </c>
      <c r="U108" t="b">
        <f t="shared" si="11"/>
        <v>1</v>
      </c>
      <c r="V108" t="b">
        <f t="shared" si="12"/>
        <v>1</v>
      </c>
      <c r="W108" t="b">
        <f t="shared" si="13"/>
        <v>1</v>
      </c>
      <c r="X108" t="b">
        <f t="shared" si="14"/>
        <v>1</v>
      </c>
      <c r="Y108" t="b">
        <f t="shared" si="15"/>
        <v>1</v>
      </c>
      <c r="Z108" t="b">
        <f t="shared" si="16"/>
        <v>1</v>
      </c>
      <c r="AA108" t="b">
        <f t="shared" si="17"/>
        <v>1</v>
      </c>
      <c r="AB108" t="b">
        <f t="shared" si="18"/>
        <v>1</v>
      </c>
    </row>
    <row r="109" spans="1:28" ht="14.4">
      <c r="A109" s="2" t="s">
        <v>408</v>
      </c>
      <c r="B109" s="2" t="s">
        <v>14</v>
      </c>
      <c r="C109" s="2" t="s">
        <v>15</v>
      </c>
      <c r="D109" s="2" t="s">
        <v>65</v>
      </c>
      <c r="E109" s="2" t="s">
        <v>28</v>
      </c>
      <c r="F109" s="2" t="s">
        <v>186</v>
      </c>
      <c r="G109" s="2" t="s">
        <v>13</v>
      </c>
      <c r="H109" s="2" t="s">
        <v>16</v>
      </c>
      <c r="I109" s="2" t="s">
        <v>12</v>
      </c>
      <c r="J109" t="b">
        <f t="shared" si="10"/>
        <v>1</v>
      </c>
      <c r="K109" s="8" t="s">
        <v>408</v>
      </c>
      <c r="L109" s="9" t="s">
        <v>14</v>
      </c>
      <c r="M109" s="9" t="s">
        <v>15</v>
      </c>
      <c r="N109" s="9" t="s">
        <v>65</v>
      </c>
      <c r="O109" s="9" t="s">
        <v>28</v>
      </c>
      <c r="P109" s="9" t="s">
        <v>186</v>
      </c>
      <c r="Q109" s="9" t="s">
        <v>13</v>
      </c>
      <c r="R109" s="9" t="s">
        <v>16</v>
      </c>
      <c r="S109" s="9" t="s">
        <v>12</v>
      </c>
      <c r="U109" t="b">
        <f t="shared" si="11"/>
        <v>1</v>
      </c>
      <c r="V109" t="b">
        <f t="shared" si="12"/>
        <v>1</v>
      </c>
      <c r="W109" t="b">
        <f t="shared" si="13"/>
        <v>1</v>
      </c>
      <c r="X109" t="b">
        <f t="shared" si="14"/>
        <v>1</v>
      </c>
      <c r="Y109" t="b">
        <f t="shared" si="15"/>
        <v>1</v>
      </c>
      <c r="Z109" t="b">
        <f t="shared" si="16"/>
        <v>1</v>
      </c>
      <c r="AA109" t="b">
        <f t="shared" si="17"/>
        <v>1</v>
      </c>
      <c r="AB109" t="b">
        <f t="shared" si="18"/>
        <v>1</v>
      </c>
    </row>
    <row r="110" spans="1:28" ht="14.4">
      <c r="A110" s="2" t="s">
        <v>407</v>
      </c>
      <c r="B110" s="2" t="s">
        <v>14</v>
      </c>
      <c r="C110" s="2" t="s">
        <v>15</v>
      </c>
      <c r="D110" s="2" t="s">
        <v>65</v>
      </c>
      <c r="E110" s="2" t="s">
        <v>28</v>
      </c>
      <c r="F110" s="2" t="s">
        <v>186</v>
      </c>
      <c r="G110" s="2" t="s">
        <v>13</v>
      </c>
      <c r="H110" s="2" t="s">
        <v>11</v>
      </c>
      <c r="I110" s="2" t="s">
        <v>17</v>
      </c>
      <c r="J110" t="b">
        <f t="shared" si="10"/>
        <v>1</v>
      </c>
      <c r="K110" s="6" t="s">
        <v>407</v>
      </c>
      <c r="L110" s="7" t="s">
        <v>14</v>
      </c>
      <c r="M110" s="7" t="s">
        <v>15</v>
      </c>
      <c r="N110" s="7" t="s">
        <v>65</v>
      </c>
      <c r="O110" s="7" t="s">
        <v>28</v>
      </c>
      <c r="P110" s="7" t="s">
        <v>186</v>
      </c>
      <c r="Q110" s="7" t="s">
        <v>13</v>
      </c>
      <c r="R110" s="7" t="s">
        <v>11</v>
      </c>
      <c r="S110" s="7" t="s">
        <v>17</v>
      </c>
      <c r="U110" t="b">
        <f t="shared" si="11"/>
        <v>1</v>
      </c>
      <c r="V110" t="b">
        <f t="shared" si="12"/>
        <v>1</v>
      </c>
      <c r="W110" t="b">
        <f t="shared" si="13"/>
        <v>1</v>
      </c>
      <c r="X110" t="b">
        <f t="shared" si="14"/>
        <v>1</v>
      </c>
      <c r="Y110" t="b">
        <f t="shared" si="15"/>
        <v>1</v>
      </c>
      <c r="Z110" t="b">
        <f t="shared" si="16"/>
        <v>1</v>
      </c>
      <c r="AA110" t="b">
        <f t="shared" si="17"/>
        <v>1</v>
      </c>
      <c r="AB110" t="b">
        <f t="shared" si="18"/>
        <v>1</v>
      </c>
    </row>
    <row r="111" spans="1:28" ht="14.4">
      <c r="A111" s="2" t="s">
        <v>406</v>
      </c>
      <c r="B111" s="2" t="s">
        <v>14</v>
      </c>
      <c r="C111" s="2" t="s">
        <v>15</v>
      </c>
      <c r="D111" s="2" t="s">
        <v>65</v>
      </c>
      <c r="E111" s="2" t="s">
        <v>28</v>
      </c>
      <c r="F111" s="2" t="s">
        <v>186</v>
      </c>
      <c r="G111" s="2" t="s">
        <v>13</v>
      </c>
      <c r="H111" s="2" t="s">
        <v>16</v>
      </c>
      <c r="I111" s="2" t="s">
        <v>11</v>
      </c>
      <c r="J111" t="b">
        <f t="shared" si="10"/>
        <v>1</v>
      </c>
      <c r="K111" s="8" t="s">
        <v>406</v>
      </c>
      <c r="L111" s="9" t="s">
        <v>14</v>
      </c>
      <c r="M111" s="9" t="s">
        <v>15</v>
      </c>
      <c r="N111" s="9" t="s">
        <v>65</v>
      </c>
      <c r="O111" s="9" t="s">
        <v>28</v>
      </c>
      <c r="P111" s="9" t="s">
        <v>186</v>
      </c>
      <c r="Q111" s="9" t="s">
        <v>13</v>
      </c>
      <c r="R111" s="9" t="s">
        <v>16</v>
      </c>
      <c r="S111" s="9" t="s">
        <v>11</v>
      </c>
      <c r="U111" t="b">
        <f t="shared" si="11"/>
        <v>1</v>
      </c>
      <c r="V111" t="b">
        <f t="shared" si="12"/>
        <v>1</v>
      </c>
      <c r="W111" t="b">
        <f t="shared" si="13"/>
        <v>1</v>
      </c>
      <c r="X111" t="b">
        <f t="shared" si="14"/>
        <v>1</v>
      </c>
      <c r="Y111" t="b">
        <f t="shared" si="15"/>
        <v>1</v>
      </c>
      <c r="Z111" t="b">
        <f t="shared" si="16"/>
        <v>1</v>
      </c>
      <c r="AA111" t="b">
        <f t="shared" si="17"/>
        <v>1</v>
      </c>
      <c r="AB111" t="b">
        <f t="shared" si="18"/>
        <v>1</v>
      </c>
    </row>
    <row r="112" spans="1:28" ht="14.4">
      <c r="A112" s="2" t="s">
        <v>405</v>
      </c>
      <c r="B112" s="2" t="s">
        <v>14</v>
      </c>
      <c r="C112" s="2" t="s">
        <v>15</v>
      </c>
      <c r="D112" s="2" t="s">
        <v>65</v>
      </c>
      <c r="E112" s="2" t="s">
        <v>28</v>
      </c>
      <c r="F112" s="2" t="s">
        <v>186</v>
      </c>
      <c r="G112" s="2" t="s">
        <v>13</v>
      </c>
      <c r="H112" s="2" t="s">
        <v>16</v>
      </c>
      <c r="I112" s="2" t="s">
        <v>17</v>
      </c>
      <c r="J112" t="b">
        <f t="shared" si="10"/>
        <v>1</v>
      </c>
      <c r="K112" s="6" t="s">
        <v>405</v>
      </c>
      <c r="L112" s="7" t="s">
        <v>14</v>
      </c>
      <c r="M112" s="7" t="s">
        <v>15</v>
      </c>
      <c r="N112" s="7" t="s">
        <v>65</v>
      </c>
      <c r="O112" s="7" t="s">
        <v>28</v>
      </c>
      <c r="P112" s="7" t="s">
        <v>186</v>
      </c>
      <c r="Q112" s="7" t="s">
        <v>13</v>
      </c>
      <c r="R112" s="7" t="s">
        <v>16</v>
      </c>
      <c r="S112" s="7" t="s">
        <v>17</v>
      </c>
      <c r="U112" t="b">
        <f t="shared" si="11"/>
        <v>1</v>
      </c>
      <c r="V112" t="b">
        <f t="shared" si="12"/>
        <v>1</v>
      </c>
      <c r="W112" t="b">
        <f t="shared" si="13"/>
        <v>1</v>
      </c>
      <c r="X112" t="b">
        <f t="shared" si="14"/>
        <v>1</v>
      </c>
      <c r="Y112" t="b">
        <f t="shared" si="15"/>
        <v>1</v>
      </c>
      <c r="Z112" t="b">
        <f t="shared" si="16"/>
        <v>1</v>
      </c>
      <c r="AA112" t="b">
        <f t="shared" si="17"/>
        <v>1</v>
      </c>
      <c r="AB112" t="b">
        <f t="shared" si="18"/>
        <v>1</v>
      </c>
    </row>
    <row r="113" spans="1:28" ht="14.4">
      <c r="A113" s="2" t="s">
        <v>404</v>
      </c>
      <c r="B113" s="2" t="s">
        <v>28</v>
      </c>
      <c r="C113" s="2" t="s">
        <v>11</v>
      </c>
      <c r="D113" s="2" t="s">
        <v>65</v>
      </c>
      <c r="E113" s="2" t="s">
        <v>13</v>
      </c>
      <c r="F113" s="2" t="s">
        <v>186</v>
      </c>
      <c r="G113" s="2" t="s">
        <v>15</v>
      </c>
      <c r="H113" s="2" t="s">
        <v>12</v>
      </c>
      <c r="I113" s="2" t="s">
        <v>17</v>
      </c>
      <c r="J113" t="b">
        <f t="shared" si="10"/>
        <v>1</v>
      </c>
      <c r="K113" s="8" t="s">
        <v>404</v>
      </c>
      <c r="L113" s="9" t="s">
        <v>28</v>
      </c>
      <c r="M113" s="9" t="s">
        <v>11</v>
      </c>
      <c r="N113" s="9" t="s">
        <v>65</v>
      </c>
      <c r="O113" s="9" t="s">
        <v>13</v>
      </c>
      <c r="P113" s="9" t="s">
        <v>186</v>
      </c>
      <c r="Q113" s="9" t="s">
        <v>15</v>
      </c>
      <c r="R113" s="9" t="s">
        <v>12</v>
      </c>
      <c r="S113" s="9" t="s">
        <v>17</v>
      </c>
      <c r="U113" t="b">
        <f t="shared" si="11"/>
        <v>1</v>
      </c>
      <c r="V113" t="b">
        <f t="shared" si="12"/>
        <v>1</v>
      </c>
      <c r="W113" t="b">
        <f t="shared" si="13"/>
        <v>1</v>
      </c>
      <c r="X113" t="b">
        <f t="shared" si="14"/>
        <v>1</v>
      </c>
      <c r="Y113" t="b">
        <f t="shared" si="15"/>
        <v>1</v>
      </c>
      <c r="Z113" t="b">
        <f t="shared" si="16"/>
        <v>1</v>
      </c>
      <c r="AA113" t="b">
        <f t="shared" si="17"/>
        <v>1</v>
      </c>
      <c r="AB113" t="b">
        <f t="shared" si="18"/>
        <v>1</v>
      </c>
    </row>
    <row r="114" spans="1:28" ht="14.4">
      <c r="A114" s="2" t="s">
        <v>403</v>
      </c>
      <c r="B114" s="2" t="s">
        <v>28</v>
      </c>
      <c r="C114" s="2" t="s">
        <v>11</v>
      </c>
      <c r="D114" s="2" t="s">
        <v>65</v>
      </c>
      <c r="E114" s="2" t="s">
        <v>13</v>
      </c>
      <c r="F114" s="2" t="s">
        <v>186</v>
      </c>
      <c r="G114" s="2" t="s">
        <v>15</v>
      </c>
      <c r="H114" s="2" t="s">
        <v>16</v>
      </c>
      <c r="I114" s="2" t="s">
        <v>12</v>
      </c>
      <c r="J114" t="b">
        <f t="shared" si="10"/>
        <v>1</v>
      </c>
      <c r="K114" s="6" t="s">
        <v>403</v>
      </c>
      <c r="L114" s="7" t="s">
        <v>28</v>
      </c>
      <c r="M114" s="7" t="s">
        <v>11</v>
      </c>
      <c r="N114" s="7" t="s">
        <v>65</v>
      </c>
      <c r="O114" s="7" t="s">
        <v>13</v>
      </c>
      <c r="P114" s="7" t="s">
        <v>186</v>
      </c>
      <c r="Q114" s="7" t="s">
        <v>15</v>
      </c>
      <c r="R114" s="7" t="s">
        <v>16</v>
      </c>
      <c r="S114" s="7" t="s">
        <v>12</v>
      </c>
      <c r="U114" t="b">
        <f t="shared" si="11"/>
        <v>1</v>
      </c>
      <c r="V114" t="b">
        <f t="shared" si="12"/>
        <v>1</v>
      </c>
      <c r="W114" t="b">
        <f t="shared" si="13"/>
        <v>1</v>
      </c>
      <c r="X114" t="b">
        <f t="shared" si="14"/>
        <v>1</v>
      </c>
      <c r="Y114" t="b">
        <f t="shared" si="15"/>
        <v>1</v>
      </c>
      <c r="Z114" t="b">
        <f t="shared" si="16"/>
        <v>1</v>
      </c>
      <c r="AA114" t="b">
        <f t="shared" si="17"/>
        <v>1</v>
      </c>
      <c r="AB114" t="b">
        <f t="shared" si="18"/>
        <v>1</v>
      </c>
    </row>
    <row r="115" spans="1:28" ht="14.4">
      <c r="A115" s="2" t="s">
        <v>402</v>
      </c>
      <c r="B115" s="2" t="s">
        <v>12</v>
      </c>
      <c r="C115" s="2" t="s">
        <v>15</v>
      </c>
      <c r="D115" s="2" t="s">
        <v>65</v>
      </c>
      <c r="E115" s="2" t="s">
        <v>28</v>
      </c>
      <c r="F115" s="2" t="s">
        <v>186</v>
      </c>
      <c r="G115" s="2" t="s">
        <v>13</v>
      </c>
      <c r="H115" s="2" t="s">
        <v>16</v>
      </c>
      <c r="I115" s="2" t="s">
        <v>17</v>
      </c>
      <c r="J115" t="b">
        <f t="shared" si="10"/>
        <v>1</v>
      </c>
      <c r="K115" s="8" t="s">
        <v>402</v>
      </c>
      <c r="L115" s="9" t="s">
        <v>12</v>
      </c>
      <c r="M115" s="9" t="s">
        <v>15</v>
      </c>
      <c r="N115" s="9" t="s">
        <v>65</v>
      </c>
      <c r="O115" s="9" t="s">
        <v>28</v>
      </c>
      <c r="P115" s="9" t="s">
        <v>186</v>
      </c>
      <c r="Q115" s="9" t="s">
        <v>13</v>
      </c>
      <c r="R115" s="9" t="s">
        <v>16</v>
      </c>
      <c r="S115" s="9" t="s">
        <v>17</v>
      </c>
      <c r="U115" t="b">
        <f t="shared" si="11"/>
        <v>1</v>
      </c>
      <c r="V115" t="b">
        <f t="shared" si="12"/>
        <v>1</v>
      </c>
      <c r="W115" t="b">
        <f t="shared" si="13"/>
        <v>1</v>
      </c>
      <c r="X115" t="b">
        <f t="shared" si="14"/>
        <v>1</v>
      </c>
      <c r="Y115" t="b">
        <f t="shared" si="15"/>
        <v>1</v>
      </c>
      <c r="Z115" t="b">
        <f t="shared" si="16"/>
        <v>1</v>
      </c>
      <c r="AA115" t="b">
        <f t="shared" si="17"/>
        <v>1</v>
      </c>
      <c r="AB115" t="b">
        <f t="shared" si="18"/>
        <v>1</v>
      </c>
    </row>
    <row r="116" spans="1:28" ht="14.4">
      <c r="A116" s="2" t="s">
        <v>401</v>
      </c>
      <c r="B116" s="2" t="s">
        <v>28</v>
      </c>
      <c r="C116" s="2" t="s">
        <v>11</v>
      </c>
      <c r="D116" s="2" t="s">
        <v>65</v>
      </c>
      <c r="E116" s="2" t="s">
        <v>13</v>
      </c>
      <c r="F116" s="2" t="s">
        <v>186</v>
      </c>
      <c r="G116" s="2" t="s">
        <v>15</v>
      </c>
      <c r="H116" s="2" t="s">
        <v>16</v>
      </c>
      <c r="I116" s="2" t="s">
        <v>17</v>
      </c>
      <c r="J116" t="b">
        <f t="shared" si="10"/>
        <v>1</v>
      </c>
      <c r="K116" s="6" t="s">
        <v>401</v>
      </c>
      <c r="L116" s="7" t="s">
        <v>28</v>
      </c>
      <c r="M116" s="7" t="s">
        <v>11</v>
      </c>
      <c r="N116" s="7" t="s">
        <v>65</v>
      </c>
      <c r="O116" s="7" t="s">
        <v>13</v>
      </c>
      <c r="P116" s="7" t="s">
        <v>186</v>
      </c>
      <c r="Q116" s="7" t="s">
        <v>15</v>
      </c>
      <c r="R116" s="7" t="s">
        <v>16</v>
      </c>
      <c r="S116" s="7" t="s">
        <v>17</v>
      </c>
      <c r="U116" t="b">
        <f t="shared" si="11"/>
        <v>1</v>
      </c>
      <c r="V116" t="b">
        <f t="shared" si="12"/>
        <v>1</v>
      </c>
      <c r="W116" t="b">
        <f t="shared" si="13"/>
        <v>1</v>
      </c>
      <c r="X116" t="b">
        <f t="shared" si="14"/>
        <v>1</v>
      </c>
      <c r="Y116" t="b">
        <f t="shared" si="15"/>
        <v>1</v>
      </c>
      <c r="Z116" t="b">
        <f t="shared" si="16"/>
        <v>1</v>
      </c>
      <c r="AA116" t="b">
        <f t="shared" si="17"/>
        <v>1</v>
      </c>
      <c r="AB116" t="b">
        <f t="shared" si="18"/>
        <v>1</v>
      </c>
    </row>
    <row r="117" spans="1:28" ht="14.4">
      <c r="A117" s="2" t="s">
        <v>400</v>
      </c>
      <c r="B117" s="2" t="s">
        <v>14</v>
      </c>
      <c r="C117" s="2" t="s">
        <v>11</v>
      </c>
      <c r="D117" s="2" t="s">
        <v>65</v>
      </c>
      <c r="E117" s="2" t="s">
        <v>28</v>
      </c>
      <c r="F117" s="2" t="s">
        <v>186</v>
      </c>
      <c r="G117" s="2" t="s">
        <v>13</v>
      </c>
      <c r="H117" s="2" t="s">
        <v>12</v>
      </c>
      <c r="I117" s="2" t="s">
        <v>17</v>
      </c>
      <c r="J117" t="b">
        <f t="shared" si="10"/>
        <v>1</v>
      </c>
      <c r="K117" s="8" t="s">
        <v>400</v>
      </c>
      <c r="L117" s="9" t="s">
        <v>14</v>
      </c>
      <c r="M117" s="9" t="s">
        <v>11</v>
      </c>
      <c r="N117" s="9" t="s">
        <v>65</v>
      </c>
      <c r="O117" s="9" t="s">
        <v>28</v>
      </c>
      <c r="P117" s="9" t="s">
        <v>186</v>
      </c>
      <c r="Q117" s="9" t="s">
        <v>13</v>
      </c>
      <c r="R117" s="9" t="s">
        <v>12</v>
      </c>
      <c r="S117" s="9" t="s">
        <v>17</v>
      </c>
      <c r="U117" t="b">
        <f t="shared" si="11"/>
        <v>1</v>
      </c>
      <c r="V117" t="b">
        <f t="shared" si="12"/>
        <v>1</v>
      </c>
      <c r="W117" t="b">
        <f t="shared" si="13"/>
        <v>1</v>
      </c>
      <c r="X117" t="b">
        <f t="shared" si="14"/>
        <v>1</v>
      </c>
      <c r="Y117" t="b">
        <f t="shared" si="15"/>
        <v>1</v>
      </c>
      <c r="Z117" t="b">
        <f t="shared" si="16"/>
        <v>1</v>
      </c>
      <c r="AA117" t="b">
        <f t="shared" si="17"/>
        <v>1</v>
      </c>
      <c r="AB117" t="b">
        <f t="shared" si="18"/>
        <v>1</v>
      </c>
    </row>
    <row r="118" spans="1:28" ht="14.4">
      <c r="A118" s="2" t="s">
        <v>399</v>
      </c>
      <c r="B118" s="2" t="s">
        <v>14</v>
      </c>
      <c r="C118" s="2" t="s">
        <v>11</v>
      </c>
      <c r="D118" s="2" t="s">
        <v>65</v>
      </c>
      <c r="E118" s="2" t="s">
        <v>28</v>
      </c>
      <c r="F118" s="2" t="s">
        <v>186</v>
      </c>
      <c r="G118" s="2" t="s">
        <v>13</v>
      </c>
      <c r="H118" s="2" t="s">
        <v>16</v>
      </c>
      <c r="I118" s="2" t="s">
        <v>12</v>
      </c>
      <c r="J118" t="b">
        <f t="shared" si="10"/>
        <v>1</v>
      </c>
      <c r="K118" s="6" t="s">
        <v>399</v>
      </c>
      <c r="L118" s="7" t="s">
        <v>14</v>
      </c>
      <c r="M118" s="7" t="s">
        <v>11</v>
      </c>
      <c r="N118" s="7" t="s">
        <v>65</v>
      </c>
      <c r="O118" s="7" t="s">
        <v>28</v>
      </c>
      <c r="P118" s="7" t="s">
        <v>186</v>
      </c>
      <c r="Q118" s="7" t="s">
        <v>13</v>
      </c>
      <c r="R118" s="7" t="s">
        <v>16</v>
      </c>
      <c r="S118" s="7" t="s">
        <v>12</v>
      </c>
      <c r="U118" t="b">
        <f t="shared" si="11"/>
        <v>1</v>
      </c>
      <c r="V118" t="b">
        <f t="shared" si="12"/>
        <v>1</v>
      </c>
      <c r="W118" t="b">
        <f t="shared" si="13"/>
        <v>1</v>
      </c>
      <c r="X118" t="b">
        <f t="shared" si="14"/>
        <v>1</v>
      </c>
      <c r="Y118" t="b">
        <f t="shared" si="15"/>
        <v>1</v>
      </c>
      <c r="Z118" t="b">
        <f t="shared" si="16"/>
        <v>1</v>
      </c>
      <c r="AA118" t="b">
        <f t="shared" si="17"/>
        <v>1</v>
      </c>
      <c r="AB118" t="b">
        <f t="shared" si="18"/>
        <v>1</v>
      </c>
    </row>
    <row r="119" spans="1:28" ht="14.4">
      <c r="A119" s="2" t="s">
        <v>398</v>
      </c>
      <c r="B119" s="2" t="s">
        <v>14</v>
      </c>
      <c r="C119" s="2" t="s">
        <v>12</v>
      </c>
      <c r="D119" s="2" t="s">
        <v>65</v>
      </c>
      <c r="E119" s="2" t="s">
        <v>28</v>
      </c>
      <c r="F119" s="2" t="s">
        <v>186</v>
      </c>
      <c r="G119" s="2" t="s">
        <v>13</v>
      </c>
      <c r="H119" s="2" t="s">
        <v>16</v>
      </c>
      <c r="I119" s="2" t="s">
        <v>17</v>
      </c>
      <c r="J119" t="b">
        <f t="shared" si="10"/>
        <v>1</v>
      </c>
      <c r="K119" s="8" t="s">
        <v>398</v>
      </c>
      <c r="L119" s="9" t="s">
        <v>14</v>
      </c>
      <c r="M119" s="9" t="s">
        <v>12</v>
      </c>
      <c r="N119" s="9" t="s">
        <v>65</v>
      </c>
      <c r="O119" s="9" t="s">
        <v>28</v>
      </c>
      <c r="P119" s="9" t="s">
        <v>186</v>
      </c>
      <c r="Q119" s="9" t="s">
        <v>13</v>
      </c>
      <c r="R119" s="9" t="s">
        <v>16</v>
      </c>
      <c r="S119" s="9" t="s">
        <v>17</v>
      </c>
      <c r="U119" t="b">
        <f t="shared" si="11"/>
        <v>1</v>
      </c>
      <c r="V119" t="b">
        <f t="shared" si="12"/>
        <v>1</v>
      </c>
      <c r="W119" t="b">
        <f t="shared" si="13"/>
        <v>1</v>
      </c>
      <c r="X119" t="b">
        <f t="shared" si="14"/>
        <v>1</v>
      </c>
      <c r="Y119" t="b">
        <f t="shared" si="15"/>
        <v>1</v>
      </c>
      <c r="Z119" t="b">
        <f t="shared" si="16"/>
        <v>1</v>
      </c>
      <c r="AA119" t="b">
        <f t="shared" si="17"/>
        <v>1</v>
      </c>
      <c r="AB119" t="b">
        <f t="shared" si="18"/>
        <v>1</v>
      </c>
    </row>
    <row r="120" spans="1:28" ht="14.4">
      <c r="A120" s="2" t="s">
        <v>397</v>
      </c>
      <c r="B120" s="2" t="s">
        <v>14</v>
      </c>
      <c r="C120" s="2" t="s">
        <v>11</v>
      </c>
      <c r="D120" s="2" t="s">
        <v>65</v>
      </c>
      <c r="E120" s="2" t="s">
        <v>28</v>
      </c>
      <c r="F120" s="2" t="s">
        <v>186</v>
      </c>
      <c r="G120" s="2" t="s">
        <v>13</v>
      </c>
      <c r="H120" s="2" t="s">
        <v>16</v>
      </c>
      <c r="I120" s="2" t="s">
        <v>17</v>
      </c>
      <c r="J120" t="b">
        <f t="shared" si="10"/>
        <v>1</v>
      </c>
      <c r="K120" s="6" t="s">
        <v>397</v>
      </c>
      <c r="L120" s="7" t="s">
        <v>14</v>
      </c>
      <c r="M120" s="7" t="s">
        <v>11</v>
      </c>
      <c r="N120" s="7" t="s">
        <v>65</v>
      </c>
      <c r="O120" s="7" t="s">
        <v>28</v>
      </c>
      <c r="P120" s="7" t="s">
        <v>186</v>
      </c>
      <c r="Q120" s="7" t="s">
        <v>13</v>
      </c>
      <c r="R120" s="7" t="s">
        <v>16</v>
      </c>
      <c r="S120" s="7" t="s">
        <v>17</v>
      </c>
      <c r="U120" t="b">
        <f t="shared" si="11"/>
        <v>1</v>
      </c>
      <c r="V120" t="b">
        <f t="shared" si="12"/>
        <v>1</v>
      </c>
      <c r="W120" t="b">
        <f t="shared" si="13"/>
        <v>1</v>
      </c>
      <c r="X120" t="b">
        <f t="shared" si="14"/>
        <v>1</v>
      </c>
      <c r="Y120" t="b">
        <f t="shared" si="15"/>
        <v>1</v>
      </c>
      <c r="Z120" t="b">
        <f t="shared" si="16"/>
        <v>1</v>
      </c>
      <c r="AA120" t="b">
        <f t="shared" si="17"/>
        <v>1</v>
      </c>
      <c r="AB120" t="b">
        <f t="shared" si="18"/>
        <v>1</v>
      </c>
    </row>
    <row r="121" spans="1:28" ht="14.4">
      <c r="A121" s="2" t="s">
        <v>396</v>
      </c>
      <c r="B121" s="2" t="s">
        <v>12</v>
      </c>
      <c r="C121" s="2" t="s">
        <v>11</v>
      </c>
      <c r="D121" s="2" t="s">
        <v>65</v>
      </c>
      <c r="E121" s="2" t="s">
        <v>28</v>
      </c>
      <c r="F121" s="2" t="s">
        <v>186</v>
      </c>
      <c r="G121" s="2" t="s">
        <v>13</v>
      </c>
      <c r="H121" s="2" t="s">
        <v>16</v>
      </c>
      <c r="I121" s="2" t="s">
        <v>17</v>
      </c>
      <c r="J121" t="b">
        <f t="shared" si="10"/>
        <v>1</v>
      </c>
      <c r="K121" s="8" t="s">
        <v>396</v>
      </c>
      <c r="L121" s="9" t="s">
        <v>12</v>
      </c>
      <c r="M121" s="9" t="s">
        <v>11</v>
      </c>
      <c r="N121" s="9" t="s">
        <v>65</v>
      </c>
      <c r="O121" s="9" t="s">
        <v>28</v>
      </c>
      <c r="P121" s="9" t="s">
        <v>186</v>
      </c>
      <c r="Q121" s="9" t="s">
        <v>13</v>
      </c>
      <c r="R121" s="9" t="s">
        <v>16</v>
      </c>
      <c r="S121" s="9" t="s">
        <v>17</v>
      </c>
      <c r="U121" t="b">
        <f t="shared" si="11"/>
        <v>1</v>
      </c>
      <c r="V121" t="b">
        <f t="shared" si="12"/>
        <v>1</v>
      </c>
      <c r="W121" t="b">
        <f t="shared" si="13"/>
        <v>1</v>
      </c>
      <c r="X121" t="b">
        <f t="shared" si="14"/>
        <v>1</v>
      </c>
      <c r="Y121" t="b">
        <f t="shared" si="15"/>
        <v>1</v>
      </c>
      <c r="Z121" t="b">
        <f t="shared" si="16"/>
        <v>1</v>
      </c>
      <c r="AA121" t="b">
        <f t="shared" si="17"/>
        <v>1</v>
      </c>
      <c r="AB121" t="b">
        <f t="shared" si="18"/>
        <v>1</v>
      </c>
    </row>
    <row r="122" spans="1:28" ht="14.4">
      <c r="A122" s="2" t="s">
        <v>395</v>
      </c>
      <c r="B122" s="2" t="s">
        <v>14</v>
      </c>
      <c r="C122" s="2" t="s">
        <v>11</v>
      </c>
      <c r="D122" s="2" t="s">
        <v>65</v>
      </c>
      <c r="E122" s="2" t="s">
        <v>28</v>
      </c>
      <c r="F122" s="2" t="s">
        <v>186</v>
      </c>
      <c r="G122" s="2" t="s">
        <v>15</v>
      </c>
      <c r="H122" s="2" t="s">
        <v>12</v>
      </c>
      <c r="I122" s="2" t="s">
        <v>17</v>
      </c>
      <c r="J122" t="b">
        <f t="shared" si="10"/>
        <v>1</v>
      </c>
      <c r="K122" s="6" t="s">
        <v>395</v>
      </c>
      <c r="L122" s="7" t="s">
        <v>14</v>
      </c>
      <c r="M122" s="7" t="s">
        <v>11</v>
      </c>
      <c r="N122" s="7" t="s">
        <v>65</v>
      </c>
      <c r="O122" s="7" t="s">
        <v>28</v>
      </c>
      <c r="P122" s="7" t="s">
        <v>186</v>
      </c>
      <c r="Q122" s="7" t="s">
        <v>15</v>
      </c>
      <c r="R122" s="7" t="s">
        <v>12</v>
      </c>
      <c r="S122" s="7" t="s">
        <v>17</v>
      </c>
      <c r="U122" t="b">
        <f t="shared" si="11"/>
        <v>1</v>
      </c>
      <c r="V122" t="b">
        <f t="shared" si="12"/>
        <v>1</v>
      </c>
      <c r="W122" t="b">
        <f t="shared" si="13"/>
        <v>1</v>
      </c>
      <c r="X122" t="b">
        <f t="shared" si="14"/>
        <v>1</v>
      </c>
      <c r="Y122" t="b">
        <f t="shared" si="15"/>
        <v>1</v>
      </c>
      <c r="Z122" t="b">
        <f t="shared" si="16"/>
        <v>1</v>
      </c>
      <c r="AA122" t="b">
        <f t="shared" si="17"/>
        <v>1</v>
      </c>
      <c r="AB122" t="b">
        <f t="shared" si="18"/>
        <v>1</v>
      </c>
    </row>
    <row r="123" spans="1:28" ht="14.4" hidden="1">
      <c r="A123" s="2" t="s">
        <v>394</v>
      </c>
      <c r="B123" s="2" t="s">
        <v>14</v>
      </c>
      <c r="C123" s="2" t="s">
        <v>11</v>
      </c>
      <c r="D123" s="2" t="s">
        <v>65</v>
      </c>
      <c r="E123" s="2" t="s">
        <v>28</v>
      </c>
      <c r="F123" s="2" t="s">
        <v>186</v>
      </c>
      <c r="G123" s="2" t="s">
        <v>15</v>
      </c>
      <c r="H123" s="2" t="s">
        <v>16</v>
      </c>
      <c r="I123" s="2" t="s">
        <v>12</v>
      </c>
      <c r="J123" t="b">
        <f t="shared" si="10"/>
        <v>1</v>
      </c>
      <c r="K123" s="8" t="s">
        <v>394</v>
      </c>
      <c r="L123" s="9" t="s">
        <v>12</v>
      </c>
      <c r="M123" s="9" t="s">
        <v>11</v>
      </c>
      <c r="N123" s="9" t="s">
        <v>65</v>
      </c>
      <c r="O123" s="9" t="s">
        <v>28</v>
      </c>
      <c r="P123" s="9" t="s">
        <v>186</v>
      </c>
      <c r="Q123" s="9" t="s">
        <v>15</v>
      </c>
      <c r="R123" s="9" t="s">
        <v>16</v>
      </c>
      <c r="S123" s="9" t="s">
        <v>17</v>
      </c>
      <c r="U123" t="b">
        <f t="shared" si="11"/>
        <v>0</v>
      </c>
      <c r="V123" t="b">
        <f t="shared" si="12"/>
        <v>1</v>
      </c>
      <c r="W123" t="b">
        <f t="shared" si="13"/>
        <v>1</v>
      </c>
      <c r="X123" t="b">
        <f t="shared" si="14"/>
        <v>1</v>
      </c>
      <c r="Y123" t="b">
        <f t="shared" si="15"/>
        <v>1</v>
      </c>
      <c r="Z123" t="b">
        <f t="shared" si="16"/>
        <v>1</v>
      </c>
      <c r="AA123" t="b">
        <f t="shared" si="17"/>
        <v>1</v>
      </c>
      <c r="AB123" t="b">
        <f t="shared" si="18"/>
        <v>0</v>
      </c>
    </row>
    <row r="124" spans="1:28" ht="14.4">
      <c r="A124" s="2" t="s">
        <v>393</v>
      </c>
      <c r="B124" s="2" t="s">
        <v>12</v>
      </c>
      <c r="C124" s="2" t="s">
        <v>15</v>
      </c>
      <c r="D124" s="2" t="s">
        <v>65</v>
      </c>
      <c r="E124" s="2" t="s">
        <v>28</v>
      </c>
      <c r="F124" s="2" t="s">
        <v>186</v>
      </c>
      <c r="G124" s="2" t="s">
        <v>14</v>
      </c>
      <c r="H124" s="2" t="s">
        <v>16</v>
      </c>
      <c r="I124" s="2" t="s">
        <v>17</v>
      </c>
      <c r="J124" t="b">
        <f t="shared" si="10"/>
        <v>1</v>
      </c>
      <c r="K124" s="6" t="s">
        <v>393</v>
      </c>
      <c r="L124" s="7" t="s">
        <v>12</v>
      </c>
      <c r="M124" s="7" t="s">
        <v>15</v>
      </c>
      <c r="N124" s="7" t="s">
        <v>65</v>
      </c>
      <c r="O124" s="7" t="s">
        <v>28</v>
      </c>
      <c r="P124" s="7" t="s">
        <v>186</v>
      </c>
      <c r="Q124" s="7" t="s">
        <v>14</v>
      </c>
      <c r="R124" s="7" t="s">
        <v>16</v>
      </c>
      <c r="S124" s="7" t="s">
        <v>17</v>
      </c>
      <c r="U124" t="b">
        <f t="shared" si="11"/>
        <v>1</v>
      </c>
      <c r="V124" t="b">
        <f t="shared" si="12"/>
        <v>1</v>
      </c>
      <c r="W124" t="b">
        <f t="shared" si="13"/>
        <v>1</v>
      </c>
      <c r="X124" t="b">
        <f t="shared" si="14"/>
        <v>1</v>
      </c>
      <c r="Y124" t="b">
        <f t="shared" si="15"/>
        <v>1</v>
      </c>
      <c r="Z124" t="b">
        <f t="shared" si="16"/>
        <v>1</v>
      </c>
      <c r="AA124" t="b">
        <f t="shared" si="17"/>
        <v>1</v>
      </c>
      <c r="AB124" t="b">
        <f t="shared" si="18"/>
        <v>1</v>
      </c>
    </row>
    <row r="125" spans="1:28" ht="14.4">
      <c r="A125" s="2" t="s">
        <v>392</v>
      </c>
      <c r="B125" s="2" t="s">
        <v>14</v>
      </c>
      <c r="C125" s="2" t="s">
        <v>11</v>
      </c>
      <c r="D125" s="2" t="s">
        <v>65</v>
      </c>
      <c r="E125" s="2" t="s">
        <v>28</v>
      </c>
      <c r="F125" s="2" t="s">
        <v>186</v>
      </c>
      <c r="G125" s="2" t="s">
        <v>15</v>
      </c>
      <c r="H125" s="2" t="s">
        <v>16</v>
      </c>
      <c r="I125" s="2" t="s">
        <v>17</v>
      </c>
      <c r="J125" t="b">
        <f t="shared" si="10"/>
        <v>1</v>
      </c>
      <c r="K125" s="8" t="s">
        <v>392</v>
      </c>
      <c r="L125" s="9" t="s">
        <v>14</v>
      </c>
      <c r="M125" s="9" t="s">
        <v>11</v>
      </c>
      <c r="N125" s="9" t="s">
        <v>65</v>
      </c>
      <c r="O125" s="9" t="s">
        <v>28</v>
      </c>
      <c r="P125" s="9" t="s">
        <v>186</v>
      </c>
      <c r="Q125" s="9" t="s">
        <v>15</v>
      </c>
      <c r="R125" s="9" t="s">
        <v>16</v>
      </c>
      <c r="S125" s="9" t="s">
        <v>17</v>
      </c>
      <c r="U125" t="b">
        <f t="shared" si="11"/>
        <v>1</v>
      </c>
      <c r="V125" t="b">
        <f t="shared" si="12"/>
        <v>1</v>
      </c>
      <c r="W125" t="b">
        <f t="shared" si="13"/>
        <v>1</v>
      </c>
      <c r="X125" t="b">
        <f t="shared" si="14"/>
        <v>1</v>
      </c>
      <c r="Y125" t="b">
        <f t="shared" si="15"/>
        <v>1</v>
      </c>
      <c r="Z125" t="b">
        <f t="shared" si="16"/>
        <v>1</v>
      </c>
      <c r="AA125" t="b">
        <f t="shared" si="17"/>
        <v>1</v>
      </c>
      <c r="AB125" t="b">
        <f t="shared" si="18"/>
        <v>1</v>
      </c>
    </row>
    <row r="126" spans="1:28" ht="14.4" hidden="1">
      <c r="A126" s="2" t="s">
        <v>391</v>
      </c>
      <c r="B126" s="2" t="s">
        <v>12</v>
      </c>
      <c r="C126" s="2" t="s">
        <v>11</v>
      </c>
      <c r="D126" s="2" t="s">
        <v>65</v>
      </c>
      <c r="E126" s="2" t="s">
        <v>28</v>
      </c>
      <c r="F126" s="2" t="s">
        <v>186</v>
      </c>
      <c r="G126" s="2" t="s">
        <v>15</v>
      </c>
      <c r="H126" s="2" t="s">
        <v>16</v>
      </c>
      <c r="I126" s="2" t="s">
        <v>17</v>
      </c>
      <c r="J126" t="b">
        <f t="shared" si="10"/>
        <v>1</v>
      </c>
      <c r="K126" s="6" t="s">
        <v>391</v>
      </c>
      <c r="L126" s="7" t="s">
        <v>14</v>
      </c>
      <c r="M126" s="7" t="s">
        <v>15</v>
      </c>
      <c r="N126" s="7" t="s">
        <v>65</v>
      </c>
      <c r="O126" s="7" t="s">
        <v>28</v>
      </c>
      <c r="P126" s="7" t="s">
        <v>186</v>
      </c>
      <c r="Q126" s="7" t="s">
        <v>13</v>
      </c>
      <c r="R126" s="7" t="s">
        <v>19</v>
      </c>
      <c r="S126" s="7" t="s">
        <v>10</v>
      </c>
      <c r="U126" t="b">
        <f t="shared" si="11"/>
        <v>0</v>
      </c>
      <c r="V126" t="b">
        <f t="shared" si="12"/>
        <v>0</v>
      </c>
      <c r="W126" t="b">
        <f t="shared" si="13"/>
        <v>1</v>
      </c>
      <c r="X126" t="b">
        <f t="shared" si="14"/>
        <v>1</v>
      </c>
      <c r="Y126" t="b">
        <f t="shared" si="15"/>
        <v>1</v>
      </c>
      <c r="Z126" t="b">
        <f t="shared" si="16"/>
        <v>0</v>
      </c>
      <c r="AA126" t="b">
        <f t="shared" si="17"/>
        <v>0</v>
      </c>
      <c r="AB126" t="b">
        <f t="shared" si="18"/>
        <v>0</v>
      </c>
    </row>
    <row r="127" spans="1:28" ht="14.4">
      <c r="A127" s="2" t="s">
        <v>390</v>
      </c>
      <c r="B127" s="2" t="s">
        <v>12</v>
      </c>
      <c r="C127" s="2" t="s">
        <v>11</v>
      </c>
      <c r="D127" s="2" t="s">
        <v>65</v>
      </c>
      <c r="E127" s="2" t="s">
        <v>28</v>
      </c>
      <c r="F127" s="2" t="s">
        <v>186</v>
      </c>
      <c r="G127" s="2" t="s">
        <v>14</v>
      </c>
      <c r="H127" s="2" t="s">
        <v>16</v>
      </c>
      <c r="I127" s="2" t="s">
        <v>17</v>
      </c>
      <c r="J127" t="b">
        <f t="shared" si="10"/>
        <v>1</v>
      </c>
      <c r="K127" s="8" t="s">
        <v>390</v>
      </c>
      <c r="L127" s="9" t="s">
        <v>12</v>
      </c>
      <c r="M127" s="9" t="s">
        <v>11</v>
      </c>
      <c r="N127" s="9" t="s">
        <v>65</v>
      </c>
      <c r="O127" s="9" t="s">
        <v>28</v>
      </c>
      <c r="P127" s="9" t="s">
        <v>186</v>
      </c>
      <c r="Q127" s="9" t="s">
        <v>14</v>
      </c>
      <c r="R127" s="9" t="s">
        <v>16</v>
      </c>
      <c r="S127" s="9" t="s">
        <v>17</v>
      </c>
      <c r="U127" t="b">
        <f t="shared" si="11"/>
        <v>1</v>
      </c>
      <c r="V127" t="b">
        <f t="shared" si="12"/>
        <v>1</v>
      </c>
      <c r="W127" t="b">
        <f t="shared" si="13"/>
        <v>1</v>
      </c>
      <c r="X127" t="b">
        <f t="shared" si="14"/>
        <v>1</v>
      </c>
      <c r="Y127" t="b">
        <f t="shared" si="15"/>
        <v>1</v>
      </c>
      <c r="Z127" t="b">
        <f t="shared" si="16"/>
        <v>1</v>
      </c>
      <c r="AA127" t="b">
        <f t="shared" si="17"/>
        <v>1</v>
      </c>
      <c r="AB127" t="b">
        <f t="shared" si="18"/>
        <v>1</v>
      </c>
    </row>
    <row r="128" spans="1:28" ht="14.4">
      <c r="A128" s="2" t="s">
        <v>389</v>
      </c>
      <c r="B128" s="2" t="s">
        <v>14</v>
      </c>
      <c r="C128" s="2" t="s">
        <v>15</v>
      </c>
      <c r="D128" s="2" t="s">
        <v>65</v>
      </c>
      <c r="E128" s="2" t="s">
        <v>19</v>
      </c>
      <c r="F128" s="2" t="s">
        <v>186</v>
      </c>
      <c r="G128" s="2" t="s">
        <v>13</v>
      </c>
      <c r="H128" s="2" t="s">
        <v>10</v>
      </c>
      <c r="I128" s="2" t="s">
        <v>12</v>
      </c>
      <c r="J128" t="b">
        <f t="shared" si="10"/>
        <v>1</v>
      </c>
      <c r="K128" s="6" t="s">
        <v>389</v>
      </c>
      <c r="L128" s="7" t="s">
        <v>14</v>
      </c>
      <c r="M128" s="7" t="s">
        <v>15</v>
      </c>
      <c r="N128" s="7" t="s">
        <v>65</v>
      </c>
      <c r="O128" s="7" t="s">
        <v>19</v>
      </c>
      <c r="P128" s="7" t="s">
        <v>186</v>
      </c>
      <c r="Q128" s="7" t="s">
        <v>13</v>
      </c>
      <c r="R128" s="7" t="s">
        <v>10</v>
      </c>
      <c r="S128" s="7" t="s">
        <v>12</v>
      </c>
      <c r="U128" t="b">
        <f t="shared" si="11"/>
        <v>1</v>
      </c>
      <c r="V128" t="b">
        <f t="shared" si="12"/>
        <v>1</v>
      </c>
      <c r="W128" t="b">
        <f t="shared" si="13"/>
        <v>1</v>
      </c>
      <c r="X128" t="b">
        <f t="shared" si="14"/>
        <v>1</v>
      </c>
      <c r="Y128" t="b">
        <f t="shared" si="15"/>
        <v>1</v>
      </c>
      <c r="Z128" t="b">
        <f t="shared" si="16"/>
        <v>1</v>
      </c>
      <c r="AA128" t="b">
        <f t="shared" si="17"/>
        <v>1</v>
      </c>
      <c r="AB128" t="b">
        <f t="shared" si="18"/>
        <v>1</v>
      </c>
    </row>
    <row r="129" spans="1:28" ht="14.4">
      <c r="A129" s="2" t="s">
        <v>388</v>
      </c>
      <c r="B129" s="2" t="s">
        <v>14</v>
      </c>
      <c r="C129" s="2" t="s">
        <v>15</v>
      </c>
      <c r="D129" s="2" t="s">
        <v>65</v>
      </c>
      <c r="E129" s="2" t="s">
        <v>19</v>
      </c>
      <c r="F129" s="2" t="s">
        <v>186</v>
      </c>
      <c r="G129" s="2" t="s">
        <v>13</v>
      </c>
      <c r="H129" s="2" t="s">
        <v>10</v>
      </c>
      <c r="I129" s="2" t="s">
        <v>11</v>
      </c>
      <c r="J129" t="b">
        <f t="shared" si="10"/>
        <v>1</v>
      </c>
      <c r="K129" s="8" t="s">
        <v>388</v>
      </c>
      <c r="L129" s="9" t="s">
        <v>14</v>
      </c>
      <c r="M129" s="9" t="s">
        <v>15</v>
      </c>
      <c r="N129" s="9" t="s">
        <v>65</v>
      </c>
      <c r="O129" s="9" t="s">
        <v>19</v>
      </c>
      <c r="P129" s="9" t="s">
        <v>186</v>
      </c>
      <c r="Q129" s="9" t="s">
        <v>13</v>
      </c>
      <c r="R129" s="9" t="s">
        <v>10</v>
      </c>
      <c r="S129" s="9" t="s">
        <v>11</v>
      </c>
      <c r="U129" t="b">
        <f t="shared" si="11"/>
        <v>1</v>
      </c>
      <c r="V129" t="b">
        <f t="shared" si="12"/>
        <v>1</v>
      </c>
      <c r="W129" t="b">
        <f t="shared" si="13"/>
        <v>1</v>
      </c>
      <c r="X129" t="b">
        <f t="shared" si="14"/>
        <v>1</v>
      </c>
      <c r="Y129" t="b">
        <f t="shared" si="15"/>
        <v>1</v>
      </c>
      <c r="Z129" t="b">
        <f t="shared" si="16"/>
        <v>1</v>
      </c>
      <c r="AA129" t="b">
        <f t="shared" si="17"/>
        <v>1</v>
      </c>
      <c r="AB129" t="b">
        <f t="shared" si="18"/>
        <v>1</v>
      </c>
    </row>
    <row r="130" spans="1:28" ht="14.4">
      <c r="A130" s="2" t="s">
        <v>387</v>
      </c>
      <c r="B130" s="2" t="s">
        <v>14</v>
      </c>
      <c r="C130" s="2" t="s">
        <v>15</v>
      </c>
      <c r="D130" s="2" t="s">
        <v>65</v>
      </c>
      <c r="E130" s="2" t="s">
        <v>19</v>
      </c>
      <c r="F130" s="2" t="s">
        <v>186</v>
      </c>
      <c r="G130" s="2" t="s">
        <v>13</v>
      </c>
      <c r="H130" s="2" t="s">
        <v>10</v>
      </c>
      <c r="I130" s="2" t="s">
        <v>17</v>
      </c>
      <c r="J130" t="b">
        <f t="shared" si="10"/>
        <v>1</v>
      </c>
      <c r="K130" s="6" t="s">
        <v>387</v>
      </c>
      <c r="L130" s="7" t="s">
        <v>14</v>
      </c>
      <c r="M130" s="7" t="s">
        <v>15</v>
      </c>
      <c r="N130" s="7" t="s">
        <v>65</v>
      </c>
      <c r="O130" s="7" t="s">
        <v>19</v>
      </c>
      <c r="P130" s="7" t="s">
        <v>186</v>
      </c>
      <c r="Q130" s="7" t="s">
        <v>13</v>
      </c>
      <c r="R130" s="7" t="s">
        <v>10</v>
      </c>
      <c r="S130" s="7" t="s">
        <v>17</v>
      </c>
      <c r="U130" t="b">
        <f t="shared" si="11"/>
        <v>1</v>
      </c>
      <c r="V130" t="b">
        <f t="shared" si="12"/>
        <v>1</v>
      </c>
      <c r="W130" t="b">
        <f t="shared" si="13"/>
        <v>1</v>
      </c>
      <c r="X130" t="b">
        <f t="shared" si="14"/>
        <v>1</v>
      </c>
      <c r="Y130" t="b">
        <f t="shared" si="15"/>
        <v>1</v>
      </c>
      <c r="Z130" t="b">
        <f t="shared" si="16"/>
        <v>1</v>
      </c>
      <c r="AA130" t="b">
        <f t="shared" si="17"/>
        <v>1</v>
      </c>
      <c r="AB130" t="b">
        <f t="shared" si="18"/>
        <v>1</v>
      </c>
    </row>
    <row r="131" spans="1:28" ht="14.4">
      <c r="A131" s="2" t="s">
        <v>386</v>
      </c>
      <c r="B131" s="2" t="s">
        <v>14</v>
      </c>
      <c r="C131" s="2" t="s">
        <v>15</v>
      </c>
      <c r="D131" s="2" t="s">
        <v>65</v>
      </c>
      <c r="E131" s="2" t="s">
        <v>19</v>
      </c>
      <c r="F131" s="2" t="s">
        <v>186</v>
      </c>
      <c r="G131" s="2" t="s">
        <v>13</v>
      </c>
      <c r="H131" s="2" t="s">
        <v>16</v>
      </c>
      <c r="I131" s="2" t="s">
        <v>10</v>
      </c>
      <c r="J131" t="b">
        <f t="shared" ref="J131:J194" si="19">K131=A131</f>
        <v>1</v>
      </c>
      <c r="K131" s="8" t="s">
        <v>386</v>
      </c>
      <c r="L131" s="9" t="s">
        <v>14</v>
      </c>
      <c r="M131" s="9" t="s">
        <v>15</v>
      </c>
      <c r="N131" s="9" t="s">
        <v>65</v>
      </c>
      <c r="O131" s="9" t="s">
        <v>19</v>
      </c>
      <c r="P131" s="9" t="s">
        <v>186</v>
      </c>
      <c r="Q131" s="9" t="s">
        <v>13</v>
      </c>
      <c r="R131" s="9" t="s">
        <v>16</v>
      </c>
      <c r="S131" s="9" t="s">
        <v>10</v>
      </c>
      <c r="U131" t="b">
        <f t="shared" ref="U131:U194" si="20">B131=L131</f>
        <v>1</v>
      </c>
      <c r="V131" t="b">
        <f t="shared" ref="V131:V194" si="21">C131=M131</f>
        <v>1</v>
      </c>
      <c r="W131" t="b">
        <f t="shared" ref="W131:W194" si="22">D131=N131</f>
        <v>1</v>
      </c>
      <c r="X131" t="b">
        <f t="shared" ref="X131:X194" si="23">E131=O131</f>
        <v>1</v>
      </c>
      <c r="Y131" t="b">
        <f t="shared" ref="Y131:Y194" si="24">F131=P131</f>
        <v>1</v>
      </c>
      <c r="Z131" t="b">
        <f t="shared" ref="Z131:Z194" si="25">G131=Q131</f>
        <v>1</v>
      </c>
      <c r="AA131" t="b">
        <f t="shared" ref="AA131:AA194" si="26">H131=R131</f>
        <v>1</v>
      </c>
      <c r="AB131" t="b">
        <f t="shared" ref="AB131:AB194" si="27">I131=S131</f>
        <v>1</v>
      </c>
    </row>
    <row r="132" spans="1:28" ht="14.4">
      <c r="A132" s="2" t="s">
        <v>385</v>
      </c>
      <c r="B132" s="2" t="s">
        <v>10</v>
      </c>
      <c r="C132" s="2" t="s">
        <v>15</v>
      </c>
      <c r="D132" s="2" t="s">
        <v>65</v>
      </c>
      <c r="E132" s="2" t="s">
        <v>19</v>
      </c>
      <c r="F132" s="2" t="s">
        <v>186</v>
      </c>
      <c r="G132" s="2" t="s">
        <v>13</v>
      </c>
      <c r="H132" s="2" t="s">
        <v>12</v>
      </c>
      <c r="I132" s="2" t="s">
        <v>11</v>
      </c>
      <c r="J132" t="b">
        <f t="shared" si="19"/>
        <v>1</v>
      </c>
      <c r="K132" s="6" t="s">
        <v>385</v>
      </c>
      <c r="L132" s="7" t="s">
        <v>10</v>
      </c>
      <c r="M132" s="7" t="s">
        <v>15</v>
      </c>
      <c r="N132" s="7" t="s">
        <v>65</v>
      </c>
      <c r="O132" s="7" t="s">
        <v>19</v>
      </c>
      <c r="P132" s="7" t="s">
        <v>186</v>
      </c>
      <c r="Q132" s="7" t="s">
        <v>13</v>
      </c>
      <c r="R132" s="7" t="s">
        <v>12</v>
      </c>
      <c r="S132" s="7" t="s">
        <v>11</v>
      </c>
      <c r="U132" t="b">
        <f t="shared" si="20"/>
        <v>1</v>
      </c>
      <c r="V132" t="b">
        <f t="shared" si="21"/>
        <v>1</v>
      </c>
      <c r="W132" t="b">
        <f t="shared" si="22"/>
        <v>1</v>
      </c>
      <c r="X132" t="b">
        <f t="shared" si="23"/>
        <v>1</v>
      </c>
      <c r="Y132" t="b">
        <f t="shared" si="24"/>
        <v>1</v>
      </c>
      <c r="Z132" t="b">
        <f t="shared" si="25"/>
        <v>1</v>
      </c>
      <c r="AA132" t="b">
        <f t="shared" si="26"/>
        <v>1</v>
      </c>
      <c r="AB132" t="b">
        <f t="shared" si="27"/>
        <v>1</v>
      </c>
    </row>
    <row r="133" spans="1:28" ht="14.4">
      <c r="A133" s="2" t="s">
        <v>384</v>
      </c>
      <c r="B133" s="2" t="s">
        <v>10</v>
      </c>
      <c r="C133" s="2" t="s">
        <v>15</v>
      </c>
      <c r="D133" s="2" t="s">
        <v>65</v>
      </c>
      <c r="E133" s="2" t="s">
        <v>19</v>
      </c>
      <c r="F133" s="2" t="s">
        <v>186</v>
      </c>
      <c r="G133" s="2" t="s">
        <v>13</v>
      </c>
      <c r="H133" s="2" t="s">
        <v>12</v>
      </c>
      <c r="I133" s="2" t="s">
        <v>17</v>
      </c>
      <c r="J133" t="b">
        <f t="shared" si="19"/>
        <v>1</v>
      </c>
      <c r="K133" s="8" t="s">
        <v>384</v>
      </c>
      <c r="L133" s="9" t="s">
        <v>10</v>
      </c>
      <c r="M133" s="9" t="s">
        <v>15</v>
      </c>
      <c r="N133" s="9" t="s">
        <v>65</v>
      </c>
      <c r="O133" s="9" t="s">
        <v>19</v>
      </c>
      <c r="P133" s="9" t="s">
        <v>186</v>
      </c>
      <c r="Q133" s="9" t="s">
        <v>13</v>
      </c>
      <c r="R133" s="9" t="s">
        <v>12</v>
      </c>
      <c r="S133" s="9" t="s">
        <v>17</v>
      </c>
      <c r="U133" t="b">
        <f t="shared" si="20"/>
        <v>1</v>
      </c>
      <c r="V133" t="b">
        <f t="shared" si="21"/>
        <v>1</v>
      </c>
      <c r="W133" t="b">
        <f t="shared" si="22"/>
        <v>1</v>
      </c>
      <c r="X133" t="b">
        <f t="shared" si="23"/>
        <v>1</v>
      </c>
      <c r="Y133" t="b">
        <f t="shared" si="24"/>
        <v>1</v>
      </c>
      <c r="Z133" t="b">
        <f t="shared" si="25"/>
        <v>1</v>
      </c>
      <c r="AA133" t="b">
        <f t="shared" si="26"/>
        <v>1</v>
      </c>
      <c r="AB133" t="b">
        <f t="shared" si="27"/>
        <v>1</v>
      </c>
    </row>
    <row r="134" spans="1:28" ht="14.4">
      <c r="A134" s="2" t="s">
        <v>383</v>
      </c>
      <c r="B134" s="2" t="s">
        <v>10</v>
      </c>
      <c r="C134" s="2" t="s">
        <v>15</v>
      </c>
      <c r="D134" s="2" t="s">
        <v>65</v>
      </c>
      <c r="E134" s="2" t="s">
        <v>19</v>
      </c>
      <c r="F134" s="2" t="s">
        <v>186</v>
      </c>
      <c r="G134" s="2" t="s">
        <v>13</v>
      </c>
      <c r="H134" s="2" t="s">
        <v>16</v>
      </c>
      <c r="I134" s="2" t="s">
        <v>12</v>
      </c>
      <c r="J134" t="b">
        <f t="shared" si="19"/>
        <v>1</v>
      </c>
      <c r="K134" s="6" t="s">
        <v>383</v>
      </c>
      <c r="L134" s="7" t="s">
        <v>10</v>
      </c>
      <c r="M134" s="7" t="s">
        <v>15</v>
      </c>
      <c r="N134" s="7" t="s">
        <v>65</v>
      </c>
      <c r="O134" s="7" t="s">
        <v>19</v>
      </c>
      <c r="P134" s="7" t="s">
        <v>186</v>
      </c>
      <c r="Q134" s="7" t="s">
        <v>13</v>
      </c>
      <c r="R134" s="7" t="s">
        <v>16</v>
      </c>
      <c r="S134" s="7" t="s">
        <v>12</v>
      </c>
      <c r="U134" t="b">
        <f t="shared" si="20"/>
        <v>1</v>
      </c>
      <c r="V134" t="b">
        <f t="shared" si="21"/>
        <v>1</v>
      </c>
      <c r="W134" t="b">
        <f t="shared" si="22"/>
        <v>1</v>
      </c>
      <c r="X134" t="b">
        <f t="shared" si="23"/>
        <v>1</v>
      </c>
      <c r="Y134" t="b">
        <f t="shared" si="24"/>
        <v>1</v>
      </c>
      <c r="Z134" t="b">
        <f t="shared" si="25"/>
        <v>1</v>
      </c>
      <c r="AA134" t="b">
        <f t="shared" si="26"/>
        <v>1</v>
      </c>
      <c r="AB134" t="b">
        <f t="shared" si="27"/>
        <v>1</v>
      </c>
    </row>
    <row r="135" spans="1:28" ht="14.4">
      <c r="A135" s="2" t="s">
        <v>382</v>
      </c>
      <c r="B135" s="2" t="s">
        <v>10</v>
      </c>
      <c r="C135" s="2" t="s">
        <v>15</v>
      </c>
      <c r="D135" s="2" t="s">
        <v>65</v>
      </c>
      <c r="E135" s="2" t="s">
        <v>19</v>
      </c>
      <c r="F135" s="2" t="s">
        <v>186</v>
      </c>
      <c r="G135" s="2" t="s">
        <v>13</v>
      </c>
      <c r="H135" s="2" t="s">
        <v>11</v>
      </c>
      <c r="I135" s="2" t="s">
        <v>17</v>
      </c>
      <c r="J135" t="b">
        <f t="shared" si="19"/>
        <v>1</v>
      </c>
      <c r="K135" s="8" t="s">
        <v>382</v>
      </c>
      <c r="L135" s="9" t="s">
        <v>10</v>
      </c>
      <c r="M135" s="9" t="s">
        <v>15</v>
      </c>
      <c r="N135" s="9" t="s">
        <v>65</v>
      </c>
      <c r="O135" s="9" t="s">
        <v>19</v>
      </c>
      <c r="P135" s="9" t="s">
        <v>186</v>
      </c>
      <c r="Q135" s="9" t="s">
        <v>13</v>
      </c>
      <c r="R135" s="9" t="s">
        <v>11</v>
      </c>
      <c r="S135" s="9" t="s">
        <v>17</v>
      </c>
      <c r="U135" t="b">
        <f t="shared" si="20"/>
        <v>1</v>
      </c>
      <c r="V135" t="b">
        <f t="shared" si="21"/>
        <v>1</v>
      </c>
      <c r="W135" t="b">
        <f t="shared" si="22"/>
        <v>1</v>
      </c>
      <c r="X135" t="b">
        <f t="shared" si="23"/>
        <v>1</v>
      </c>
      <c r="Y135" t="b">
        <f t="shared" si="24"/>
        <v>1</v>
      </c>
      <c r="Z135" t="b">
        <f t="shared" si="25"/>
        <v>1</v>
      </c>
      <c r="AA135" t="b">
        <f t="shared" si="26"/>
        <v>1</v>
      </c>
      <c r="AB135" t="b">
        <f t="shared" si="27"/>
        <v>1</v>
      </c>
    </row>
    <row r="136" spans="1:28" ht="14.4">
      <c r="A136" s="2" t="s">
        <v>381</v>
      </c>
      <c r="B136" s="2" t="s">
        <v>10</v>
      </c>
      <c r="C136" s="2" t="s">
        <v>15</v>
      </c>
      <c r="D136" s="2" t="s">
        <v>65</v>
      </c>
      <c r="E136" s="2" t="s">
        <v>19</v>
      </c>
      <c r="F136" s="2" t="s">
        <v>186</v>
      </c>
      <c r="G136" s="2" t="s">
        <v>13</v>
      </c>
      <c r="H136" s="2" t="s">
        <v>16</v>
      </c>
      <c r="I136" s="2" t="s">
        <v>11</v>
      </c>
      <c r="J136" t="b">
        <f t="shared" si="19"/>
        <v>1</v>
      </c>
      <c r="K136" s="6" t="s">
        <v>381</v>
      </c>
      <c r="L136" s="7" t="s">
        <v>10</v>
      </c>
      <c r="M136" s="7" t="s">
        <v>15</v>
      </c>
      <c r="N136" s="7" t="s">
        <v>65</v>
      </c>
      <c r="O136" s="7" t="s">
        <v>19</v>
      </c>
      <c r="P136" s="7" t="s">
        <v>186</v>
      </c>
      <c r="Q136" s="7" t="s">
        <v>13</v>
      </c>
      <c r="R136" s="7" t="s">
        <v>16</v>
      </c>
      <c r="S136" s="7" t="s">
        <v>11</v>
      </c>
      <c r="U136" t="b">
        <f t="shared" si="20"/>
        <v>1</v>
      </c>
      <c r="V136" t="b">
        <f t="shared" si="21"/>
        <v>1</v>
      </c>
      <c r="W136" t="b">
        <f t="shared" si="22"/>
        <v>1</v>
      </c>
      <c r="X136" t="b">
        <f t="shared" si="23"/>
        <v>1</v>
      </c>
      <c r="Y136" t="b">
        <f t="shared" si="24"/>
        <v>1</v>
      </c>
      <c r="Z136" t="b">
        <f t="shared" si="25"/>
        <v>1</v>
      </c>
      <c r="AA136" t="b">
        <f t="shared" si="26"/>
        <v>1</v>
      </c>
      <c r="AB136" t="b">
        <f t="shared" si="27"/>
        <v>1</v>
      </c>
    </row>
    <row r="137" spans="1:28" ht="14.4">
      <c r="A137" s="2" t="s">
        <v>380</v>
      </c>
      <c r="B137" s="2" t="s">
        <v>10</v>
      </c>
      <c r="C137" s="2" t="s">
        <v>15</v>
      </c>
      <c r="D137" s="2" t="s">
        <v>65</v>
      </c>
      <c r="E137" s="2" t="s">
        <v>19</v>
      </c>
      <c r="F137" s="2" t="s">
        <v>186</v>
      </c>
      <c r="G137" s="2" t="s">
        <v>13</v>
      </c>
      <c r="H137" s="2" t="s">
        <v>16</v>
      </c>
      <c r="I137" s="2" t="s">
        <v>17</v>
      </c>
      <c r="J137" t="b">
        <f t="shared" si="19"/>
        <v>1</v>
      </c>
      <c r="K137" s="8" t="s">
        <v>380</v>
      </c>
      <c r="L137" s="9" t="s">
        <v>10</v>
      </c>
      <c r="M137" s="9" t="s">
        <v>15</v>
      </c>
      <c r="N137" s="9" t="s">
        <v>65</v>
      </c>
      <c r="O137" s="9" t="s">
        <v>19</v>
      </c>
      <c r="P137" s="9" t="s">
        <v>186</v>
      </c>
      <c r="Q137" s="9" t="s">
        <v>13</v>
      </c>
      <c r="R137" s="9" t="s">
        <v>16</v>
      </c>
      <c r="S137" s="9" t="s">
        <v>17</v>
      </c>
      <c r="U137" t="b">
        <f t="shared" si="20"/>
        <v>1</v>
      </c>
      <c r="V137" t="b">
        <f t="shared" si="21"/>
        <v>1</v>
      </c>
      <c r="W137" t="b">
        <f t="shared" si="22"/>
        <v>1</v>
      </c>
      <c r="X137" t="b">
        <f t="shared" si="23"/>
        <v>1</v>
      </c>
      <c r="Y137" t="b">
        <f t="shared" si="24"/>
        <v>1</v>
      </c>
      <c r="Z137" t="b">
        <f t="shared" si="25"/>
        <v>1</v>
      </c>
      <c r="AA137" t="b">
        <f t="shared" si="26"/>
        <v>1</v>
      </c>
      <c r="AB137" t="b">
        <f t="shared" si="27"/>
        <v>1</v>
      </c>
    </row>
    <row r="138" spans="1:28" ht="14.4">
      <c r="A138" s="2" t="s">
        <v>379</v>
      </c>
      <c r="B138" s="2" t="s">
        <v>14</v>
      </c>
      <c r="C138" s="2" t="s">
        <v>11</v>
      </c>
      <c r="D138" s="2" t="s">
        <v>65</v>
      </c>
      <c r="E138" s="2" t="s">
        <v>19</v>
      </c>
      <c r="F138" s="2" t="s">
        <v>186</v>
      </c>
      <c r="G138" s="2" t="s">
        <v>13</v>
      </c>
      <c r="H138" s="2" t="s">
        <v>10</v>
      </c>
      <c r="I138" s="2" t="s">
        <v>12</v>
      </c>
      <c r="J138" t="b">
        <f t="shared" si="19"/>
        <v>1</v>
      </c>
      <c r="K138" s="6" t="s">
        <v>379</v>
      </c>
      <c r="L138" s="7" t="s">
        <v>14</v>
      </c>
      <c r="M138" s="7" t="s">
        <v>11</v>
      </c>
      <c r="N138" s="7" t="s">
        <v>65</v>
      </c>
      <c r="O138" s="7" t="s">
        <v>19</v>
      </c>
      <c r="P138" s="7" t="s">
        <v>186</v>
      </c>
      <c r="Q138" s="7" t="s">
        <v>13</v>
      </c>
      <c r="R138" s="7" t="s">
        <v>10</v>
      </c>
      <c r="S138" s="7" t="s">
        <v>12</v>
      </c>
      <c r="U138" t="b">
        <f t="shared" si="20"/>
        <v>1</v>
      </c>
      <c r="V138" t="b">
        <f t="shared" si="21"/>
        <v>1</v>
      </c>
      <c r="W138" t="b">
        <f t="shared" si="22"/>
        <v>1</v>
      </c>
      <c r="X138" t="b">
        <f t="shared" si="23"/>
        <v>1</v>
      </c>
      <c r="Y138" t="b">
        <f t="shared" si="24"/>
        <v>1</v>
      </c>
      <c r="Z138" t="b">
        <f t="shared" si="25"/>
        <v>1</v>
      </c>
      <c r="AA138" t="b">
        <f t="shared" si="26"/>
        <v>1</v>
      </c>
      <c r="AB138" t="b">
        <f t="shared" si="27"/>
        <v>1</v>
      </c>
    </row>
    <row r="139" spans="1:28" ht="14.4">
      <c r="A139" s="2" t="s">
        <v>378</v>
      </c>
      <c r="B139" s="2" t="s">
        <v>14</v>
      </c>
      <c r="C139" s="2" t="s">
        <v>10</v>
      </c>
      <c r="D139" s="2" t="s">
        <v>65</v>
      </c>
      <c r="E139" s="2" t="s">
        <v>19</v>
      </c>
      <c r="F139" s="2" t="s">
        <v>186</v>
      </c>
      <c r="G139" s="2" t="s">
        <v>13</v>
      </c>
      <c r="H139" s="2" t="s">
        <v>12</v>
      </c>
      <c r="I139" s="2" t="s">
        <v>17</v>
      </c>
      <c r="J139" t="b">
        <f t="shared" si="19"/>
        <v>1</v>
      </c>
      <c r="K139" s="8" t="s">
        <v>378</v>
      </c>
      <c r="L139" s="9" t="s">
        <v>14</v>
      </c>
      <c r="M139" s="9" t="s">
        <v>10</v>
      </c>
      <c r="N139" s="9" t="s">
        <v>65</v>
      </c>
      <c r="O139" s="9" t="s">
        <v>19</v>
      </c>
      <c r="P139" s="9" t="s">
        <v>186</v>
      </c>
      <c r="Q139" s="9" t="s">
        <v>13</v>
      </c>
      <c r="R139" s="9" t="s">
        <v>12</v>
      </c>
      <c r="S139" s="9" t="s">
        <v>17</v>
      </c>
      <c r="U139" t="b">
        <f t="shared" si="20"/>
        <v>1</v>
      </c>
      <c r="V139" t="b">
        <f t="shared" si="21"/>
        <v>1</v>
      </c>
      <c r="W139" t="b">
        <f t="shared" si="22"/>
        <v>1</v>
      </c>
      <c r="X139" t="b">
        <f t="shared" si="23"/>
        <v>1</v>
      </c>
      <c r="Y139" t="b">
        <f t="shared" si="24"/>
        <v>1</v>
      </c>
      <c r="Z139" t="b">
        <f t="shared" si="25"/>
        <v>1</v>
      </c>
      <c r="AA139" t="b">
        <f t="shared" si="26"/>
        <v>1</v>
      </c>
      <c r="AB139" t="b">
        <f t="shared" si="27"/>
        <v>1</v>
      </c>
    </row>
    <row r="140" spans="1:28" ht="14.4">
      <c r="A140" s="2" t="s">
        <v>377</v>
      </c>
      <c r="B140" s="2" t="s">
        <v>14</v>
      </c>
      <c r="C140" s="2" t="s">
        <v>10</v>
      </c>
      <c r="D140" s="2" t="s">
        <v>65</v>
      </c>
      <c r="E140" s="2" t="s">
        <v>19</v>
      </c>
      <c r="F140" s="2" t="s">
        <v>186</v>
      </c>
      <c r="G140" s="2" t="s">
        <v>13</v>
      </c>
      <c r="H140" s="2" t="s">
        <v>16</v>
      </c>
      <c r="I140" s="2" t="s">
        <v>12</v>
      </c>
      <c r="J140" t="b">
        <f t="shared" si="19"/>
        <v>1</v>
      </c>
      <c r="K140" s="6" t="s">
        <v>377</v>
      </c>
      <c r="L140" s="7" t="s">
        <v>14</v>
      </c>
      <c r="M140" s="7" t="s">
        <v>10</v>
      </c>
      <c r="N140" s="7" t="s">
        <v>65</v>
      </c>
      <c r="O140" s="7" t="s">
        <v>19</v>
      </c>
      <c r="P140" s="7" t="s">
        <v>186</v>
      </c>
      <c r="Q140" s="7" t="s">
        <v>13</v>
      </c>
      <c r="R140" s="7" t="s">
        <v>16</v>
      </c>
      <c r="S140" s="7" t="s">
        <v>12</v>
      </c>
      <c r="U140" t="b">
        <f t="shared" si="20"/>
        <v>1</v>
      </c>
      <c r="V140" t="b">
        <f t="shared" si="21"/>
        <v>1</v>
      </c>
      <c r="W140" t="b">
        <f t="shared" si="22"/>
        <v>1</v>
      </c>
      <c r="X140" t="b">
        <f t="shared" si="23"/>
        <v>1</v>
      </c>
      <c r="Y140" t="b">
        <f t="shared" si="24"/>
        <v>1</v>
      </c>
      <c r="Z140" t="b">
        <f t="shared" si="25"/>
        <v>1</v>
      </c>
      <c r="AA140" t="b">
        <f t="shared" si="26"/>
        <v>1</v>
      </c>
      <c r="AB140" t="b">
        <f t="shared" si="27"/>
        <v>1</v>
      </c>
    </row>
    <row r="141" spans="1:28" ht="14.4">
      <c r="A141" s="2" t="s">
        <v>376</v>
      </c>
      <c r="B141" s="2" t="s">
        <v>14</v>
      </c>
      <c r="C141" s="2" t="s">
        <v>11</v>
      </c>
      <c r="D141" s="2" t="s">
        <v>65</v>
      </c>
      <c r="E141" s="2" t="s">
        <v>19</v>
      </c>
      <c r="F141" s="2" t="s">
        <v>186</v>
      </c>
      <c r="G141" s="2" t="s">
        <v>13</v>
      </c>
      <c r="H141" s="2" t="s">
        <v>10</v>
      </c>
      <c r="I141" s="2" t="s">
        <v>17</v>
      </c>
      <c r="J141" t="b">
        <f t="shared" si="19"/>
        <v>1</v>
      </c>
      <c r="K141" s="8" t="s">
        <v>376</v>
      </c>
      <c r="L141" s="9" t="s">
        <v>14</v>
      </c>
      <c r="M141" s="9" t="s">
        <v>11</v>
      </c>
      <c r="N141" s="9" t="s">
        <v>65</v>
      </c>
      <c r="O141" s="9" t="s">
        <v>19</v>
      </c>
      <c r="P141" s="9" t="s">
        <v>186</v>
      </c>
      <c r="Q141" s="9" t="s">
        <v>13</v>
      </c>
      <c r="R141" s="9" t="s">
        <v>10</v>
      </c>
      <c r="S141" s="9" t="s">
        <v>17</v>
      </c>
      <c r="U141" t="b">
        <f t="shared" si="20"/>
        <v>1</v>
      </c>
      <c r="V141" t="b">
        <f t="shared" si="21"/>
        <v>1</v>
      </c>
      <c r="W141" t="b">
        <f t="shared" si="22"/>
        <v>1</v>
      </c>
      <c r="X141" t="b">
        <f t="shared" si="23"/>
        <v>1</v>
      </c>
      <c r="Y141" t="b">
        <f t="shared" si="24"/>
        <v>1</v>
      </c>
      <c r="Z141" t="b">
        <f t="shared" si="25"/>
        <v>1</v>
      </c>
      <c r="AA141" t="b">
        <f t="shared" si="26"/>
        <v>1</v>
      </c>
      <c r="AB141" t="b">
        <f t="shared" si="27"/>
        <v>1</v>
      </c>
    </row>
    <row r="142" spans="1:28" ht="14.4">
      <c r="A142" s="2" t="s">
        <v>375</v>
      </c>
      <c r="B142" s="2" t="s">
        <v>14</v>
      </c>
      <c r="C142" s="2" t="s">
        <v>11</v>
      </c>
      <c r="D142" s="2" t="s">
        <v>65</v>
      </c>
      <c r="E142" s="2" t="s">
        <v>19</v>
      </c>
      <c r="F142" s="2" t="s">
        <v>186</v>
      </c>
      <c r="G142" s="2" t="s">
        <v>13</v>
      </c>
      <c r="H142" s="2" t="s">
        <v>16</v>
      </c>
      <c r="I142" s="2" t="s">
        <v>10</v>
      </c>
      <c r="J142" t="b">
        <f t="shared" si="19"/>
        <v>1</v>
      </c>
      <c r="K142" s="6" t="s">
        <v>375</v>
      </c>
      <c r="L142" s="7" t="s">
        <v>14</v>
      </c>
      <c r="M142" s="7" t="s">
        <v>11</v>
      </c>
      <c r="N142" s="7" t="s">
        <v>65</v>
      </c>
      <c r="O142" s="7" t="s">
        <v>19</v>
      </c>
      <c r="P142" s="7" t="s">
        <v>186</v>
      </c>
      <c r="Q142" s="7" t="s">
        <v>13</v>
      </c>
      <c r="R142" s="7" t="s">
        <v>16</v>
      </c>
      <c r="S142" s="7" t="s">
        <v>10</v>
      </c>
      <c r="U142" t="b">
        <f t="shared" si="20"/>
        <v>1</v>
      </c>
      <c r="V142" t="b">
        <f t="shared" si="21"/>
        <v>1</v>
      </c>
      <c r="W142" t="b">
        <f t="shared" si="22"/>
        <v>1</v>
      </c>
      <c r="X142" t="b">
        <f t="shared" si="23"/>
        <v>1</v>
      </c>
      <c r="Y142" t="b">
        <f t="shared" si="24"/>
        <v>1</v>
      </c>
      <c r="Z142" t="b">
        <f t="shared" si="25"/>
        <v>1</v>
      </c>
      <c r="AA142" t="b">
        <f t="shared" si="26"/>
        <v>1</v>
      </c>
      <c r="AB142" t="b">
        <f t="shared" si="27"/>
        <v>1</v>
      </c>
    </row>
    <row r="143" spans="1:28" ht="14.4">
      <c r="A143" s="2" t="s">
        <v>374</v>
      </c>
      <c r="B143" s="2" t="s">
        <v>14</v>
      </c>
      <c r="C143" s="2" t="s">
        <v>10</v>
      </c>
      <c r="D143" s="2" t="s">
        <v>65</v>
      </c>
      <c r="E143" s="2" t="s">
        <v>19</v>
      </c>
      <c r="F143" s="2" t="s">
        <v>186</v>
      </c>
      <c r="G143" s="2" t="s">
        <v>13</v>
      </c>
      <c r="H143" s="2" t="s">
        <v>16</v>
      </c>
      <c r="I143" s="2" t="s">
        <v>17</v>
      </c>
      <c r="J143" t="b">
        <f t="shared" si="19"/>
        <v>1</v>
      </c>
      <c r="K143" s="8" t="s">
        <v>374</v>
      </c>
      <c r="L143" s="9" t="s">
        <v>14</v>
      </c>
      <c r="M143" s="9" t="s">
        <v>10</v>
      </c>
      <c r="N143" s="9" t="s">
        <v>65</v>
      </c>
      <c r="O143" s="9" t="s">
        <v>19</v>
      </c>
      <c r="P143" s="9" t="s">
        <v>186</v>
      </c>
      <c r="Q143" s="9" t="s">
        <v>13</v>
      </c>
      <c r="R143" s="9" t="s">
        <v>16</v>
      </c>
      <c r="S143" s="9" t="s">
        <v>17</v>
      </c>
      <c r="U143" t="b">
        <f t="shared" si="20"/>
        <v>1</v>
      </c>
      <c r="V143" t="b">
        <f t="shared" si="21"/>
        <v>1</v>
      </c>
      <c r="W143" t="b">
        <f t="shared" si="22"/>
        <v>1</v>
      </c>
      <c r="X143" t="b">
        <f t="shared" si="23"/>
        <v>1</v>
      </c>
      <c r="Y143" t="b">
        <f t="shared" si="24"/>
        <v>1</v>
      </c>
      <c r="Z143" t="b">
        <f t="shared" si="25"/>
        <v>1</v>
      </c>
      <c r="AA143" t="b">
        <f t="shared" si="26"/>
        <v>1</v>
      </c>
      <c r="AB143" t="b">
        <f t="shared" si="27"/>
        <v>1</v>
      </c>
    </row>
    <row r="144" spans="1:28" ht="14.4">
      <c r="A144" s="2" t="s">
        <v>373</v>
      </c>
      <c r="B144" s="2" t="s">
        <v>10</v>
      </c>
      <c r="C144" s="2" t="s">
        <v>11</v>
      </c>
      <c r="D144" s="2" t="s">
        <v>65</v>
      </c>
      <c r="E144" s="2" t="s">
        <v>19</v>
      </c>
      <c r="F144" s="2" t="s">
        <v>186</v>
      </c>
      <c r="G144" s="2" t="s">
        <v>13</v>
      </c>
      <c r="H144" s="2" t="s">
        <v>12</v>
      </c>
      <c r="I144" s="2" t="s">
        <v>17</v>
      </c>
      <c r="J144" t="b">
        <f t="shared" si="19"/>
        <v>1</v>
      </c>
      <c r="K144" s="6" t="s">
        <v>373</v>
      </c>
      <c r="L144" s="7" t="s">
        <v>10</v>
      </c>
      <c r="M144" s="7" t="s">
        <v>11</v>
      </c>
      <c r="N144" s="7" t="s">
        <v>65</v>
      </c>
      <c r="O144" s="7" t="s">
        <v>19</v>
      </c>
      <c r="P144" s="7" t="s">
        <v>186</v>
      </c>
      <c r="Q144" s="7" t="s">
        <v>13</v>
      </c>
      <c r="R144" s="7" t="s">
        <v>12</v>
      </c>
      <c r="S144" s="7" t="s">
        <v>17</v>
      </c>
      <c r="U144" t="b">
        <f t="shared" si="20"/>
        <v>1</v>
      </c>
      <c r="V144" t="b">
        <f t="shared" si="21"/>
        <v>1</v>
      </c>
      <c r="W144" t="b">
        <f t="shared" si="22"/>
        <v>1</v>
      </c>
      <c r="X144" t="b">
        <f t="shared" si="23"/>
        <v>1</v>
      </c>
      <c r="Y144" t="b">
        <f t="shared" si="24"/>
        <v>1</v>
      </c>
      <c r="Z144" t="b">
        <f t="shared" si="25"/>
        <v>1</v>
      </c>
      <c r="AA144" t="b">
        <f t="shared" si="26"/>
        <v>1</v>
      </c>
      <c r="AB144" t="b">
        <f t="shared" si="27"/>
        <v>1</v>
      </c>
    </row>
    <row r="145" spans="1:28" ht="14.4">
      <c r="A145" s="2" t="s">
        <v>372</v>
      </c>
      <c r="B145" s="2" t="s">
        <v>10</v>
      </c>
      <c r="C145" s="2" t="s">
        <v>11</v>
      </c>
      <c r="D145" s="2" t="s">
        <v>65</v>
      </c>
      <c r="E145" s="2" t="s">
        <v>19</v>
      </c>
      <c r="F145" s="2" t="s">
        <v>186</v>
      </c>
      <c r="G145" s="2" t="s">
        <v>13</v>
      </c>
      <c r="H145" s="2" t="s">
        <v>16</v>
      </c>
      <c r="I145" s="2" t="s">
        <v>12</v>
      </c>
      <c r="J145" t="b">
        <f t="shared" si="19"/>
        <v>1</v>
      </c>
      <c r="K145" s="8" t="s">
        <v>372</v>
      </c>
      <c r="L145" s="9" t="s">
        <v>10</v>
      </c>
      <c r="M145" s="9" t="s">
        <v>11</v>
      </c>
      <c r="N145" s="9" t="s">
        <v>65</v>
      </c>
      <c r="O145" s="9" t="s">
        <v>19</v>
      </c>
      <c r="P145" s="9" t="s">
        <v>186</v>
      </c>
      <c r="Q145" s="9" t="s">
        <v>13</v>
      </c>
      <c r="R145" s="9" t="s">
        <v>16</v>
      </c>
      <c r="S145" s="9" t="s">
        <v>12</v>
      </c>
      <c r="U145" t="b">
        <f t="shared" si="20"/>
        <v>1</v>
      </c>
      <c r="V145" t="b">
        <f t="shared" si="21"/>
        <v>1</v>
      </c>
      <c r="W145" t="b">
        <f t="shared" si="22"/>
        <v>1</v>
      </c>
      <c r="X145" t="b">
        <f t="shared" si="23"/>
        <v>1</v>
      </c>
      <c r="Y145" t="b">
        <f t="shared" si="24"/>
        <v>1</v>
      </c>
      <c r="Z145" t="b">
        <f t="shared" si="25"/>
        <v>1</v>
      </c>
      <c r="AA145" t="b">
        <f t="shared" si="26"/>
        <v>1</v>
      </c>
      <c r="AB145" t="b">
        <f t="shared" si="27"/>
        <v>1</v>
      </c>
    </row>
    <row r="146" spans="1:28" ht="14.4" hidden="1">
      <c r="A146" s="2" t="s">
        <v>371</v>
      </c>
      <c r="B146" s="2" t="s">
        <v>10</v>
      </c>
      <c r="C146" s="2" t="s">
        <v>12</v>
      </c>
      <c r="D146" s="2" t="s">
        <v>65</v>
      </c>
      <c r="E146" s="2" t="s">
        <v>19</v>
      </c>
      <c r="F146" s="2" t="s">
        <v>186</v>
      </c>
      <c r="G146" s="2" t="s">
        <v>13</v>
      </c>
      <c r="H146" s="2" t="s">
        <v>16</v>
      </c>
      <c r="I146" s="2" t="s">
        <v>17</v>
      </c>
      <c r="J146" t="b">
        <f t="shared" si="19"/>
        <v>1</v>
      </c>
      <c r="K146" s="6" t="s">
        <v>371</v>
      </c>
      <c r="L146" s="7" t="s">
        <v>14</v>
      </c>
      <c r="M146" s="7" t="s">
        <v>15</v>
      </c>
      <c r="N146" s="7" t="s">
        <v>65</v>
      </c>
      <c r="O146" s="7" t="s">
        <v>28</v>
      </c>
      <c r="P146" s="7" t="s">
        <v>186</v>
      </c>
      <c r="Q146" s="7" t="s">
        <v>13</v>
      </c>
      <c r="R146" s="7" t="s">
        <v>19</v>
      </c>
      <c r="S146" s="7" t="s">
        <v>10</v>
      </c>
      <c r="U146" t="b">
        <f t="shared" si="20"/>
        <v>0</v>
      </c>
      <c r="V146" t="b">
        <f t="shared" si="21"/>
        <v>0</v>
      </c>
      <c r="W146" t="b">
        <f t="shared" si="22"/>
        <v>1</v>
      </c>
      <c r="X146" t="b">
        <f t="shared" si="23"/>
        <v>0</v>
      </c>
      <c r="Y146" t="b">
        <f t="shared" si="24"/>
        <v>1</v>
      </c>
      <c r="Z146" t="b">
        <f t="shared" si="25"/>
        <v>1</v>
      </c>
      <c r="AA146" t="b">
        <f t="shared" si="26"/>
        <v>0</v>
      </c>
      <c r="AB146" t="b">
        <f t="shared" si="27"/>
        <v>0</v>
      </c>
    </row>
    <row r="147" spans="1:28" ht="14.4">
      <c r="A147" s="2" t="s">
        <v>370</v>
      </c>
      <c r="B147" s="2" t="s">
        <v>10</v>
      </c>
      <c r="C147" s="2" t="s">
        <v>11</v>
      </c>
      <c r="D147" s="2" t="s">
        <v>65</v>
      </c>
      <c r="E147" s="2" t="s">
        <v>19</v>
      </c>
      <c r="F147" s="2" t="s">
        <v>186</v>
      </c>
      <c r="G147" s="2" t="s">
        <v>13</v>
      </c>
      <c r="H147" s="2" t="s">
        <v>16</v>
      </c>
      <c r="I147" s="2" t="s">
        <v>17</v>
      </c>
      <c r="J147" t="b">
        <f t="shared" si="19"/>
        <v>1</v>
      </c>
      <c r="K147" s="8" t="s">
        <v>370</v>
      </c>
      <c r="L147" s="9" t="s">
        <v>10</v>
      </c>
      <c r="M147" s="9" t="s">
        <v>11</v>
      </c>
      <c r="N147" s="9" t="s">
        <v>65</v>
      </c>
      <c r="O147" s="9" t="s">
        <v>19</v>
      </c>
      <c r="P147" s="9" t="s">
        <v>186</v>
      </c>
      <c r="Q147" s="9" t="s">
        <v>13</v>
      </c>
      <c r="R147" s="9" t="s">
        <v>16</v>
      </c>
      <c r="S147" s="9" t="s">
        <v>17</v>
      </c>
      <c r="U147" t="b">
        <f t="shared" si="20"/>
        <v>1</v>
      </c>
      <c r="V147" t="b">
        <f t="shared" si="21"/>
        <v>1</v>
      </c>
      <c r="W147" t="b">
        <f t="shared" si="22"/>
        <v>1</v>
      </c>
      <c r="X147" t="b">
        <f t="shared" si="23"/>
        <v>1</v>
      </c>
      <c r="Y147" t="b">
        <f t="shared" si="24"/>
        <v>1</v>
      </c>
      <c r="Z147" t="b">
        <f t="shared" si="25"/>
        <v>1</v>
      </c>
      <c r="AA147" t="b">
        <f t="shared" si="26"/>
        <v>1</v>
      </c>
      <c r="AB147" t="b">
        <f t="shared" si="27"/>
        <v>1</v>
      </c>
    </row>
    <row r="148" spans="1:28" ht="14.4">
      <c r="A148" s="2" t="s">
        <v>369</v>
      </c>
      <c r="B148" s="2" t="s">
        <v>14</v>
      </c>
      <c r="C148" s="2" t="s">
        <v>11</v>
      </c>
      <c r="D148" s="2" t="s">
        <v>65</v>
      </c>
      <c r="E148" s="2" t="s">
        <v>19</v>
      </c>
      <c r="F148" s="2" t="s">
        <v>186</v>
      </c>
      <c r="G148" s="2" t="s">
        <v>15</v>
      </c>
      <c r="H148" s="2" t="s">
        <v>10</v>
      </c>
      <c r="I148" s="2" t="s">
        <v>12</v>
      </c>
      <c r="J148" t="b">
        <f t="shared" si="19"/>
        <v>1</v>
      </c>
      <c r="K148" s="6" t="s">
        <v>369</v>
      </c>
      <c r="L148" s="7" t="s">
        <v>14</v>
      </c>
      <c r="M148" s="7" t="s">
        <v>11</v>
      </c>
      <c r="N148" s="7" t="s">
        <v>65</v>
      </c>
      <c r="O148" s="7" t="s">
        <v>19</v>
      </c>
      <c r="P148" s="7" t="s">
        <v>186</v>
      </c>
      <c r="Q148" s="7" t="s">
        <v>15</v>
      </c>
      <c r="R148" s="7" t="s">
        <v>10</v>
      </c>
      <c r="S148" s="7" t="s">
        <v>12</v>
      </c>
      <c r="U148" t="b">
        <f t="shared" si="20"/>
        <v>1</v>
      </c>
      <c r="V148" t="b">
        <f t="shared" si="21"/>
        <v>1</v>
      </c>
      <c r="W148" t="b">
        <f t="shared" si="22"/>
        <v>1</v>
      </c>
      <c r="X148" t="b">
        <f t="shared" si="23"/>
        <v>1</v>
      </c>
      <c r="Y148" t="b">
        <f t="shared" si="24"/>
        <v>1</v>
      </c>
      <c r="Z148" t="b">
        <f t="shared" si="25"/>
        <v>1</v>
      </c>
      <c r="AA148" t="b">
        <f t="shared" si="26"/>
        <v>1</v>
      </c>
      <c r="AB148" t="b">
        <f t="shared" si="27"/>
        <v>1</v>
      </c>
    </row>
    <row r="149" spans="1:28" ht="14.4">
      <c r="A149" s="2" t="s">
        <v>368</v>
      </c>
      <c r="B149" s="2" t="s">
        <v>10</v>
      </c>
      <c r="C149" s="2" t="s">
        <v>15</v>
      </c>
      <c r="D149" s="2" t="s">
        <v>65</v>
      </c>
      <c r="E149" s="2" t="s">
        <v>19</v>
      </c>
      <c r="F149" s="2" t="s">
        <v>186</v>
      </c>
      <c r="G149" s="2" t="s">
        <v>14</v>
      </c>
      <c r="H149" s="2" t="s">
        <v>12</v>
      </c>
      <c r="I149" s="2" t="s">
        <v>17</v>
      </c>
      <c r="J149" t="b">
        <f t="shared" si="19"/>
        <v>1</v>
      </c>
      <c r="K149" s="8" t="s">
        <v>368</v>
      </c>
      <c r="L149" s="9" t="s">
        <v>10</v>
      </c>
      <c r="M149" s="9" t="s">
        <v>15</v>
      </c>
      <c r="N149" s="9" t="s">
        <v>65</v>
      </c>
      <c r="O149" s="9" t="s">
        <v>19</v>
      </c>
      <c r="P149" s="9" t="s">
        <v>186</v>
      </c>
      <c r="Q149" s="9" t="s">
        <v>14</v>
      </c>
      <c r="R149" s="9" t="s">
        <v>12</v>
      </c>
      <c r="S149" s="9" t="s">
        <v>17</v>
      </c>
      <c r="U149" t="b">
        <f t="shared" si="20"/>
        <v>1</v>
      </c>
      <c r="V149" t="b">
        <f t="shared" si="21"/>
        <v>1</v>
      </c>
      <c r="W149" t="b">
        <f t="shared" si="22"/>
        <v>1</v>
      </c>
      <c r="X149" t="b">
        <f t="shared" si="23"/>
        <v>1</v>
      </c>
      <c r="Y149" t="b">
        <f t="shared" si="24"/>
        <v>1</v>
      </c>
      <c r="Z149" t="b">
        <f t="shared" si="25"/>
        <v>1</v>
      </c>
      <c r="AA149" t="b">
        <f t="shared" si="26"/>
        <v>1</v>
      </c>
      <c r="AB149" t="b">
        <f t="shared" si="27"/>
        <v>1</v>
      </c>
    </row>
    <row r="150" spans="1:28" ht="14.4">
      <c r="A150" s="2" t="s">
        <v>367</v>
      </c>
      <c r="B150" s="2" t="s">
        <v>10</v>
      </c>
      <c r="C150" s="2" t="s">
        <v>15</v>
      </c>
      <c r="D150" s="2" t="s">
        <v>65</v>
      </c>
      <c r="E150" s="2" t="s">
        <v>19</v>
      </c>
      <c r="F150" s="2" t="s">
        <v>186</v>
      </c>
      <c r="G150" s="2" t="s">
        <v>14</v>
      </c>
      <c r="H150" s="2" t="s">
        <v>16</v>
      </c>
      <c r="I150" s="2" t="s">
        <v>12</v>
      </c>
      <c r="J150" t="b">
        <f t="shared" si="19"/>
        <v>1</v>
      </c>
      <c r="K150" s="6" t="s">
        <v>367</v>
      </c>
      <c r="L150" s="7" t="s">
        <v>10</v>
      </c>
      <c r="M150" s="7" t="s">
        <v>15</v>
      </c>
      <c r="N150" s="7" t="s">
        <v>65</v>
      </c>
      <c r="O150" s="7" t="s">
        <v>19</v>
      </c>
      <c r="P150" s="7" t="s">
        <v>186</v>
      </c>
      <c r="Q150" s="7" t="s">
        <v>14</v>
      </c>
      <c r="R150" s="7" t="s">
        <v>16</v>
      </c>
      <c r="S150" s="7" t="s">
        <v>12</v>
      </c>
      <c r="U150" t="b">
        <f t="shared" si="20"/>
        <v>1</v>
      </c>
      <c r="V150" t="b">
        <f t="shared" si="21"/>
        <v>1</v>
      </c>
      <c r="W150" t="b">
        <f t="shared" si="22"/>
        <v>1</v>
      </c>
      <c r="X150" t="b">
        <f t="shared" si="23"/>
        <v>1</v>
      </c>
      <c r="Y150" t="b">
        <f t="shared" si="24"/>
        <v>1</v>
      </c>
      <c r="Z150" t="b">
        <f t="shared" si="25"/>
        <v>1</v>
      </c>
      <c r="AA150" t="b">
        <f t="shared" si="26"/>
        <v>1</v>
      </c>
      <c r="AB150" t="b">
        <f t="shared" si="27"/>
        <v>1</v>
      </c>
    </row>
    <row r="151" spans="1:28" ht="14.4">
      <c r="A151" s="2" t="s">
        <v>366</v>
      </c>
      <c r="B151" s="2" t="s">
        <v>14</v>
      </c>
      <c r="C151" s="2" t="s">
        <v>11</v>
      </c>
      <c r="D151" s="2" t="s">
        <v>65</v>
      </c>
      <c r="E151" s="2" t="s">
        <v>19</v>
      </c>
      <c r="F151" s="2" t="s">
        <v>186</v>
      </c>
      <c r="G151" s="2" t="s">
        <v>15</v>
      </c>
      <c r="H151" s="2" t="s">
        <v>10</v>
      </c>
      <c r="I151" s="2" t="s">
        <v>17</v>
      </c>
      <c r="J151" t="b">
        <f t="shared" si="19"/>
        <v>1</v>
      </c>
      <c r="K151" s="8" t="s">
        <v>366</v>
      </c>
      <c r="L151" s="9" t="s">
        <v>14</v>
      </c>
      <c r="M151" s="9" t="s">
        <v>11</v>
      </c>
      <c r="N151" s="9" t="s">
        <v>65</v>
      </c>
      <c r="O151" s="9" t="s">
        <v>19</v>
      </c>
      <c r="P151" s="9" t="s">
        <v>186</v>
      </c>
      <c r="Q151" s="9" t="s">
        <v>15</v>
      </c>
      <c r="R151" s="9" t="s">
        <v>10</v>
      </c>
      <c r="S151" s="9" t="s">
        <v>17</v>
      </c>
      <c r="U151" t="b">
        <f t="shared" si="20"/>
        <v>1</v>
      </c>
      <c r="V151" t="b">
        <f t="shared" si="21"/>
        <v>1</v>
      </c>
      <c r="W151" t="b">
        <f t="shared" si="22"/>
        <v>1</v>
      </c>
      <c r="X151" t="b">
        <f t="shared" si="23"/>
        <v>1</v>
      </c>
      <c r="Y151" t="b">
        <f t="shared" si="24"/>
        <v>1</v>
      </c>
      <c r="Z151" t="b">
        <f t="shared" si="25"/>
        <v>1</v>
      </c>
      <c r="AA151" t="b">
        <f t="shared" si="26"/>
        <v>1</v>
      </c>
      <c r="AB151" t="b">
        <f t="shared" si="27"/>
        <v>1</v>
      </c>
    </row>
    <row r="152" spans="1:28" ht="14.4">
      <c r="A152" s="2" t="s">
        <v>365</v>
      </c>
      <c r="B152" s="2" t="s">
        <v>14</v>
      </c>
      <c r="C152" s="2" t="s">
        <v>11</v>
      </c>
      <c r="D152" s="2" t="s">
        <v>65</v>
      </c>
      <c r="E152" s="2" t="s">
        <v>19</v>
      </c>
      <c r="F152" s="2" t="s">
        <v>186</v>
      </c>
      <c r="G152" s="2" t="s">
        <v>15</v>
      </c>
      <c r="H152" s="2" t="s">
        <v>16</v>
      </c>
      <c r="I152" s="2" t="s">
        <v>10</v>
      </c>
      <c r="J152" t="b">
        <f t="shared" si="19"/>
        <v>1</v>
      </c>
      <c r="K152" s="6" t="s">
        <v>365</v>
      </c>
      <c r="L152" s="7" t="s">
        <v>14</v>
      </c>
      <c r="M152" s="7" t="s">
        <v>11</v>
      </c>
      <c r="N152" s="7" t="s">
        <v>65</v>
      </c>
      <c r="O152" s="7" t="s">
        <v>19</v>
      </c>
      <c r="P152" s="7" t="s">
        <v>186</v>
      </c>
      <c r="Q152" s="7" t="s">
        <v>15</v>
      </c>
      <c r="R152" s="7" t="s">
        <v>16</v>
      </c>
      <c r="S152" s="7" t="s">
        <v>10</v>
      </c>
      <c r="U152" t="b">
        <f t="shared" si="20"/>
        <v>1</v>
      </c>
      <c r="V152" t="b">
        <f t="shared" si="21"/>
        <v>1</v>
      </c>
      <c r="W152" t="b">
        <f t="shared" si="22"/>
        <v>1</v>
      </c>
      <c r="X152" t="b">
        <f t="shared" si="23"/>
        <v>1</v>
      </c>
      <c r="Y152" t="b">
        <f t="shared" si="24"/>
        <v>1</v>
      </c>
      <c r="Z152" t="b">
        <f t="shared" si="25"/>
        <v>1</v>
      </c>
      <c r="AA152" t="b">
        <f t="shared" si="26"/>
        <v>1</v>
      </c>
      <c r="AB152" t="b">
        <f t="shared" si="27"/>
        <v>1</v>
      </c>
    </row>
    <row r="153" spans="1:28" ht="14.4">
      <c r="A153" s="2" t="s">
        <v>364</v>
      </c>
      <c r="B153" s="2" t="s">
        <v>10</v>
      </c>
      <c r="C153" s="2" t="s">
        <v>15</v>
      </c>
      <c r="D153" s="2" t="s">
        <v>65</v>
      </c>
      <c r="E153" s="2" t="s">
        <v>19</v>
      </c>
      <c r="F153" s="2" t="s">
        <v>186</v>
      </c>
      <c r="G153" s="2" t="s">
        <v>14</v>
      </c>
      <c r="H153" s="2" t="s">
        <v>16</v>
      </c>
      <c r="I153" s="2" t="s">
        <v>17</v>
      </c>
      <c r="J153" t="b">
        <f t="shared" si="19"/>
        <v>1</v>
      </c>
      <c r="K153" s="8" t="s">
        <v>364</v>
      </c>
      <c r="L153" s="9" t="s">
        <v>10</v>
      </c>
      <c r="M153" s="9" t="s">
        <v>15</v>
      </c>
      <c r="N153" s="9" t="s">
        <v>65</v>
      </c>
      <c r="O153" s="9" t="s">
        <v>19</v>
      </c>
      <c r="P153" s="9" t="s">
        <v>186</v>
      </c>
      <c r="Q153" s="9" t="s">
        <v>14</v>
      </c>
      <c r="R153" s="9" t="s">
        <v>16</v>
      </c>
      <c r="S153" s="9" t="s">
        <v>17</v>
      </c>
      <c r="U153" t="b">
        <f t="shared" si="20"/>
        <v>1</v>
      </c>
      <c r="V153" t="b">
        <f t="shared" si="21"/>
        <v>1</v>
      </c>
      <c r="W153" t="b">
        <f t="shared" si="22"/>
        <v>1</v>
      </c>
      <c r="X153" t="b">
        <f t="shared" si="23"/>
        <v>1</v>
      </c>
      <c r="Y153" t="b">
        <f t="shared" si="24"/>
        <v>1</v>
      </c>
      <c r="Z153" t="b">
        <f t="shared" si="25"/>
        <v>1</v>
      </c>
      <c r="AA153" t="b">
        <f t="shared" si="26"/>
        <v>1</v>
      </c>
      <c r="AB153" t="b">
        <f t="shared" si="27"/>
        <v>1</v>
      </c>
    </row>
    <row r="154" spans="1:28" ht="14.4">
      <c r="A154" s="2" t="s">
        <v>363</v>
      </c>
      <c r="B154" s="2" t="s">
        <v>10</v>
      </c>
      <c r="C154" s="2" t="s">
        <v>11</v>
      </c>
      <c r="D154" s="2" t="s">
        <v>65</v>
      </c>
      <c r="E154" s="2" t="s">
        <v>19</v>
      </c>
      <c r="F154" s="2" t="s">
        <v>186</v>
      </c>
      <c r="G154" s="2" t="s">
        <v>15</v>
      </c>
      <c r="H154" s="2" t="s">
        <v>12</v>
      </c>
      <c r="I154" s="2" t="s">
        <v>17</v>
      </c>
      <c r="J154" t="b">
        <f t="shared" si="19"/>
        <v>1</v>
      </c>
      <c r="K154" s="6" t="s">
        <v>363</v>
      </c>
      <c r="L154" s="7" t="s">
        <v>10</v>
      </c>
      <c r="M154" s="7" t="s">
        <v>11</v>
      </c>
      <c r="N154" s="7" t="s">
        <v>65</v>
      </c>
      <c r="O154" s="7" t="s">
        <v>19</v>
      </c>
      <c r="P154" s="7" t="s">
        <v>186</v>
      </c>
      <c r="Q154" s="7" t="s">
        <v>15</v>
      </c>
      <c r="R154" s="7" t="s">
        <v>12</v>
      </c>
      <c r="S154" s="7" t="s">
        <v>17</v>
      </c>
      <c r="U154" t="b">
        <f t="shared" si="20"/>
        <v>1</v>
      </c>
      <c r="V154" t="b">
        <f t="shared" si="21"/>
        <v>1</v>
      </c>
      <c r="W154" t="b">
        <f t="shared" si="22"/>
        <v>1</v>
      </c>
      <c r="X154" t="b">
        <f t="shared" si="23"/>
        <v>1</v>
      </c>
      <c r="Y154" t="b">
        <f t="shared" si="24"/>
        <v>1</v>
      </c>
      <c r="Z154" t="b">
        <f t="shared" si="25"/>
        <v>1</v>
      </c>
      <c r="AA154" t="b">
        <f t="shared" si="26"/>
        <v>1</v>
      </c>
      <c r="AB154" t="b">
        <f t="shared" si="27"/>
        <v>1</v>
      </c>
    </row>
    <row r="155" spans="1:28" ht="14.4">
      <c r="A155" s="2" t="s">
        <v>362</v>
      </c>
      <c r="B155" s="2" t="s">
        <v>10</v>
      </c>
      <c r="C155" s="2" t="s">
        <v>11</v>
      </c>
      <c r="D155" s="2" t="s">
        <v>65</v>
      </c>
      <c r="E155" s="2" t="s">
        <v>19</v>
      </c>
      <c r="F155" s="2" t="s">
        <v>186</v>
      </c>
      <c r="G155" s="2" t="s">
        <v>15</v>
      </c>
      <c r="H155" s="2" t="s">
        <v>16</v>
      </c>
      <c r="I155" s="2" t="s">
        <v>12</v>
      </c>
      <c r="J155" t="b">
        <f t="shared" si="19"/>
        <v>1</v>
      </c>
      <c r="K155" s="8" t="s">
        <v>362</v>
      </c>
      <c r="L155" s="9" t="s">
        <v>10</v>
      </c>
      <c r="M155" s="9" t="s">
        <v>11</v>
      </c>
      <c r="N155" s="9" t="s">
        <v>65</v>
      </c>
      <c r="O155" s="9" t="s">
        <v>19</v>
      </c>
      <c r="P155" s="9" t="s">
        <v>186</v>
      </c>
      <c r="Q155" s="9" t="s">
        <v>15</v>
      </c>
      <c r="R155" s="9" t="s">
        <v>16</v>
      </c>
      <c r="S155" s="9" t="s">
        <v>12</v>
      </c>
      <c r="U155" t="b">
        <f t="shared" si="20"/>
        <v>1</v>
      </c>
      <c r="V155" t="b">
        <f t="shared" si="21"/>
        <v>1</v>
      </c>
      <c r="W155" t="b">
        <f t="shared" si="22"/>
        <v>1</v>
      </c>
      <c r="X155" t="b">
        <f t="shared" si="23"/>
        <v>1</v>
      </c>
      <c r="Y155" t="b">
        <f t="shared" si="24"/>
        <v>1</v>
      </c>
      <c r="Z155" t="b">
        <f t="shared" si="25"/>
        <v>1</v>
      </c>
      <c r="AA155" t="b">
        <f t="shared" si="26"/>
        <v>1</v>
      </c>
      <c r="AB155" t="b">
        <f t="shared" si="27"/>
        <v>1</v>
      </c>
    </row>
    <row r="156" spans="1:28" ht="14.4">
      <c r="A156" s="2" t="s">
        <v>361</v>
      </c>
      <c r="B156" s="2" t="s">
        <v>10</v>
      </c>
      <c r="C156" s="2" t="s">
        <v>15</v>
      </c>
      <c r="D156" s="2" t="s">
        <v>65</v>
      </c>
      <c r="E156" s="2" t="s">
        <v>186</v>
      </c>
      <c r="F156" s="2" t="s">
        <v>12</v>
      </c>
      <c r="G156" s="2" t="s">
        <v>19</v>
      </c>
      <c r="H156" s="2" t="s">
        <v>16</v>
      </c>
      <c r="I156" s="2" t="s">
        <v>17</v>
      </c>
      <c r="J156" t="b">
        <f t="shared" si="19"/>
        <v>1</v>
      </c>
      <c r="K156" s="6" t="s">
        <v>361</v>
      </c>
      <c r="L156" s="7" t="s">
        <v>10</v>
      </c>
      <c r="M156" s="7" t="s">
        <v>15</v>
      </c>
      <c r="N156" s="7" t="s">
        <v>65</v>
      </c>
      <c r="O156" s="7" t="s">
        <v>186</v>
      </c>
      <c r="P156" s="7" t="s">
        <v>12</v>
      </c>
      <c r="Q156" s="7" t="s">
        <v>19</v>
      </c>
      <c r="R156" s="7" t="s">
        <v>16</v>
      </c>
      <c r="S156" s="7" t="s">
        <v>17</v>
      </c>
      <c r="U156" t="b">
        <f t="shared" si="20"/>
        <v>1</v>
      </c>
      <c r="V156" t="b">
        <f t="shared" si="21"/>
        <v>1</v>
      </c>
      <c r="W156" t="b">
        <f t="shared" si="22"/>
        <v>1</v>
      </c>
      <c r="X156" t="b">
        <f t="shared" si="23"/>
        <v>1</v>
      </c>
      <c r="Y156" t="b">
        <f t="shared" si="24"/>
        <v>1</v>
      </c>
      <c r="Z156" t="b">
        <f t="shared" si="25"/>
        <v>1</v>
      </c>
      <c r="AA156" t="b">
        <f t="shared" si="26"/>
        <v>1</v>
      </c>
      <c r="AB156" t="b">
        <f t="shared" si="27"/>
        <v>1</v>
      </c>
    </row>
    <row r="157" spans="1:28" ht="14.4">
      <c r="A157" s="2" t="s">
        <v>360</v>
      </c>
      <c r="B157" s="2" t="s">
        <v>10</v>
      </c>
      <c r="C157" s="2" t="s">
        <v>11</v>
      </c>
      <c r="D157" s="2" t="s">
        <v>65</v>
      </c>
      <c r="E157" s="2" t="s">
        <v>19</v>
      </c>
      <c r="F157" s="2" t="s">
        <v>186</v>
      </c>
      <c r="G157" s="2" t="s">
        <v>15</v>
      </c>
      <c r="H157" s="2" t="s">
        <v>16</v>
      </c>
      <c r="I157" s="2" t="s">
        <v>17</v>
      </c>
      <c r="J157" t="b">
        <f t="shared" si="19"/>
        <v>1</v>
      </c>
      <c r="K157" s="8" t="s">
        <v>360</v>
      </c>
      <c r="L157" s="9" t="s">
        <v>10</v>
      </c>
      <c r="M157" s="9" t="s">
        <v>11</v>
      </c>
      <c r="N157" s="9" t="s">
        <v>65</v>
      </c>
      <c r="O157" s="9" t="s">
        <v>19</v>
      </c>
      <c r="P157" s="9" t="s">
        <v>186</v>
      </c>
      <c r="Q157" s="9" t="s">
        <v>15</v>
      </c>
      <c r="R157" s="9" t="s">
        <v>16</v>
      </c>
      <c r="S157" s="9" t="s">
        <v>17</v>
      </c>
      <c r="U157" t="b">
        <f t="shared" si="20"/>
        <v>1</v>
      </c>
      <c r="V157" t="b">
        <f t="shared" si="21"/>
        <v>1</v>
      </c>
      <c r="W157" t="b">
        <f t="shared" si="22"/>
        <v>1</v>
      </c>
      <c r="X157" t="b">
        <f t="shared" si="23"/>
        <v>1</v>
      </c>
      <c r="Y157" t="b">
        <f t="shared" si="24"/>
        <v>1</v>
      </c>
      <c r="Z157" t="b">
        <f t="shared" si="25"/>
        <v>1</v>
      </c>
      <c r="AA157" t="b">
        <f t="shared" si="26"/>
        <v>1</v>
      </c>
      <c r="AB157" t="b">
        <f t="shared" si="27"/>
        <v>1</v>
      </c>
    </row>
    <row r="158" spans="1:28" ht="14.4">
      <c r="A158" s="2" t="s">
        <v>359</v>
      </c>
      <c r="B158" s="2" t="s">
        <v>10</v>
      </c>
      <c r="C158" s="2" t="s">
        <v>11</v>
      </c>
      <c r="D158" s="2" t="s">
        <v>65</v>
      </c>
      <c r="E158" s="2" t="s">
        <v>19</v>
      </c>
      <c r="F158" s="2" t="s">
        <v>186</v>
      </c>
      <c r="G158" s="2" t="s">
        <v>14</v>
      </c>
      <c r="H158" s="2" t="s">
        <v>12</v>
      </c>
      <c r="I158" s="2" t="s">
        <v>17</v>
      </c>
      <c r="J158" t="b">
        <f t="shared" si="19"/>
        <v>1</v>
      </c>
      <c r="K158" s="6" t="s">
        <v>359</v>
      </c>
      <c r="L158" s="7" t="s">
        <v>10</v>
      </c>
      <c r="M158" s="7" t="s">
        <v>11</v>
      </c>
      <c r="N158" s="7" t="s">
        <v>65</v>
      </c>
      <c r="O158" s="7" t="s">
        <v>19</v>
      </c>
      <c r="P158" s="7" t="s">
        <v>186</v>
      </c>
      <c r="Q158" s="7" t="s">
        <v>14</v>
      </c>
      <c r="R158" s="7" t="s">
        <v>12</v>
      </c>
      <c r="S158" s="7" t="s">
        <v>17</v>
      </c>
      <c r="U158" t="b">
        <f t="shared" si="20"/>
        <v>1</v>
      </c>
      <c r="V158" t="b">
        <f t="shared" si="21"/>
        <v>1</v>
      </c>
      <c r="W158" t="b">
        <f t="shared" si="22"/>
        <v>1</v>
      </c>
      <c r="X158" t="b">
        <f t="shared" si="23"/>
        <v>1</v>
      </c>
      <c r="Y158" t="b">
        <f t="shared" si="24"/>
        <v>1</v>
      </c>
      <c r="Z158" t="b">
        <f t="shared" si="25"/>
        <v>1</v>
      </c>
      <c r="AA158" t="b">
        <f t="shared" si="26"/>
        <v>1</v>
      </c>
      <c r="AB158" t="b">
        <f t="shared" si="27"/>
        <v>1</v>
      </c>
    </row>
    <row r="159" spans="1:28" ht="14.4" hidden="1">
      <c r="A159" s="2" t="s">
        <v>358</v>
      </c>
      <c r="B159" s="2" t="s">
        <v>10</v>
      </c>
      <c r="C159" s="2" t="s">
        <v>11</v>
      </c>
      <c r="D159" s="2" t="s">
        <v>65</v>
      </c>
      <c r="E159" s="2" t="s">
        <v>19</v>
      </c>
      <c r="F159" s="2" t="s">
        <v>186</v>
      </c>
      <c r="G159" s="2" t="s">
        <v>14</v>
      </c>
      <c r="H159" s="2" t="s">
        <v>16</v>
      </c>
      <c r="I159" s="2" t="s">
        <v>12</v>
      </c>
      <c r="J159" t="b">
        <f t="shared" si="19"/>
        <v>1</v>
      </c>
      <c r="K159" s="8" t="s">
        <v>358</v>
      </c>
      <c r="L159" s="9" t="s">
        <v>10</v>
      </c>
      <c r="M159" s="9" t="s">
        <v>11</v>
      </c>
      <c r="N159" s="9" t="s">
        <v>65</v>
      </c>
      <c r="O159" s="9" t="s">
        <v>186</v>
      </c>
      <c r="P159" s="9" t="s">
        <v>12</v>
      </c>
      <c r="Q159" s="9" t="s">
        <v>19</v>
      </c>
      <c r="R159" s="9" t="s">
        <v>16</v>
      </c>
      <c r="S159" s="9" t="s">
        <v>17</v>
      </c>
      <c r="U159" t="b">
        <f t="shared" si="20"/>
        <v>1</v>
      </c>
      <c r="V159" t="b">
        <f t="shared" si="21"/>
        <v>1</v>
      </c>
      <c r="W159" t="b">
        <f t="shared" si="22"/>
        <v>1</v>
      </c>
      <c r="X159" t="b">
        <f t="shared" si="23"/>
        <v>0</v>
      </c>
      <c r="Y159" t="b">
        <f t="shared" si="24"/>
        <v>0</v>
      </c>
      <c r="Z159" t="b">
        <f t="shared" si="25"/>
        <v>0</v>
      </c>
      <c r="AA159" t="b">
        <f t="shared" si="26"/>
        <v>1</v>
      </c>
      <c r="AB159" t="b">
        <f t="shared" si="27"/>
        <v>0</v>
      </c>
    </row>
    <row r="160" spans="1:28" ht="14.4">
      <c r="A160" s="2" t="s">
        <v>357</v>
      </c>
      <c r="B160" s="2" t="s">
        <v>10</v>
      </c>
      <c r="C160" s="2" t="s">
        <v>12</v>
      </c>
      <c r="D160" s="2" t="s">
        <v>65</v>
      </c>
      <c r="E160" s="2" t="s">
        <v>19</v>
      </c>
      <c r="F160" s="2" t="s">
        <v>186</v>
      </c>
      <c r="G160" s="2" t="s">
        <v>14</v>
      </c>
      <c r="H160" s="2" t="s">
        <v>16</v>
      </c>
      <c r="I160" s="2" t="s">
        <v>17</v>
      </c>
      <c r="J160" t="b">
        <f t="shared" si="19"/>
        <v>1</v>
      </c>
      <c r="K160" s="6" t="s">
        <v>357</v>
      </c>
      <c r="L160" s="7" t="s">
        <v>10</v>
      </c>
      <c r="M160" s="7" t="s">
        <v>12</v>
      </c>
      <c r="N160" s="7" t="s">
        <v>65</v>
      </c>
      <c r="O160" s="7" t="s">
        <v>19</v>
      </c>
      <c r="P160" s="7" t="s">
        <v>186</v>
      </c>
      <c r="Q160" s="7" t="s">
        <v>14</v>
      </c>
      <c r="R160" s="7" t="s">
        <v>16</v>
      </c>
      <c r="S160" s="7" t="s">
        <v>17</v>
      </c>
      <c r="U160" t="b">
        <f t="shared" si="20"/>
        <v>1</v>
      </c>
      <c r="V160" t="b">
        <f t="shared" si="21"/>
        <v>1</v>
      </c>
      <c r="W160" t="b">
        <f t="shared" si="22"/>
        <v>1</v>
      </c>
      <c r="X160" t="b">
        <f t="shared" si="23"/>
        <v>1</v>
      </c>
      <c r="Y160" t="b">
        <f t="shared" si="24"/>
        <v>1</v>
      </c>
      <c r="Z160" t="b">
        <f t="shared" si="25"/>
        <v>1</v>
      </c>
      <c r="AA160" t="b">
        <f t="shared" si="26"/>
        <v>1</v>
      </c>
      <c r="AB160" t="b">
        <f t="shared" si="27"/>
        <v>1</v>
      </c>
    </row>
    <row r="161" spans="1:28" ht="14.4">
      <c r="A161" s="2" t="s">
        <v>356</v>
      </c>
      <c r="B161" s="2" t="s">
        <v>10</v>
      </c>
      <c r="C161" s="2" t="s">
        <v>11</v>
      </c>
      <c r="D161" s="2" t="s">
        <v>65</v>
      </c>
      <c r="E161" s="2" t="s">
        <v>19</v>
      </c>
      <c r="F161" s="2" t="s">
        <v>186</v>
      </c>
      <c r="G161" s="2" t="s">
        <v>14</v>
      </c>
      <c r="H161" s="2" t="s">
        <v>16</v>
      </c>
      <c r="I161" s="2" t="s">
        <v>17</v>
      </c>
      <c r="J161" t="b">
        <f t="shared" si="19"/>
        <v>1</v>
      </c>
      <c r="K161" s="8" t="s">
        <v>356</v>
      </c>
      <c r="L161" s="9" t="s">
        <v>10</v>
      </c>
      <c r="M161" s="9" t="s">
        <v>11</v>
      </c>
      <c r="N161" s="9" t="s">
        <v>65</v>
      </c>
      <c r="O161" s="9" t="s">
        <v>19</v>
      </c>
      <c r="P161" s="9" t="s">
        <v>186</v>
      </c>
      <c r="Q161" s="9" t="s">
        <v>14</v>
      </c>
      <c r="R161" s="9" t="s">
        <v>16</v>
      </c>
      <c r="S161" s="9" t="s">
        <v>17</v>
      </c>
      <c r="U161" t="b">
        <f t="shared" si="20"/>
        <v>1</v>
      </c>
      <c r="V161" t="b">
        <f t="shared" si="21"/>
        <v>1</v>
      </c>
      <c r="W161" t="b">
        <f t="shared" si="22"/>
        <v>1</v>
      </c>
      <c r="X161" t="b">
        <f t="shared" si="23"/>
        <v>1</v>
      </c>
      <c r="Y161" t="b">
        <f t="shared" si="24"/>
        <v>1</v>
      </c>
      <c r="Z161" t="b">
        <f t="shared" si="25"/>
        <v>1</v>
      </c>
      <c r="AA161" t="b">
        <f t="shared" si="26"/>
        <v>1</v>
      </c>
      <c r="AB161" t="b">
        <f t="shared" si="27"/>
        <v>1</v>
      </c>
    </row>
    <row r="162" spans="1:28" ht="14.4" hidden="1">
      <c r="A162" s="2" t="s">
        <v>355</v>
      </c>
      <c r="B162" s="2" t="s">
        <v>10</v>
      </c>
      <c r="C162" s="2" t="s">
        <v>11</v>
      </c>
      <c r="D162" s="2" t="s">
        <v>65</v>
      </c>
      <c r="E162" s="2" t="s">
        <v>186</v>
      </c>
      <c r="F162" s="2" t="s">
        <v>12</v>
      </c>
      <c r="G162" s="2" t="s">
        <v>19</v>
      </c>
      <c r="H162" s="2" t="s">
        <v>16</v>
      </c>
      <c r="I162" s="2" t="s">
        <v>17</v>
      </c>
      <c r="J162" t="b">
        <f t="shared" si="19"/>
        <v>1</v>
      </c>
      <c r="K162" s="6" t="s">
        <v>355</v>
      </c>
      <c r="L162" s="7" t="s">
        <v>14</v>
      </c>
      <c r="M162" s="7" t="s">
        <v>15</v>
      </c>
      <c r="N162" s="7" t="s">
        <v>65</v>
      </c>
      <c r="O162" s="7" t="s">
        <v>28</v>
      </c>
      <c r="P162" s="7" t="s">
        <v>186</v>
      </c>
      <c r="Q162" s="7" t="s">
        <v>13</v>
      </c>
      <c r="R162" s="7" t="s">
        <v>19</v>
      </c>
      <c r="S162" s="7" t="s">
        <v>10</v>
      </c>
      <c r="U162" t="b">
        <f t="shared" si="20"/>
        <v>0</v>
      </c>
      <c r="V162" t="b">
        <f t="shared" si="21"/>
        <v>0</v>
      </c>
      <c r="W162" t="b">
        <f t="shared" si="22"/>
        <v>1</v>
      </c>
      <c r="X162" t="b">
        <f t="shared" si="23"/>
        <v>0</v>
      </c>
      <c r="Y162" t="b">
        <f t="shared" si="24"/>
        <v>0</v>
      </c>
      <c r="Z162" t="b">
        <f t="shared" si="25"/>
        <v>0</v>
      </c>
      <c r="AA162" t="b">
        <f t="shared" si="26"/>
        <v>0</v>
      </c>
      <c r="AB162" t="b">
        <f t="shared" si="27"/>
        <v>0</v>
      </c>
    </row>
    <row r="163" spans="1:28" ht="14.4">
      <c r="A163" s="2" t="s">
        <v>354</v>
      </c>
      <c r="B163" s="2" t="s">
        <v>14</v>
      </c>
      <c r="C163" s="2" t="s">
        <v>15</v>
      </c>
      <c r="D163" s="2" t="s">
        <v>65</v>
      </c>
      <c r="E163" s="2" t="s">
        <v>19</v>
      </c>
      <c r="F163" s="2" t="s">
        <v>186</v>
      </c>
      <c r="G163" s="2" t="s">
        <v>13</v>
      </c>
      <c r="H163" s="2" t="s">
        <v>12</v>
      </c>
      <c r="I163" s="2" t="s">
        <v>11</v>
      </c>
      <c r="J163" t="b">
        <f t="shared" si="19"/>
        <v>1</v>
      </c>
      <c r="K163" s="8" t="s">
        <v>354</v>
      </c>
      <c r="L163" s="9" t="s">
        <v>14</v>
      </c>
      <c r="M163" s="9" t="s">
        <v>15</v>
      </c>
      <c r="N163" s="9" t="s">
        <v>65</v>
      </c>
      <c r="O163" s="9" t="s">
        <v>19</v>
      </c>
      <c r="P163" s="9" t="s">
        <v>186</v>
      </c>
      <c r="Q163" s="9" t="s">
        <v>13</v>
      </c>
      <c r="R163" s="9" t="s">
        <v>12</v>
      </c>
      <c r="S163" s="9" t="s">
        <v>11</v>
      </c>
      <c r="U163" t="b">
        <f t="shared" si="20"/>
        <v>1</v>
      </c>
      <c r="V163" t="b">
        <f t="shared" si="21"/>
        <v>1</v>
      </c>
      <c r="W163" t="b">
        <f t="shared" si="22"/>
        <v>1</v>
      </c>
      <c r="X163" t="b">
        <f t="shared" si="23"/>
        <v>1</v>
      </c>
      <c r="Y163" t="b">
        <f t="shared" si="24"/>
        <v>1</v>
      </c>
      <c r="Z163" t="b">
        <f t="shared" si="25"/>
        <v>1</v>
      </c>
      <c r="AA163" t="b">
        <f t="shared" si="26"/>
        <v>1</v>
      </c>
      <c r="AB163" t="b">
        <f t="shared" si="27"/>
        <v>1</v>
      </c>
    </row>
    <row r="164" spans="1:28" ht="14.4">
      <c r="A164" s="2" t="s">
        <v>353</v>
      </c>
      <c r="B164" s="2" t="s">
        <v>14</v>
      </c>
      <c r="C164" s="2" t="s">
        <v>15</v>
      </c>
      <c r="D164" s="2" t="s">
        <v>65</v>
      </c>
      <c r="E164" s="2" t="s">
        <v>19</v>
      </c>
      <c r="F164" s="2" t="s">
        <v>186</v>
      </c>
      <c r="G164" s="2" t="s">
        <v>13</v>
      </c>
      <c r="H164" s="2" t="s">
        <v>12</v>
      </c>
      <c r="I164" s="2" t="s">
        <v>17</v>
      </c>
      <c r="J164" t="b">
        <f t="shared" si="19"/>
        <v>1</v>
      </c>
      <c r="K164" s="6" t="s">
        <v>353</v>
      </c>
      <c r="L164" s="7" t="s">
        <v>14</v>
      </c>
      <c r="M164" s="7" t="s">
        <v>15</v>
      </c>
      <c r="N164" s="7" t="s">
        <v>65</v>
      </c>
      <c r="O164" s="7" t="s">
        <v>19</v>
      </c>
      <c r="P164" s="7" t="s">
        <v>186</v>
      </c>
      <c r="Q164" s="7" t="s">
        <v>13</v>
      </c>
      <c r="R164" s="7" t="s">
        <v>12</v>
      </c>
      <c r="S164" s="7" t="s">
        <v>17</v>
      </c>
      <c r="U164" t="b">
        <f t="shared" si="20"/>
        <v>1</v>
      </c>
      <c r="V164" t="b">
        <f t="shared" si="21"/>
        <v>1</v>
      </c>
      <c r="W164" t="b">
        <f t="shared" si="22"/>
        <v>1</v>
      </c>
      <c r="X164" t="b">
        <f t="shared" si="23"/>
        <v>1</v>
      </c>
      <c r="Y164" t="b">
        <f t="shared" si="24"/>
        <v>1</v>
      </c>
      <c r="Z164" t="b">
        <f t="shared" si="25"/>
        <v>1</v>
      </c>
      <c r="AA164" t="b">
        <f t="shared" si="26"/>
        <v>1</v>
      </c>
      <c r="AB164" t="b">
        <f t="shared" si="27"/>
        <v>1</v>
      </c>
    </row>
    <row r="165" spans="1:28" ht="14.4">
      <c r="A165" s="2" t="s">
        <v>352</v>
      </c>
      <c r="B165" s="2" t="s">
        <v>14</v>
      </c>
      <c r="C165" s="2" t="s">
        <v>15</v>
      </c>
      <c r="D165" s="2" t="s">
        <v>65</v>
      </c>
      <c r="E165" s="2" t="s">
        <v>19</v>
      </c>
      <c r="F165" s="2" t="s">
        <v>186</v>
      </c>
      <c r="G165" s="2" t="s">
        <v>13</v>
      </c>
      <c r="H165" s="2" t="s">
        <v>16</v>
      </c>
      <c r="I165" s="2" t="s">
        <v>12</v>
      </c>
      <c r="J165" t="b">
        <f t="shared" si="19"/>
        <v>1</v>
      </c>
      <c r="K165" s="8" t="s">
        <v>352</v>
      </c>
      <c r="L165" s="9" t="s">
        <v>14</v>
      </c>
      <c r="M165" s="9" t="s">
        <v>15</v>
      </c>
      <c r="N165" s="9" t="s">
        <v>65</v>
      </c>
      <c r="O165" s="9" t="s">
        <v>19</v>
      </c>
      <c r="P165" s="9" t="s">
        <v>186</v>
      </c>
      <c r="Q165" s="9" t="s">
        <v>13</v>
      </c>
      <c r="R165" s="9" t="s">
        <v>16</v>
      </c>
      <c r="S165" s="9" t="s">
        <v>12</v>
      </c>
      <c r="U165" t="b">
        <f t="shared" si="20"/>
        <v>1</v>
      </c>
      <c r="V165" t="b">
        <f t="shared" si="21"/>
        <v>1</v>
      </c>
      <c r="W165" t="b">
        <f t="shared" si="22"/>
        <v>1</v>
      </c>
      <c r="X165" t="b">
        <f t="shared" si="23"/>
        <v>1</v>
      </c>
      <c r="Y165" t="b">
        <f t="shared" si="24"/>
        <v>1</v>
      </c>
      <c r="Z165" t="b">
        <f t="shared" si="25"/>
        <v>1</v>
      </c>
      <c r="AA165" t="b">
        <f t="shared" si="26"/>
        <v>1</v>
      </c>
      <c r="AB165" t="b">
        <f t="shared" si="27"/>
        <v>1</v>
      </c>
    </row>
    <row r="166" spans="1:28" ht="14.4">
      <c r="A166" s="2" t="s">
        <v>351</v>
      </c>
      <c r="B166" s="2" t="s">
        <v>14</v>
      </c>
      <c r="C166" s="2" t="s">
        <v>15</v>
      </c>
      <c r="D166" s="2" t="s">
        <v>65</v>
      </c>
      <c r="E166" s="2" t="s">
        <v>19</v>
      </c>
      <c r="F166" s="2" t="s">
        <v>186</v>
      </c>
      <c r="G166" s="2" t="s">
        <v>13</v>
      </c>
      <c r="H166" s="2" t="s">
        <v>11</v>
      </c>
      <c r="I166" s="2" t="s">
        <v>17</v>
      </c>
      <c r="J166" t="b">
        <f t="shared" si="19"/>
        <v>1</v>
      </c>
      <c r="K166" s="6" t="s">
        <v>351</v>
      </c>
      <c r="L166" s="7" t="s">
        <v>14</v>
      </c>
      <c r="M166" s="7" t="s">
        <v>15</v>
      </c>
      <c r="N166" s="7" t="s">
        <v>65</v>
      </c>
      <c r="O166" s="7" t="s">
        <v>19</v>
      </c>
      <c r="P166" s="7" t="s">
        <v>186</v>
      </c>
      <c r="Q166" s="7" t="s">
        <v>13</v>
      </c>
      <c r="R166" s="7" t="s">
        <v>11</v>
      </c>
      <c r="S166" s="7" t="s">
        <v>17</v>
      </c>
      <c r="U166" t="b">
        <f t="shared" si="20"/>
        <v>1</v>
      </c>
      <c r="V166" t="b">
        <f t="shared" si="21"/>
        <v>1</v>
      </c>
      <c r="W166" t="b">
        <f t="shared" si="22"/>
        <v>1</v>
      </c>
      <c r="X166" t="b">
        <f t="shared" si="23"/>
        <v>1</v>
      </c>
      <c r="Y166" t="b">
        <f t="shared" si="24"/>
        <v>1</v>
      </c>
      <c r="Z166" t="b">
        <f t="shared" si="25"/>
        <v>1</v>
      </c>
      <c r="AA166" t="b">
        <f t="shared" si="26"/>
        <v>1</v>
      </c>
      <c r="AB166" t="b">
        <f t="shared" si="27"/>
        <v>1</v>
      </c>
    </row>
    <row r="167" spans="1:28" ht="14.4">
      <c r="A167" s="2" t="s">
        <v>350</v>
      </c>
      <c r="B167" s="2" t="s">
        <v>14</v>
      </c>
      <c r="C167" s="2" t="s">
        <v>15</v>
      </c>
      <c r="D167" s="2" t="s">
        <v>65</v>
      </c>
      <c r="E167" s="2" t="s">
        <v>19</v>
      </c>
      <c r="F167" s="2" t="s">
        <v>186</v>
      </c>
      <c r="G167" s="2" t="s">
        <v>13</v>
      </c>
      <c r="H167" s="2" t="s">
        <v>16</v>
      </c>
      <c r="I167" s="2" t="s">
        <v>11</v>
      </c>
      <c r="J167" t="b">
        <f t="shared" si="19"/>
        <v>1</v>
      </c>
      <c r="K167" s="8" t="s">
        <v>350</v>
      </c>
      <c r="L167" s="9" t="s">
        <v>14</v>
      </c>
      <c r="M167" s="9" t="s">
        <v>15</v>
      </c>
      <c r="N167" s="9" t="s">
        <v>65</v>
      </c>
      <c r="O167" s="9" t="s">
        <v>19</v>
      </c>
      <c r="P167" s="9" t="s">
        <v>186</v>
      </c>
      <c r="Q167" s="9" t="s">
        <v>13</v>
      </c>
      <c r="R167" s="9" t="s">
        <v>16</v>
      </c>
      <c r="S167" s="9" t="s">
        <v>11</v>
      </c>
      <c r="U167" t="b">
        <f t="shared" si="20"/>
        <v>1</v>
      </c>
      <c r="V167" t="b">
        <f t="shared" si="21"/>
        <v>1</v>
      </c>
      <c r="W167" t="b">
        <f t="shared" si="22"/>
        <v>1</v>
      </c>
      <c r="X167" t="b">
        <f t="shared" si="23"/>
        <v>1</v>
      </c>
      <c r="Y167" t="b">
        <f t="shared" si="24"/>
        <v>1</v>
      </c>
      <c r="Z167" t="b">
        <f t="shared" si="25"/>
        <v>1</v>
      </c>
      <c r="AA167" t="b">
        <f t="shared" si="26"/>
        <v>1</v>
      </c>
      <c r="AB167" t="b">
        <f t="shared" si="27"/>
        <v>1</v>
      </c>
    </row>
    <row r="168" spans="1:28" ht="14.4">
      <c r="A168" s="2" t="s">
        <v>349</v>
      </c>
      <c r="B168" s="2" t="s">
        <v>14</v>
      </c>
      <c r="C168" s="2" t="s">
        <v>15</v>
      </c>
      <c r="D168" s="2" t="s">
        <v>65</v>
      </c>
      <c r="E168" s="2" t="s">
        <v>19</v>
      </c>
      <c r="F168" s="2" t="s">
        <v>186</v>
      </c>
      <c r="G168" s="2" t="s">
        <v>13</v>
      </c>
      <c r="H168" s="2" t="s">
        <v>16</v>
      </c>
      <c r="I168" s="2" t="s">
        <v>17</v>
      </c>
      <c r="J168" t="b">
        <f t="shared" si="19"/>
        <v>1</v>
      </c>
      <c r="K168" s="6" t="s">
        <v>349</v>
      </c>
      <c r="L168" s="7" t="s">
        <v>14</v>
      </c>
      <c r="M168" s="7" t="s">
        <v>15</v>
      </c>
      <c r="N168" s="7" t="s">
        <v>65</v>
      </c>
      <c r="O168" s="7" t="s">
        <v>19</v>
      </c>
      <c r="P168" s="7" t="s">
        <v>186</v>
      </c>
      <c r="Q168" s="7" t="s">
        <v>13</v>
      </c>
      <c r="R168" s="7" t="s">
        <v>16</v>
      </c>
      <c r="S168" s="7" t="s">
        <v>17</v>
      </c>
      <c r="U168" t="b">
        <f t="shared" si="20"/>
        <v>1</v>
      </c>
      <c r="V168" t="b">
        <f t="shared" si="21"/>
        <v>1</v>
      </c>
      <c r="W168" t="b">
        <f t="shared" si="22"/>
        <v>1</v>
      </c>
      <c r="X168" t="b">
        <f t="shared" si="23"/>
        <v>1</v>
      </c>
      <c r="Y168" t="b">
        <f t="shared" si="24"/>
        <v>1</v>
      </c>
      <c r="Z168" t="b">
        <f t="shared" si="25"/>
        <v>1</v>
      </c>
      <c r="AA168" t="b">
        <f t="shared" si="26"/>
        <v>1</v>
      </c>
      <c r="AB168" t="b">
        <f t="shared" si="27"/>
        <v>1</v>
      </c>
    </row>
    <row r="169" spans="1:28" ht="14.4">
      <c r="A169" s="2" t="s">
        <v>348</v>
      </c>
      <c r="B169" s="2" t="s">
        <v>13</v>
      </c>
      <c r="C169" s="2" t="s">
        <v>11</v>
      </c>
      <c r="D169" s="2" t="s">
        <v>65</v>
      </c>
      <c r="E169" s="2" t="s">
        <v>19</v>
      </c>
      <c r="F169" s="2" t="s">
        <v>186</v>
      </c>
      <c r="G169" s="2" t="s">
        <v>15</v>
      </c>
      <c r="H169" s="2" t="s">
        <v>12</v>
      </c>
      <c r="I169" s="2" t="s">
        <v>17</v>
      </c>
      <c r="J169" t="b">
        <f t="shared" si="19"/>
        <v>1</v>
      </c>
      <c r="K169" s="8" t="s">
        <v>348</v>
      </c>
      <c r="L169" s="9" t="s">
        <v>13</v>
      </c>
      <c r="M169" s="9" t="s">
        <v>11</v>
      </c>
      <c r="N169" s="9" t="s">
        <v>65</v>
      </c>
      <c r="O169" s="9" t="s">
        <v>19</v>
      </c>
      <c r="P169" s="9" t="s">
        <v>186</v>
      </c>
      <c r="Q169" s="9" t="s">
        <v>15</v>
      </c>
      <c r="R169" s="9" t="s">
        <v>12</v>
      </c>
      <c r="S169" s="9" t="s">
        <v>17</v>
      </c>
      <c r="U169" t="b">
        <f t="shared" si="20"/>
        <v>1</v>
      </c>
      <c r="V169" t="b">
        <f t="shared" si="21"/>
        <v>1</v>
      </c>
      <c r="W169" t="b">
        <f t="shared" si="22"/>
        <v>1</v>
      </c>
      <c r="X169" t="b">
        <f t="shared" si="23"/>
        <v>1</v>
      </c>
      <c r="Y169" t="b">
        <f t="shared" si="24"/>
        <v>1</v>
      </c>
      <c r="Z169" t="b">
        <f t="shared" si="25"/>
        <v>1</v>
      </c>
      <c r="AA169" t="b">
        <f t="shared" si="26"/>
        <v>1</v>
      </c>
      <c r="AB169" t="b">
        <f t="shared" si="27"/>
        <v>1</v>
      </c>
    </row>
    <row r="170" spans="1:28" ht="14.4">
      <c r="A170" s="2" t="s">
        <v>347</v>
      </c>
      <c r="B170" s="2" t="s">
        <v>13</v>
      </c>
      <c r="C170" s="2" t="s">
        <v>11</v>
      </c>
      <c r="D170" s="2" t="s">
        <v>65</v>
      </c>
      <c r="E170" s="2" t="s">
        <v>19</v>
      </c>
      <c r="F170" s="2" t="s">
        <v>186</v>
      </c>
      <c r="G170" s="2" t="s">
        <v>15</v>
      </c>
      <c r="H170" s="2" t="s">
        <v>16</v>
      </c>
      <c r="I170" s="2" t="s">
        <v>12</v>
      </c>
      <c r="J170" t="b">
        <f t="shared" si="19"/>
        <v>1</v>
      </c>
      <c r="K170" s="6" t="s">
        <v>347</v>
      </c>
      <c r="L170" s="7" t="s">
        <v>13</v>
      </c>
      <c r="M170" s="7" t="s">
        <v>11</v>
      </c>
      <c r="N170" s="7" t="s">
        <v>65</v>
      </c>
      <c r="O170" s="7" t="s">
        <v>19</v>
      </c>
      <c r="P170" s="7" t="s">
        <v>186</v>
      </c>
      <c r="Q170" s="7" t="s">
        <v>15</v>
      </c>
      <c r="R170" s="7" t="s">
        <v>16</v>
      </c>
      <c r="S170" s="7" t="s">
        <v>12</v>
      </c>
      <c r="U170" t="b">
        <f t="shared" si="20"/>
        <v>1</v>
      </c>
      <c r="V170" t="b">
        <f t="shared" si="21"/>
        <v>1</v>
      </c>
      <c r="W170" t="b">
        <f t="shared" si="22"/>
        <v>1</v>
      </c>
      <c r="X170" t="b">
        <f t="shared" si="23"/>
        <v>1</v>
      </c>
      <c r="Y170" t="b">
        <f t="shared" si="24"/>
        <v>1</v>
      </c>
      <c r="Z170" t="b">
        <f t="shared" si="25"/>
        <v>1</v>
      </c>
      <c r="AA170" t="b">
        <f t="shared" si="26"/>
        <v>1</v>
      </c>
      <c r="AB170" t="b">
        <f t="shared" si="27"/>
        <v>1</v>
      </c>
    </row>
    <row r="171" spans="1:28" ht="14.4">
      <c r="A171" s="2" t="s">
        <v>346</v>
      </c>
      <c r="B171" s="2" t="s">
        <v>12</v>
      </c>
      <c r="C171" s="2" t="s">
        <v>15</v>
      </c>
      <c r="D171" s="2" t="s">
        <v>65</v>
      </c>
      <c r="E171" s="2" t="s">
        <v>19</v>
      </c>
      <c r="F171" s="2" t="s">
        <v>186</v>
      </c>
      <c r="G171" s="2" t="s">
        <v>13</v>
      </c>
      <c r="H171" s="2" t="s">
        <v>16</v>
      </c>
      <c r="I171" s="2" t="s">
        <v>17</v>
      </c>
      <c r="J171" t="b">
        <f t="shared" si="19"/>
        <v>1</v>
      </c>
      <c r="K171" s="8" t="s">
        <v>346</v>
      </c>
      <c r="L171" s="9" t="s">
        <v>12</v>
      </c>
      <c r="M171" s="9" t="s">
        <v>15</v>
      </c>
      <c r="N171" s="9" t="s">
        <v>65</v>
      </c>
      <c r="O171" s="9" t="s">
        <v>19</v>
      </c>
      <c r="P171" s="9" t="s">
        <v>186</v>
      </c>
      <c r="Q171" s="9" t="s">
        <v>13</v>
      </c>
      <c r="R171" s="9" t="s">
        <v>16</v>
      </c>
      <c r="S171" s="9" t="s">
        <v>17</v>
      </c>
      <c r="U171" t="b">
        <f t="shared" si="20"/>
        <v>1</v>
      </c>
      <c r="V171" t="b">
        <f t="shared" si="21"/>
        <v>1</v>
      </c>
      <c r="W171" t="b">
        <f t="shared" si="22"/>
        <v>1</v>
      </c>
      <c r="X171" t="b">
        <f t="shared" si="23"/>
        <v>1</v>
      </c>
      <c r="Y171" t="b">
        <f t="shared" si="24"/>
        <v>1</v>
      </c>
      <c r="Z171" t="b">
        <f t="shared" si="25"/>
        <v>1</v>
      </c>
      <c r="AA171" t="b">
        <f t="shared" si="26"/>
        <v>1</v>
      </c>
      <c r="AB171" t="b">
        <f t="shared" si="27"/>
        <v>1</v>
      </c>
    </row>
    <row r="172" spans="1:28" ht="14.4">
      <c r="A172" s="2" t="s">
        <v>345</v>
      </c>
      <c r="B172" s="2" t="s">
        <v>13</v>
      </c>
      <c r="C172" s="2" t="s">
        <v>11</v>
      </c>
      <c r="D172" s="2" t="s">
        <v>65</v>
      </c>
      <c r="E172" s="2" t="s">
        <v>19</v>
      </c>
      <c r="F172" s="2" t="s">
        <v>186</v>
      </c>
      <c r="G172" s="2" t="s">
        <v>15</v>
      </c>
      <c r="H172" s="2" t="s">
        <v>16</v>
      </c>
      <c r="I172" s="2" t="s">
        <v>17</v>
      </c>
      <c r="J172" t="b">
        <f t="shared" si="19"/>
        <v>1</v>
      </c>
      <c r="K172" s="6" t="s">
        <v>345</v>
      </c>
      <c r="L172" s="7" t="s">
        <v>13</v>
      </c>
      <c r="M172" s="7" t="s">
        <v>11</v>
      </c>
      <c r="N172" s="7" t="s">
        <v>65</v>
      </c>
      <c r="O172" s="7" t="s">
        <v>19</v>
      </c>
      <c r="P172" s="7" t="s">
        <v>186</v>
      </c>
      <c r="Q172" s="7" t="s">
        <v>15</v>
      </c>
      <c r="R172" s="7" t="s">
        <v>16</v>
      </c>
      <c r="S172" s="7" t="s">
        <v>17</v>
      </c>
      <c r="U172" t="b">
        <f t="shared" si="20"/>
        <v>1</v>
      </c>
      <c r="V172" t="b">
        <f t="shared" si="21"/>
        <v>1</v>
      </c>
      <c r="W172" t="b">
        <f t="shared" si="22"/>
        <v>1</v>
      </c>
      <c r="X172" t="b">
        <f t="shared" si="23"/>
        <v>1</v>
      </c>
      <c r="Y172" t="b">
        <f t="shared" si="24"/>
        <v>1</v>
      </c>
      <c r="Z172" t="b">
        <f t="shared" si="25"/>
        <v>1</v>
      </c>
      <c r="AA172" t="b">
        <f t="shared" si="26"/>
        <v>1</v>
      </c>
      <c r="AB172" t="b">
        <f t="shared" si="27"/>
        <v>1</v>
      </c>
    </row>
    <row r="173" spans="1:28" ht="14.4">
      <c r="A173" s="2" t="s">
        <v>344</v>
      </c>
      <c r="B173" s="2" t="s">
        <v>14</v>
      </c>
      <c r="C173" s="2" t="s">
        <v>11</v>
      </c>
      <c r="D173" s="2" t="s">
        <v>65</v>
      </c>
      <c r="E173" s="2" t="s">
        <v>19</v>
      </c>
      <c r="F173" s="2" t="s">
        <v>186</v>
      </c>
      <c r="G173" s="2" t="s">
        <v>13</v>
      </c>
      <c r="H173" s="2" t="s">
        <v>12</v>
      </c>
      <c r="I173" s="2" t="s">
        <v>17</v>
      </c>
      <c r="J173" t="b">
        <f t="shared" si="19"/>
        <v>1</v>
      </c>
      <c r="K173" s="8" t="s">
        <v>344</v>
      </c>
      <c r="L173" s="9" t="s">
        <v>14</v>
      </c>
      <c r="M173" s="9" t="s">
        <v>11</v>
      </c>
      <c r="N173" s="9" t="s">
        <v>65</v>
      </c>
      <c r="O173" s="9" t="s">
        <v>19</v>
      </c>
      <c r="P173" s="9" t="s">
        <v>186</v>
      </c>
      <c r="Q173" s="9" t="s">
        <v>13</v>
      </c>
      <c r="R173" s="9" t="s">
        <v>12</v>
      </c>
      <c r="S173" s="9" t="s">
        <v>17</v>
      </c>
      <c r="U173" t="b">
        <f t="shared" si="20"/>
        <v>1</v>
      </c>
      <c r="V173" t="b">
        <f t="shared" si="21"/>
        <v>1</v>
      </c>
      <c r="W173" t="b">
        <f t="shared" si="22"/>
        <v>1</v>
      </c>
      <c r="X173" t="b">
        <f t="shared" si="23"/>
        <v>1</v>
      </c>
      <c r="Y173" t="b">
        <f t="shared" si="24"/>
        <v>1</v>
      </c>
      <c r="Z173" t="b">
        <f t="shared" si="25"/>
        <v>1</v>
      </c>
      <c r="AA173" t="b">
        <f t="shared" si="26"/>
        <v>1</v>
      </c>
      <c r="AB173" t="b">
        <f t="shared" si="27"/>
        <v>1</v>
      </c>
    </row>
    <row r="174" spans="1:28" ht="14.4">
      <c r="A174" s="2" t="s">
        <v>343</v>
      </c>
      <c r="B174" s="2" t="s">
        <v>14</v>
      </c>
      <c r="C174" s="2" t="s">
        <v>11</v>
      </c>
      <c r="D174" s="2" t="s">
        <v>65</v>
      </c>
      <c r="E174" s="2" t="s">
        <v>19</v>
      </c>
      <c r="F174" s="2" t="s">
        <v>186</v>
      </c>
      <c r="G174" s="2" t="s">
        <v>13</v>
      </c>
      <c r="H174" s="2" t="s">
        <v>16</v>
      </c>
      <c r="I174" s="2" t="s">
        <v>12</v>
      </c>
      <c r="J174" t="b">
        <f t="shared" si="19"/>
        <v>1</v>
      </c>
      <c r="K174" s="6" t="s">
        <v>343</v>
      </c>
      <c r="L174" s="7" t="s">
        <v>14</v>
      </c>
      <c r="M174" s="7" t="s">
        <v>11</v>
      </c>
      <c r="N174" s="7" t="s">
        <v>65</v>
      </c>
      <c r="O174" s="7" t="s">
        <v>19</v>
      </c>
      <c r="P174" s="7" t="s">
        <v>186</v>
      </c>
      <c r="Q174" s="7" t="s">
        <v>13</v>
      </c>
      <c r="R174" s="7" t="s">
        <v>16</v>
      </c>
      <c r="S174" s="7" t="s">
        <v>12</v>
      </c>
      <c r="U174" t="b">
        <f t="shared" si="20"/>
        <v>1</v>
      </c>
      <c r="V174" t="b">
        <f t="shared" si="21"/>
        <v>1</v>
      </c>
      <c r="W174" t="b">
        <f t="shared" si="22"/>
        <v>1</v>
      </c>
      <c r="X174" t="b">
        <f t="shared" si="23"/>
        <v>1</v>
      </c>
      <c r="Y174" t="b">
        <f t="shared" si="24"/>
        <v>1</v>
      </c>
      <c r="Z174" t="b">
        <f t="shared" si="25"/>
        <v>1</v>
      </c>
      <c r="AA174" t="b">
        <f t="shared" si="26"/>
        <v>1</v>
      </c>
      <c r="AB174" t="b">
        <f t="shared" si="27"/>
        <v>1</v>
      </c>
    </row>
    <row r="175" spans="1:28" ht="14.4">
      <c r="A175" s="2" t="s">
        <v>342</v>
      </c>
      <c r="B175" s="2" t="s">
        <v>14</v>
      </c>
      <c r="C175" s="2" t="s">
        <v>12</v>
      </c>
      <c r="D175" s="2" t="s">
        <v>65</v>
      </c>
      <c r="E175" s="2" t="s">
        <v>19</v>
      </c>
      <c r="F175" s="2" t="s">
        <v>186</v>
      </c>
      <c r="G175" s="2" t="s">
        <v>13</v>
      </c>
      <c r="H175" s="2" t="s">
        <v>16</v>
      </c>
      <c r="I175" s="2" t="s">
        <v>17</v>
      </c>
      <c r="J175" t="b">
        <f t="shared" si="19"/>
        <v>1</v>
      </c>
      <c r="K175" s="8" t="s">
        <v>342</v>
      </c>
      <c r="L175" s="9" t="s">
        <v>14</v>
      </c>
      <c r="M175" s="9" t="s">
        <v>12</v>
      </c>
      <c r="N175" s="9" t="s">
        <v>65</v>
      </c>
      <c r="O175" s="9" t="s">
        <v>19</v>
      </c>
      <c r="P175" s="9" t="s">
        <v>186</v>
      </c>
      <c r="Q175" s="9" t="s">
        <v>13</v>
      </c>
      <c r="R175" s="9" t="s">
        <v>16</v>
      </c>
      <c r="S175" s="9" t="s">
        <v>17</v>
      </c>
      <c r="U175" t="b">
        <f t="shared" si="20"/>
        <v>1</v>
      </c>
      <c r="V175" t="b">
        <f t="shared" si="21"/>
        <v>1</v>
      </c>
      <c r="W175" t="b">
        <f t="shared" si="22"/>
        <v>1</v>
      </c>
      <c r="X175" t="b">
        <f t="shared" si="23"/>
        <v>1</v>
      </c>
      <c r="Y175" t="b">
        <f t="shared" si="24"/>
        <v>1</v>
      </c>
      <c r="Z175" t="b">
        <f t="shared" si="25"/>
        <v>1</v>
      </c>
      <c r="AA175" t="b">
        <f t="shared" si="26"/>
        <v>1</v>
      </c>
      <c r="AB175" t="b">
        <f t="shared" si="27"/>
        <v>1</v>
      </c>
    </row>
    <row r="176" spans="1:28" ht="14.4">
      <c r="A176" s="2" t="s">
        <v>341</v>
      </c>
      <c r="B176" s="2" t="s">
        <v>14</v>
      </c>
      <c r="C176" s="2" t="s">
        <v>11</v>
      </c>
      <c r="D176" s="2" t="s">
        <v>65</v>
      </c>
      <c r="E176" s="2" t="s">
        <v>19</v>
      </c>
      <c r="F176" s="2" t="s">
        <v>186</v>
      </c>
      <c r="G176" s="2" t="s">
        <v>13</v>
      </c>
      <c r="H176" s="2" t="s">
        <v>16</v>
      </c>
      <c r="I176" s="2" t="s">
        <v>17</v>
      </c>
      <c r="J176" t="b">
        <f t="shared" si="19"/>
        <v>1</v>
      </c>
      <c r="K176" s="6" t="s">
        <v>341</v>
      </c>
      <c r="L176" s="7" t="s">
        <v>14</v>
      </c>
      <c r="M176" s="7" t="s">
        <v>11</v>
      </c>
      <c r="N176" s="7" t="s">
        <v>65</v>
      </c>
      <c r="O176" s="7" t="s">
        <v>19</v>
      </c>
      <c r="P176" s="7" t="s">
        <v>186</v>
      </c>
      <c r="Q176" s="7" t="s">
        <v>13</v>
      </c>
      <c r="R176" s="7" t="s">
        <v>16</v>
      </c>
      <c r="S176" s="7" t="s">
        <v>17</v>
      </c>
      <c r="U176" t="b">
        <f t="shared" si="20"/>
        <v>1</v>
      </c>
      <c r="V176" t="b">
        <f t="shared" si="21"/>
        <v>1</v>
      </c>
      <c r="W176" t="b">
        <f t="shared" si="22"/>
        <v>1</v>
      </c>
      <c r="X176" t="b">
        <f t="shared" si="23"/>
        <v>1</v>
      </c>
      <c r="Y176" t="b">
        <f t="shared" si="24"/>
        <v>1</v>
      </c>
      <c r="Z176" t="b">
        <f t="shared" si="25"/>
        <v>1</v>
      </c>
      <c r="AA176" t="b">
        <f t="shared" si="26"/>
        <v>1</v>
      </c>
      <c r="AB176" t="b">
        <f t="shared" si="27"/>
        <v>1</v>
      </c>
    </row>
    <row r="177" spans="1:28" ht="14.4">
      <c r="A177" s="2" t="s">
        <v>340</v>
      </c>
      <c r="B177" s="2" t="s">
        <v>12</v>
      </c>
      <c r="C177" s="2" t="s">
        <v>11</v>
      </c>
      <c r="D177" s="2" t="s">
        <v>65</v>
      </c>
      <c r="E177" s="2" t="s">
        <v>19</v>
      </c>
      <c r="F177" s="2" t="s">
        <v>186</v>
      </c>
      <c r="G177" s="2" t="s">
        <v>13</v>
      </c>
      <c r="H177" s="2" t="s">
        <v>16</v>
      </c>
      <c r="I177" s="2" t="s">
        <v>17</v>
      </c>
      <c r="J177" t="b">
        <f t="shared" si="19"/>
        <v>1</v>
      </c>
      <c r="K177" s="8" t="s">
        <v>340</v>
      </c>
      <c r="L177" s="9" t="s">
        <v>12</v>
      </c>
      <c r="M177" s="9" t="s">
        <v>11</v>
      </c>
      <c r="N177" s="9" t="s">
        <v>65</v>
      </c>
      <c r="O177" s="9" t="s">
        <v>19</v>
      </c>
      <c r="P177" s="9" t="s">
        <v>186</v>
      </c>
      <c r="Q177" s="9" t="s">
        <v>13</v>
      </c>
      <c r="R177" s="9" t="s">
        <v>16</v>
      </c>
      <c r="S177" s="9" t="s">
        <v>17</v>
      </c>
      <c r="U177" t="b">
        <f t="shared" si="20"/>
        <v>1</v>
      </c>
      <c r="V177" t="b">
        <f t="shared" si="21"/>
        <v>1</v>
      </c>
      <c r="W177" t="b">
        <f t="shared" si="22"/>
        <v>1</v>
      </c>
      <c r="X177" t="b">
        <f t="shared" si="23"/>
        <v>1</v>
      </c>
      <c r="Y177" t="b">
        <f t="shared" si="24"/>
        <v>1</v>
      </c>
      <c r="Z177" t="b">
        <f t="shared" si="25"/>
        <v>1</v>
      </c>
      <c r="AA177" t="b">
        <f t="shared" si="26"/>
        <v>1</v>
      </c>
      <c r="AB177" t="b">
        <f t="shared" si="27"/>
        <v>1</v>
      </c>
    </row>
    <row r="178" spans="1:28" ht="14.4">
      <c r="A178" s="2" t="s">
        <v>339</v>
      </c>
      <c r="B178" s="2" t="s">
        <v>14</v>
      </c>
      <c r="C178" s="2" t="s">
        <v>11</v>
      </c>
      <c r="D178" s="2" t="s">
        <v>65</v>
      </c>
      <c r="E178" s="2" t="s">
        <v>19</v>
      </c>
      <c r="F178" s="2" t="s">
        <v>186</v>
      </c>
      <c r="G178" s="2" t="s">
        <v>15</v>
      </c>
      <c r="H178" s="2" t="s">
        <v>12</v>
      </c>
      <c r="I178" s="2" t="s">
        <v>17</v>
      </c>
      <c r="J178" t="b">
        <f t="shared" si="19"/>
        <v>1</v>
      </c>
      <c r="K178" s="6" t="s">
        <v>339</v>
      </c>
      <c r="L178" s="7" t="s">
        <v>14</v>
      </c>
      <c r="M178" s="7" t="s">
        <v>11</v>
      </c>
      <c r="N178" s="7" t="s">
        <v>65</v>
      </c>
      <c r="O178" s="7" t="s">
        <v>19</v>
      </c>
      <c r="P178" s="7" t="s">
        <v>186</v>
      </c>
      <c r="Q178" s="7" t="s">
        <v>15</v>
      </c>
      <c r="R178" s="7" t="s">
        <v>12</v>
      </c>
      <c r="S178" s="7" t="s">
        <v>17</v>
      </c>
      <c r="U178" t="b">
        <f t="shared" si="20"/>
        <v>1</v>
      </c>
      <c r="V178" t="b">
        <f t="shared" si="21"/>
        <v>1</v>
      </c>
      <c r="W178" t="b">
        <f t="shared" si="22"/>
        <v>1</v>
      </c>
      <c r="X178" t="b">
        <f t="shared" si="23"/>
        <v>1</v>
      </c>
      <c r="Y178" t="b">
        <f t="shared" si="24"/>
        <v>1</v>
      </c>
      <c r="Z178" t="b">
        <f t="shared" si="25"/>
        <v>1</v>
      </c>
      <c r="AA178" t="b">
        <f t="shared" si="26"/>
        <v>1</v>
      </c>
      <c r="AB178" t="b">
        <f t="shared" si="27"/>
        <v>1</v>
      </c>
    </row>
    <row r="179" spans="1:28" ht="14.4" hidden="1">
      <c r="A179" s="2" t="s">
        <v>338</v>
      </c>
      <c r="B179" s="2" t="s">
        <v>14</v>
      </c>
      <c r="C179" s="2" t="s">
        <v>11</v>
      </c>
      <c r="D179" s="2" t="s">
        <v>65</v>
      </c>
      <c r="E179" s="2" t="s">
        <v>19</v>
      </c>
      <c r="F179" s="2" t="s">
        <v>186</v>
      </c>
      <c r="G179" s="2" t="s">
        <v>15</v>
      </c>
      <c r="H179" s="2" t="s">
        <v>16</v>
      </c>
      <c r="I179" s="2" t="s">
        <v>12</v>
      </c>
      <c r="J179" t="b">
        <f t="shared" si="19"/>
        <v>1</v>
      </c>
      <c r="K179" s="8" t="s">
        <v>338</v>
      </c>
      <c r="L179" s="9" t="s">
        <v>12</v>
      </c>
      <c r="M179" s="9" t="s">
        <v>11</v>
      </c>
      <c r="N179" s="9" t="s">
        <v>65</v>
      </c>
      <c r="O179" s="9" t="s">
        <v>19</v>
      </c>
      <c r="P179" s="9" t="s">
        <v>186</v>
      </c>
      <c r="Q179" s="9" t="s">
        <v>15</v>
      </c>
      <c r="R179" s="9" t="s">
        <v>16</v>
      </c>
      <c r="S179" s="9" t="s">
        <v>17</v>
      </c>
      <c r="U179" t="b">
        <f t="shared" si="20"/>
        <v>0</v>
      </c>
      <c r="V179" t="b">
        <f t="shared" si="21"/>
        <v>1</v>
      </c>
      <c r="W179" t="b">
        <f t="shared" si="22"/>
        <v>1</v>
      </c>
      <c r="X179" t="b">
        <f t="shared" si="23"/>
        <v>1</v>
      </c>
      <c r="Y179" t="b">
        <f t="shared" si="24"/>
        <v>1</v>
      </c>
      <c r="Z179" t="b">
        <f t="shared" si="25"/>
        <v>1</v>
      </c>
      <c r="AA179" t="b">
        <f t="shared" si="26"/>
        <v>1</v>
      </c>
      <c r="AB179" t="b">
        <f t="shared" si="27"/>
        <v>0</v>
      </c>
    </row>
    <row r="180" spans="1:28" ht="14.4">
      <c r="A180" s="2" t="s">
        <v>337</v>
      </c>
      <c r="B180" s="2" t="s">
        <v>12</v>
      </c>
      <c r="C180" s="2" t="s">
        <v>15</v>
      </c>
      <c r="D180" s="2" t="s">
        <v>65</v>
      </c>
      <c r="E180" s="2" t="s">
        <v>19</v>
      </c>
      <c r="F180" s="2" t="s">
        <v>186</v>
      </c>
      <c r="G180" s="2" t="s">
        <v>14</v>
      </c>
      <c r="H180" s="2" t="s">
        <v>16</v>
      </c>
      <c r="I180" s="2" t="s">
        <v>17</v>
      </c>
      <c r="J180" t="b">
        <f t="shared" si="19"/>
        <v>1</v>
      </c>
      <c r="K180" s="6" t="s">
        <v>337</v>
      </c>
      <c r="L180" s="7" t="s">
        <v>12</v>
      </c>
      <c r="M180" s="7" t="s">
        <v>15</v>
      </c>
      <c r="N180" s="7" t="s">
        <v>65</v>
      </c>
      <c r="O180" s="7" t="s">
        <v>19</v>
      </c>
      <c r="P180" s="7" t="s">
        <v>186</v>
      </c>
      <c r="Q180" s="7" t="s">
        <v>14</v>
      </c>
      <c r="R180" s="7" t="s">
        <v>16</v>
      </c>
      <c r="S180" s="7" t="s">
        <v>17</v>
      </c>
      <c r="U180" t="b">
        <f t="shared" si="20"/>
        <v>1</v>
      </c>
      <c r="V180" t="b">
        <f t="shared" si="21"/>
        <v>1</v>
      </c>
      <c r="W180" t="b">
        <f t="shared" si="22"/>
        <v>1</v>
      </c>
      <c r="X180" t="b">
        <f t="shared" si="23"/>
        <v>1</v>
      </c>
      <c r="Y180" t="b">
        <f t="shared" si="24"/>
        <v>1</v>
      </c>
      <c r="Z180" t="b">
        <f t="shared" si="25"/>
        <v>1</v>
      </c>
      <c r="AA180" t="b">
        <f t="shared" si="26"/>
        <v>1</v>
      </c>
      <c r="AB180" t="b">
        <f t="shared" si="27"/>
        <v>1</v>
      </c>
    </row>
    <row r="181" spans="1:28" ht="14.4">
      <c r="A181" s="2" t="s">
        <v>336</v>
      </c>
      <c r="B181" s="2" t="s">
        <v>14</v>
      </c>
      <c r="C181" s="2" t="s">
        <v>11</v>
      </c>
      <c r="D181" s="2" t="s">
        <v>65</v>
      </c>
      <c r="E181" s="2" t="s">
        <v>19</v>
      </c>
      <c r="F181" s="2" t="s">
        <v>186</v>
      </c>
      <c r="G181" s="2" t="s">
        <v>15</v>
      </c>
      <c r="H181" s="2" t="s">
        <v>16</v>
      </c>
      <c r="I181" s="2" t="s">
        <v>17</v>
      </c>
      <c r="J181" t="b">
        <f t="shared" si="19"/>
        <v>1</v>
      </c>
      <c r="K181" s="8" t="s">
        <v>336</v>
      </c>
      <c r="L181" s="9" t="s">
        <v>14</v>
      </c>
      <c r="M181" s="9" t="s">
        <v>11</v>
      </c>
      <c r="N181" s="9" t="s">
        <v>65</v>
      </c>
      <c r="O181" s="9" t="s">
        <v>19</v>
      </c>
      <c r="P181" s="9" t="s">
        <v>186</v>
      </c>
      <c r="Q181" s="9" t="s">
        <v>15</v>
      </c>
      <c r="R181" s="9" t="s">
        <v>16</v>
      </c>
      <c r="S181" s="9" t="s">
        <v>17</v>
      </c>
      <c r="U181" t="b">
        <f t="shared" si="20"/>
        <v>1</v>
      </c>
      <c r="V181" t="b">
        <f t="shared" si="21"/>
        <v>1</v>
      </c>
      <c r="W181" t="b">
        <f t="shared" si="22"/>
        <v>1</v>
      </c>
      <c r="X181" t="b">
        <f t="shared" si="23"/>
        <v>1</v>
      </c>
      <c r="Y181" t="b">
        <f t="shared" si="24"/>
        <v>1</v>
      </c>
      <c r="Z181" t="b">
        <f t="shared" si="25"/>
        <v>1</v>
      </c>
      <c r="AA181" t="b">
        <f t="shared" si="26"/>
        <v>1</v>
      </c>
      <c r="AB181" t="b">
        <f t="shared" si="27"/>
        <v>1</v>
      </c>
    </row>
    <row r="182" spans="1:28" ht="14.4" hidden="1">
      <c r="A182" s="2" t="s">
        <v>335</v>
      </c>
      <c r="B182" s="2" t="s">
        <v>12</v>
      </c>
      <c r="C182" s="2" t="s">
        <v>11</v>
      </c>
      <c r="D182" s="2" t="s">
        <v>65</v>
      </c>
      <c r="E182" s="2" t="s">
        <v>19</v>
      </c>
      <c r="F182" s="2" t="s">
        <v>186</v>
      </c>
      <c r="G182" s="2" t="s">
        <v>15</v>
      </c>
      <c r="H182" s="2" t="s">
        <v>16</v>
      </c>
      <c r="I182" s="2" t="s">
        <v>17</v>
      </c>
      <c r="J182" t="b">
        <f t="shared" si="19"/>
        <v>1</v>
      </c>
      <c r="K182" s="6" t="s">
        <v>335</v>
      </c>
      <c r="L182" s="7" t="s">
        <v>14</v>
      </c>
      <c r="M182" s="7" t="s">
        <v>15</v>
      </c>
      <c r="N182" s="7" t="s">
        <v>65</v>
      </c>
      <c r="O182" s="7" t="s">
        <v>28</v>
      </c>
      <c r="P182" s="7" t="s">
        <v>186</v>
      </c>
      <c r="Q182" s="7" t="s">
        <v>13</v>
      </c>
      <c r="R182" s="7" t="s">
        <v>19</v>
      </c>
      <c r="S182" s="7" t="s">
        <v>10</v>
      </c>
      <c r="U182" t="b">
        <f t="shared" si="20"/>
        <v>0</v>
      </c>
      <c r="V182" t="b">
        <f t="shared" si="21"/>
        <v>0</v>
      </c>
      <c r="W182" t="b">
        <f t="shared" si="22"/>
        <v>1</v>
      </c>
      <c r="X182" t="b">
        <f t="shared" si="23"/>
        <v>0</v>
      </c>
      <c r="Y182" t="b">
        <f t="shared" si="24"/>
        <v>1</v>
      </c>
      <c r="Z182" t="b">
        <f t="shared" si="25"/>
        <v>0</v>
      </c>
      <c r="AA182" t="b">
        <f t="shared" si="26"/>
        <v>0</v>
      </c>
      <c r="AB182" t="b">
        <f t="shared" si="27"/>
        <v>0</v>
      </c>
    </row>
    <row r="183" spans="1:28" ht="14.4">
      <c r="A183" s="2" t="s">
        <v>334</v>
      </c>
      <c r="B183" s="2" t="s">
        <v>12</v>
      </c>
      <c r="C183" s="2" t="s">
        <v>11</v>
      </c>
      <c r="D183" s="2" t="s">
        <v>65</v>
      </c>
      <c r="E183" s="2" t="s">
        <v>19</v>
      </c>
      <c r="F183" s="2" t="s">
        <v>186</v>
      </c>
      <c r="G183" s="2" t="s">
        <v>14</v>
      </c>
      <c r="H183" s="2" t="s">
        <v>16</v>
      </c>
      <c r="I183" s="2" t="s">
        <v>17</v>
      </c>
      <c r="J183" t="b">
        <f t="shared" si="19"/>
        <v>1</v>
      </c>
      <c r="K183" s="8" t="s">
        <v>334</v>
      </c>
      <c r="L183" s="9" t="s">
        <v>12</v>
      </c>
      <c r="M183" s="9" t="s">
        <v>11</v>
      </c>
      <c r="N183" s="9" t="s">
        <v>65</v>
      </c>
      <c r="O183" s="9" t="s">
        <v>19</v>
      </c>
      <c r="P183" s="9" t="s">
        <v>186</v>
      </c>
      <c r="Q183" s="9" t="s">
        <v>14</v>
      </c>
      <c r="R183" s="9" t="s">
        <v>16</v>
      </c>
      <c r="S183" s="9" t="s">
        <v>17</v>
      </c>
      <c r="U183" t="b">
        <f t="shared" si="20"/>
        <v>1</v>
      </c>
      <c r="V183" t="b">
        <f t="shared" si="21"/>
        <v>1</v>
      </c>
      <c r="W183" t="b">
        <f t="shared" si="22"/>
        <v>1</v>
      </c>
      <c r="X183" t="b">
        <f t="shared" si="23"/>
        <v>1</v>
      </c>
      <c r="Y183" t="b">
        <f t="shared" si="24"/>
        <v>1</v>
      </c>
      <c r="Z183" t="b">
        <f t="shared" si="25"/>
        <v>1</v>
      </c>
      <c r="AA183" t="b">
        <f t="shared" si="26"/>
        <v>1</v>
      </c>
      <c r="AB183" t="b">
        <f t="shared" si="27"/>
        <v>1</v>
      </c>
    </row>
    <row r="184" spans="1:28" ht="14.4">
      <c r="A184" s="2" t="s">
        <v>333</v>
      </c>
      <c r="B184" s="2" t="s">
        <v>14</v>
      </c>
      <c r="C184" s="2" t="s">
        <v>11</v>
      </c>
      <c r="D184" s="2" t="s">
        <v>65</v>
      </c>
      <c r="E184" s="2" t="s">
        <v>13</v>
      </c>
      <c r="F184" s="2" t="s">
        <v>186</v>
      </c>
      <c r="G184" s="2" t="s">
        <v>15</v>
      </c>
      <c r="H184" s="2" t="s">
        <v>10</v>
      </c>
      <c r="I184" s="2" t="s">
        <v>12</v>
      </c>
      <c r="J184" t="b">
        <f t="shared" si="19"/>
        <v>1</v>
      </c>
      <c r="K184" s="6" t="s">
        <v>333</v>
      </c>
      <c r="L184" s="7" t="s">
        <v>14</v>
      </c>
      <c r="M184" s="7" t="s">
        <v>11</v>
      </c>
      <c r="N184" s="7" t="s">
        <v>65</v>
      </c>
      <c r="O184" s="7" t="s">
        <v>13</v>
      </c>
      <c r="P184" s="7" t="s">
        <v>186</v>
      </c>
      <c r="Q184" s="7" t="s">
        <v>15</v>
      </c>
      <c r="R184" s="7" t="s">
        <v>10</v>
      </c>
      <c r="S184" s="7" t="s">
        <v>12</v>
      </c>
      <c r="U184" t="b">
        <f t="shared" si="20"/>
        <v>1</v>
      </c>
      <c r="V184" t="b">
        <f t="shared" si="21"/>
        <v>1</v>
      </c>
      <c r="W184" t="b">
        <f t="shared" si="22"/>
        <v>1</v>
      </c>
      <c r="X184" t="b">
        <f t="shared" si="23"/>
        <v>1</v>
      </c>
      <c r="Y184" t="b">
        <f t="shared" si="24"/>
        <v>1</v>
      </c>
      <c r="Z184" t="b">
        <f t="shared" si="25"/>
        <v>1</v>
      </c>
      <c r="AA184" t="b">
        <f t="shared" si="26"/>
        <v>1</v>
      </c>
      <c r="AB184" t="b">
        <f t="shared" si="27"/>
        <v>1</v>
      </c>
    </row>
    <row r="185" spans="1:28" ht="14.4">
      <c r="A185" s="2" t="s">
        <v>332</v>
      </c>
      <c r="B185" s="2" t="s">
        <v>10</v>
      </c>
      <c r="C185" s="2" t="s">
        <v>15</v>
      </c>
      <c r="D185" s="2" t="s">
        <v>65</v>
      </c>
      <c r="E185" s="2" t="s">
        <v>13</v>
      </c>
      <c r="F185" s="2" t="s">
        <v>186</v>
      </c>
      <c r="G185" s="2" t="s">
        <v>14</v>
      </c>
      <c r="H185" s="2" t="s">
        <v>12</v>
      </c>
      <c r="I185" s="2" t="s">
        <v>17</v>
      </c>
      <c r="J185" t="b">
        <f t="shared" si="19"/>
        <v>1</v>
      </c>
      <c r="K185" s="8" t="s">
        <v>332</v>
      </c>
      <c r="L185" s="9" t="s">
        <v>10</v>
      </c>
      <c r="M185" s="9" t="s">
        <v>15</v>
      </c>
      <c r="N185" s="9" t="s">
        <v>65</v>
      </c>
      <c r="O185" s="9" t="s">
        <v>13</v>
      </c>
      <c r="P185" s="9" t="s">
        <v>186</v>
      </c>
      <c r="Q185" s="9" t="s">
        <v>14</v>
      </c>
      <c r="R185" s="9" t="s">
        <v>12</v>
      </c>
      <c r="S185" s="9" t="s">
        <v>17</v>
      </c>
      <c r="U185" t="b">
        <f t="shared" si="20"/>
        <v>1</v>
      </c>
      <c r="V185" t="b">
        <f t="shared" si="21"/>
        <v>1</v>
      </c>
      <c r="W185" t="b">
        <f t="shared" si="22"/>
        <v>1</v>
      </c>
      <c r="X185" t="b">
        <f t="shared" si="23"/>
        <v>1</v>
      </c>
      <c r="Y185" t="b">
        <f t="shared" si="24"/>
        <v>1</v>
      </c>
      <c r="Z185" t="b">
        <f t="shared" si="25"/>
        <v>1</v>
      </c>
      <c r="AA185" t="b">
        <f t="shared" si="26"/>
        <v>1</v>
      </c>
      <c r="AB185" t="b">
        <f t="shared" si="27"/>
        <v>1</v>
      </c>
    </row>
    <row r="186" spans="1:28" ht="14.4">
      <c r="A186" s="2" t="s">
        <v>331</v>
      </c>
      <c r="B186" s="2" t="s">
        <v>10</v>
      </c>
      <c r="C186" s="2" t="s">
        <v>15</v>
      </c>
      <c r="D186" s="2" t="s">
        <v>65</v>
      </c>
      <c r="E186" s="2" t="s">
        <v>13</v>
      </c>
      <c r="F186" s="2" t="s">
        <v>186</v>
      </c>
      <c r="G186" s="2" t="s">
        <v>14</v>
      </c>
      <c r="H186" s="2" t="s">
        <v>16</v>
      </c>
      <c r="I186" s="2" t="s">
        <v>12</v>
      </c>
      <c r="J186" t="b">
        <f t="shared" si="19"/>
        <v>1</v>
      </c>
      <c r="K186" s="6" t="s">
        <v>331</v>
      </c>
      <c r="L186" s="7" t="s">
        <v>10</v>
      </c>
      <c r="M186" s="7" t="s">
        <v>15</v>
      </c>
      <c r="N186" s="7" t="s">
        <v>65</v>
      </c>
      <c r="O186" s="7" t="s">
        <v>13</v>
      </c>
      <c r="P186" s="7" t="s">
        <v>186</v>
      </c>
      <c r="Q186" s="7" t="s">
        <v>14</v>
      </c>
      <c r="R186" s="7" t="s">
        <v>16</v>
      </c>
      <c r="S186" s="7" t="s">
        <v>12</v>
      </c>
      <c r="U186" t="b">
        <f t="shared" si="20"/>
        <v>1</v>
      </c>
      <c r="V186" t="b">
        <f t="shared" si="21"/>
        <v>1</v>
      </c>
      <c r="W186" t="b">
        <f t="shared" si="22"/>
        <v>1</v>
      </c>
      <c r="X186" t="b">
        <f t="shared" si="23"/>
        <v>1</v>
      </c>
      <c r="Y186" t="b">
        <f t="shared" si="24"/>
        <v>1</v>
      </c>
      <c r="Z186" t="b">
        <f t="shared" si="25"/>
        <v>1</v>
      </c>
      <c r="AA186" t="b">
        <f t="shared" si="26"/>
        <v>1</v>
      </c>
      <c r="AB186" t="b">
        <f t="shared" si="27"/>
        <v>1</v>
      </c>
    </row>
    <row r="187" spans="1:28" ht="14.4">
      <c r="A187" s="2" t="s">
        <v>330</v>
      </c>
      <c r="B187" s="2" t="s">
        <v>14</v>
      </c>
      <c r="C187" s="2" t="s">
        <v>11</v>
      </c>
      <c r="D187" s="2" t="s">
        <v>65</v>
      </c>
      <c r="E187" s="2" t="s">
        <v>13</v>
      </c>
      <c r="F187" s="2" t="s">
        <v>186</v>
      </c>
      <c r="G187" s="2" t="s">
        <v>15</v>
      </c>
      <c r="H187" s="2" t="s">
        <v>10</v>
      </c>
      <c r="I187" s="2" t="s">
        <v>17</v>
      </c>
      <c r="J187" t="b">
        <f t="shared" si="19"/>
        <v>1</v>
      </c>
      <c r="K187" s="8" t="s">
        <v>330</v>
      </c>
      <c r="L187" s="9" t="s">
        <v>14</v>
      </c>
      <c r="M187" s="9" t="s">
        <v>11</v>
      </c>
      <c r="N187" s="9" t="s">
        <v>65</v>
      </c>
      <c r="O187" s="9" t="s">
        <v>13</v>
      </c>
      <c r="P187" s="9" t="s">
        <v>186</v>
      </c>
      <c r="Q187" s="9" t="s">
        <v>15</v>
      </c>
      <c r="R187" s="9" t="s">
        <v>10</v>
      </c>
      <c r="S187" s="9" t="s">
        <v>17</v>
      </c>
      <c r="U187" t="b">
        <f t="shared" si="20"/>
        <v>1</v>
      </c>
      <c r="V187" t="b">
        <f t="shared" si="21"/>
        <v>1</v>
      </c>
      <c r="W187" t="b">
        <f t="shared" si="22"/>
        <v>1</v>
      </c>
      <c r="X187" t="b">
        <f t="shared" si="23"/>
        <v>1</v>
      </c>
      <c r="Y187" t="b">
        <f t="shared" si="24"/>
        <v>1</v>
      </c>
      <c r="Z187" t="b">
        <f t="shared" si="25"/>
        <v>1</v>
      </c>
      <c r="AA187" t="b">
        <f t="shared" si="26"/>
        <v>1</v>
      </c>
      <c r="AB187" t="b">
        <f t="shared" si="27"/>
        <v>1</v>
      </c>
    </row>
    <row r="188" spans="1:28" ht="14.4">
      <c r="A188" s="2" t="s">
        <v>329</v>
      </c>
      <c r="B188" s="2" t="s">
        <v>14</v>
      </c>
      <c r="C188" s="2" t="s">
        <v>11</v>
      </c>
      <c r="D188" s="2" t="s">
        <v>65</v>
      </c>
      <c r="E188" s="2" t="s">
        <v>13</v>
      </c>
      <c r="F188" s="2" t="s">
        <v>186</v>
      </c>
      <c r="G188" s="2" t="s">
        <v>15</v>
      </c>
      <c r="H188" s="2" t="s">
        <v>16</v>
      </c>
      <c r="I188" s="2" t="s">
        <v>10</v>
      </c>
      <c r="J188" t="b">
        <f t="shared" si="19"/>
        <v>1</v>
      </c>
      <c r="K188" s="6" t="s">
        <v>329</v>
      </c>
      <c r="L188" s="7" t="s">
        <v>14</v>
      </c>
      <c r="M188" s="7" t="s">
        <v>11</v>
      </c>
      <c r="N188" s="7" t="s">
        <v>65</v>
      </c>
      <c r="O188" s="7" t="s">
        <v>13</v>
      </c>
      <c r="P188" s="7" t="s">
        <v>186</v>
      </c>
      <c r="Q188" s="7" t="s">
        <v>15</v>
      </c>
      <c r="R188" s="7" t="s">
        <v>16</v>
      </c>
      <c r="S188" s="7" t="s">
        <v>10</v>
      </c>
      <c r="U188" t="b">
        <f t="shared" si="20"/>
        <v>1</v>
      </c>
      <c r="V188" t="b">
        <f t="shared" si="21"/>
        <v>1</v>
      </c>
      <c r="W188" t="b">
        <f t="shared" si="22"/>
        <v>1</v>
      </c>
      <c r="X188" t="b">
        <f t="shared" si="23"/>
        <v>1</v>
      </c>
      <c r="Y188" t="b">
        <f t="shared" si="24"/>
        <v>1</v>
      </c>
      <c r="Z188" t="b">
        <f t="shared" si="25"/>
        <v>1</v>
      </c>
      <c r="AA188" t="b">
        <f t="shared" si="26"/>
        <v>1</v>
      </c>
      <c r="AB188" t="b">
        <f t="shared" si="27"/>
        <v>1</v>
      </c>
    </row>
    <row r="189" spans="1:28" ht="14.4">
      <c r="A189" s="2" t="s">
        <v>328</v>
      </c>
      <c r="B189" s="2" t="s">
        <v>10</v>
      </c>
      <c r="C189" s="2" t="s">
        <v>15</v>
      </c>
      <c r="D189" s="2" t="s">
        <v>65</v>
      </c>
      <c r="E189" s="2" t="s">
        <v>13</v>
      </c>
      <c r="F189" s="2" t="s">
        <v>186</v>
      </c>
      <c r="G189" s="2" t="s">
        <v>14</v>
      </c>
      <c r="H189" s="2" t="s">
        <v>16</v>
      </c>
      <c r="I189" s="2" t="s">
        <v>17</v>
      </c>
      <c r="J189" t="b">
        <f t="shared" si="19"/>
        <v>1</v>
      </c>
      <c r="K189" s="8" t="s">
        <v>328</v>
      </c>
      <c r="L189" s="9" t="s">
        <v>10</v>
      </c>
      <c r="M189" s="9" t="s">
        <v>15</v>
      </c>
      <c r="N189" s="9" t="s">
        <v>65</v>
      </c>
      <c r="O189" s="9" t="s">
        <v>13</v>
      </c>
      <c r="P189" s="9" t="s">
        <v>186</v>
      </c>
      <c r="Q189" s="9" t="s">
        <v>14</v>
      </c>
      <c r="R189" s="9" t="s">
        <v>16</v>
      </c>
      <c r="S189" s="9" t="s">
        <v>17</v>
      </c>
      <c r="U189" t="b">
        <f t="shared" si="20"/>
        <v>1</v>
      </c>
      <c r="V189" t="b">
        <f t="shared" si="21"/>
        <v>1</v>
      </c>
      <c r="W189" t="b">
        <f t="shared" si="22"/>
        <v>1</v>
      </c>
      <c r="X189" t="b">
        <f t="shared" si="23"/>
        <v>1</v>
      </c>
      <c r="Y189" t="b">
        <f t="shared" si="24"/>
        <v>1</v>
      </c>
      <c r="Z189" t="b">
        <f t="shared" si="25"/>
        <v>1</v>
      </c>
      <c r="AA189" t="b">
        <f t="shared" si="26"/>
        <v>1</v>
      </c>
      <c r="AB189" t="b">
        <f t="shared" si="27"/>
        <v>1</v>
      </c>
    </row>
    <row r="190" spans="1:28" ht="14.4">
      <c r="A190" s="2" t="s">
        <v>327</v>
      </c>
      <c r="B190" s="2" t="s">
        <v>10</v>
      </c>
      <c r="C190" s="2" t="s">
        <v>11</v>
      </c>
      <c r="D190" s="2" t="s">
        <v>65</v>
      </c>
      <c r="E190" s="2" t="s">
        <v>13</v>
      </c>
      <c r="F190" s="2" t="s">
        <v>186</v>
      </c>
      <c r="G190" s="2" t="s">
        <v>15</v>
      </c>
      <c r="H190" s="2" t="s">
        <v>12</v>
      </c>
      <c r="I190" s="2" t="s">
        <v>17</v>
      </c>
      <c r="J190" t="b">
        <f t="shared" si="19"/>
        <v>1</v>
      </c>
      <c r="K190" s="6" t="s">
        <v>327</v>
      </c>
      <c r="L190" s="7" t="s">
        <v>10</v>
      </c>
      <c r="M190" s="7" t="s">
        <v>11</v>
      </c>
      <c r="N190" s="7" t="s">
        <v>65</v>
      </c>
      <c r="O190" s="7" t="s">
        <v>13</v>
      </c>
      <c r="P190" s="7" t="s">
        <v>186</v>
      </c>
      <c r="Q190" s="7" t="s">
        <v>15</v>
      </c>
      <c r="R190" s="7" t="s">
        <v>12</v>
      </c>
      <c r="S190" s="7" t="s">
        <v>17</v>
      </c>
      <c r="U190" t="b">
        <f t="shared" si="20"/>
        <v>1</v>
      </c>
      <c r="V190" t="b">
        <f t="shared" si="21"/>
        <v>1</v>
      </c>
      <c r="W190" t="b">
        <f t="shared" si="22"/>
        <v>1</v>
      </c>
      <c r="X190" t="b">
        <f t="shared" si="23"/>
        <v>1</v>
      </c>
      <c r="Y190" t="b">
        <f t="shared" si="24"/>
        <v>1</v>
      </c>
      <c r="Z190" t="b">
        <f t="shared" si="25"/>
        <v>1</v>
      </c>
      <c r="AA190" t="b">
        <f t="shared" si="26"/>
        <v>1</v>
      </c>
      <c r="AB190" t="b">
        <f t="shared" si="27"/>
        <v>1</v>
      </c>
    </row>
    <row r="191" spans="1:28" ht="14.4">
      <c r="A191" s="2" t="s">
        <v>326</v>
      </c>
      <c r="B191" s="2" t="s">
        <v>10</v>
      </c>
      <c r="C191" s="2" t="s">
        <v>11</v>
      </c>
      <c r="D191" s="2" t="s">
        <v>65</v>
      </c>
      <c r="E191" s="2" t="s">
        <v>13</v>
      </c>
      <c r="F191" s="2" t="s">
        <v>186</v>
      </c>
      <c r="G191" s="2" t="s">
        <v>15</v>
      </c>
      <c r="H191" s="2" t="s">
        <v>16</v>
      </c>
      <c r="I191" s="2" t="s">
        <v>12</v>
      </c>
      <c r="J191" t="b">
        <f t="shared" si="19"/>
        <v>1</v>
      </c>
      <c r="K191" s="8" t="s">
        <v>326</v>
      </c>
      <c r="L191" s="9" t="s">
        <v>10</v>
      </c>
      <c r="M191" s="9" t="s">
        <v>11</v>
      </c>
      <c r="N191" s="9" t="s">
        <v>65</v>
      </c>
      <c r="O191" s="9" t="s">
        <v>13</v>
      </c>
      <c r="P191" s="9" t="s">
        <v>186</v>
      </c>
      <c r="Q191" s="9" t="s">
        <v>15</v>
      </c>
      <c r="R191" s="9" t="s">
        <v>16</v>
      </c>
      <c r="S191" s="9" t="s">
        <v>12</v>
      </c>
      <c r="U191" t="b">
        <f t="shared" si="20"/>
        <v>1</v>
      </c>
      <c r="V191" t="b">
        <f t="shared" si="21"/>
        <v>1</v>
      </c>
      <c r="W191" t="b">
        <f t="shared" si="22"/>
        <v>1</v>
      </c>
      <c r="X191" t="b">
        <f t="shared" si="23"/>
        <v>1</v>
      </c>
      <c r="Y191" t="b">
        <f t="shared" si="24"/>
        <v>1</v>
      </c>
      <c r="Z191" t="b">
        <f t="shared" si="25"/>
        <v>1</v>
      </c>
      <c r="AA191" t="b">
        <f t="shared" si="26"/>
        <v>1</v>
      </c>
      <c r="AB191" t="b">
        <f t="shared" si="27"/>
        <v>1</v>
      </c>
    </row>
    <row r="192" spans="1:28" ht="14.4">
      <c r="A192" s="2" t="s">
        <v>325</v>
      </c>
      <c r="B192" s="2" t="s">
        <v>10</v>
      </c>
      <c r="C192" s="2" t="s">
        <v>15</v>
      </c>
      <c r="D192" s="2" t="s">
        <v>65</v>
      </c>
      <c r="E192" s="2" t="s">
        <v>186</v>
      </c>
      <c r="F192" s="2" t="s">
        <v>12</v>
      </c>
      <c r="G192" s="2" t="s">
        <v>13</v>
      </c>
      <c r="H192" s="2" t="s">
        <v>16</v>
      </c>
      <c r="I192" s="2" t="s">
        <v>17</v>
      </c>
      <c r="J192" t="b">
        <f t="shared" si="19"/>
        <v>1</v>
      </c>
      <c r="K192" s="6" t="s">
        <v>325</v>
      </c>
      <c r="L192" s="7" t="s">
        <v>10</v>
      </c>
      <c r="M192" s="7" t="s">
        <v>15</v>
      </c>
      <c r="N192" s="7" t="s">
        <v>65</v>
      </c>
      <c r="O192" s="7" t="s">
        <v>186</v>
      </c>
      <c r="P192" s="7" t="s">
        <v>12</v>
      </c>
      <c r="Q192" s="7" t="s">
        <v>13</v>
      </c>
      <c r="R192" s="7" t="s">
        <v>16</v>
      </c>
      <c r="S192" s="7" t="s">
        <v>17</v>
      </c>
      <c r="U192" t="b">
        <f t="shared" si="20"/>
        <v>1</v>
      </c>
      <c r="V192" t="b">
        <f t="shared" si="21"/>
        <v>1</v>
      </c>
      <c r="W192" t="b">
        <f t="shared" si="22"/>
        <v>1</v>
      </c>
      <c r="X192" t="b">
        <f t="shared" si="23"/>
        <v>1</v>
      </c>
      <c r="Y192" t="b">
        <f t="shared" si="24"/>
        <v>1</v>
      </c>
      <c r="Z192" t="b">
        <f t="shared" si="25"/>
        <v>1</v>
      </c>
      <c r="AA192" t="b">
        <f t="shared" si="26"/>
        <v>1</v>
      </c>
      <c r="AB192" t="b">
        <f t="shared" si="27"/>
        <v>1</v>
      </c>
    </row>
    <row r="193" spans="1:28" ht="14.4">
      <c r="A193" s="2" t="s">
        <v>324</v>
      </c>
      <c r="B193" s="2" t="s">
        <v>10</v>
      </c>
      <c r="C193" s="2" t="s">
        <v>11</v>
      </c>
      <c r="D193" s="2" t="s">
        <v>65</v>
      </c>
      <c r="E193" s="2" t="s">
        <v>13</v>
      </c>
      <c r="F193" s="2" t="s">
        <v>186</v>
      </c>
      <c r="G193" s="2" t="s">
        <v>15</v>
      </c>
      <c r="H193" s="2" t="s">
        <v>16</v>
      </c>
      <c r="I193" s="2" t="s">
        <v>17</v>
      </c>
      <c r="J193" t="b">
        <f t="shared" si="19"/>
        <v>1</v>
      </c>
      <c r="K193" s="8" t="s">
        <v>324</v>
      </c>
      <c r="L193" s="9" t="s">
        <v>10</v>
      </c>
      <c r="M193" s="9" t="s">
        <v>11</v>
      </c>
      <c r="N193" s="9" t="s">
        <v>65</v>
      </c>
      <c r="O193" s="9" t="s">
        <v>13</v>
      </c>
      <c r="P193" s="9" t="s">
        <v>186</v>
      </c>
      <c r="Q193" s="9" t="s">
        <v>15</v>
      </c>
      <c r="R193" s="9" t="s">
        <v>16</v>
      </c>
      <c r="S193" s="9" t="s">
        <v>17</v>
      </c>
      <c r="U193" t="b">
        <f t="shared" si="20"/>
        <v>1</v>
      </c>
      <c r="V193" t="b">
        <f t="shared" si="21"/>
        <v>1</v>
      </c>
      <c r="W193" t="b">
        <f t="shared" si="22"/>
        <v>1</v>
      </c>
      <c r="X193" t="b">
        <f t="shared" si="23"/>
        <v>1</v>
      </c>
      <c r="Y193" t="b">
        <f t="shared" si="24"/>
        <v>1</v>
      </c>
      <c r="Z193" t="b">
        <f t="shared" si="25"/>
        <v>1</v>
      </c>
      <c r="AA193" t="b">
        <f t="shared" si="26"/>
        <v>1</v>
      </c>
      <c r="AB193" t="b">
        <f t="shared" si="27"/>
        <v>1</v>
      </c>
    </row>
    <row r="194" spans="1:28" ht="14.4">
      <c r="A194" s="2" t="s">
        <v>323</v>
      </c>
      <c r="B194" s="2" t="s">
        <v>10</v>
      </c>
      <c r="C194" s="2" t="s">
        <v>11</v>
      </c>
      <c r="D194" s="2" t="s">
        <v>65</v>
      </c>
      <c r="E194" s="2" t="s">
        <v>13</v>
      </c>
      <c r="F194" s="2" t="s">
        <v>186</v>
      </c>
      <c r="G194" s="2" t="s">
        <v>14</v>
      </c>
      <c r="H194" s="2" t="s">
        <v>12</v>
      </c>
      <c r="I194" s="2" t="s">
        <v>17</v>
      </c>
      <c r="J194" t="b">
        <f t="shared" si="19"/>
        <v>1</v>
      </c>
      <c r="K194" s="6" t="s">
        <v>323</v>
      </c>
      <c r="L194" s="7" t="s">
        <v>10</v>
      </c>
      <c r="M194" s="7" t="s">
        <v>11</v>
      </c>
      <c r="N194" s="7" t="s">
        <v>65</v>
      </c>
      <c r="O194" s="7" t="s">
        <v>13</v>
      </c>
      <c r="P194" s="7" t="s">
        <v>186</v>
      </c>
      <c r="Q194" s="7" t="s">
        <v>14</v>
      </c>
      <c r="R194" s="7" t="s">
        <v>12</v>
      </c>
      <c r="S194" s="7" t="s">
        <v>17</v>
      </c>
      <c r="U194" t="b">
        <f t="shared" si="20"/>
        <v>1</v>
      </c>
      <c r="V194" t="b">
        <f t="shared" si="21"/>
        <v>1</v>
      </c>
      <c r="W194" t="b">
        <f t="shared" si="22"/>
        <v>1</v>
      </c>
      <c r="X194" t="b">
        <f t="shared" si="23"/>
        <v>1</v>
      </c>
      <c r="Y194" t="b">
        <f t="shared" si="24"/>
        <v>1</v>
      </c>
      <c r="Z194" t="b">
        <f t="shared" si="25"/>
        <v>1</v>
      </c>
      <c r="AA194" t="b">
        <f t="shared" si="26"/>
        <v>1</v>
      </c>
      <c r="AB194" t="b">
        <f t="shared" si="27"/>
        <v>1</v>
      </c>
    </row>
    <row r="195" spans="1:28" ht="14.4">
      <c r="A195" s="2" t="s">
        <v>322</v>
      </c>
      <c r="B195" s="2" t="s">
        <v>10</v>
      </c>
      <c r="C195" s="2" t="s">
        <v>11</v>
      </c>
      <c r="D195" s="2" t="s">
        <v>65</v>
      </c>
      <c r="E195" s="2" t="s">
        <v>13</v>
      </c>
      <c r="F195" s="2" t="s">
        <v>186</v>
      </c>
      <c r="G195" s="2" t="s">
        <v>14</v>
      </c>
      <c r="H195" s="2" t="s">
        <v>16</v>
      </c>
      <c r="I195" s="2" t="s">
        <v>12</v>
      </c>
      <c r="J195" t="b">
        <f t="shared" ref="J195:J258" si="28">K195=A195</f>
        <v>1</v>
      </c>
      <c r="K195" s="8" t="s">
        <v>322</v>
      </c>
      <c r="L195" s="9" t="s">
        <v>10</v>
      </c>
      <c r="M195" s="9" t="s">
        <v>11</v>
      </c>
      <c r="N195" s="9" t="s">
        <v>65</v>
      </c>
      <c r="O195" s="9" t="s">
        <v>13</v>
      </c>
      <c r="P195" s="9" t="s">
        <v>186</v>
      </c>
      <c r="Q195" s="9" t="s">
        <v>14</v>
      </c>
      <c r="R195" s="9" t="s">
        <v>16</v>
      </c>
      <c r="S195" s="9" t="s">
        <v>12</v>
      </c>
      <c r="U195" t="b">
        <f t="shared" ref="U195:U258" si="29">B195=L195</f>
        <v>1</v>
      </c>
      <c r="V195" t="b">
        <f t="shared" ref="V195:V258" si="30">C195=M195</f>
        <v>1</v>
      </c>
      <c r="W195" t="b">
        <f t="shared" ref="W195:W258" si="31">D195=N195</f>
        <v>1</v>
      </c>
      <c r="X195" t="b">
        <f t="shared" ref="X195:X258" si="32">E195=O195</f>
        <v>1</v>
      </c>
      <c r="Y195" t="b">
        <f t="shared" ref="Y195:Y258" si="33">F195=P195</f>
        <v>1</v>
      </c>
      <c r="Z195" t="b">
        <f t="shared" ref="Z195:Z258" si="34">G195=Q195</f>
        <v>1</v>
      </c>
      <c r="AA195" t="b">
        <f t="shared" ref="AA195:AA258" si="35">H195=R195</f>
        <v>1</v>
      </c>
      <c r="AB195" t="b">
        <f t="shared" ref="AB195:AB258" si="36">I195=S195</f>
        <v>1</v>
      </c>
    </row>
    <row r="196" spans="1:28" ht="14.4">
      <c r="A196" s="2" t="s">
        <v>321</v>
      </c>
      <c r="B196" s="2" t="s">
        <v>10</v>
      </c>
      <c r="C196" s="2" t="s">
        <v>12</v>
      </c>
      <c r="D196" s="2" t="s">
        <v>65</v>
      </c>
      <c r="E196" s="2" t="s">
        <v>13</v>
      </c>
      <c r="F196" s="2" t="s">
        <v>186</v>
      </c>
      <c r="G196" s="2" t="s">
        <v>14</v>
      </c>
      <c r="H196" s="2" t="s">
        <v>16</v>
      </c>
      <c r="I196" s="2" t="s">
        <v>17</v>
      </c>
      <c r="J196" t="b">
        <f t="shared" si="28"/>
        <v>1</v>
      </c>
      <c r="K196" s="6" t="s">
        <v>321</v>
      </c>
      <c r="L196" s="7" t="s">
        <v>10</v>
      </c>
      <c r="M196" s="7" t="s">
        <v>12</v>
      </c>
      <c r="N196" s="7" t="s">
        <v>65</v>
      </c>
      <c r="O196" s="7" t="s">
        <v>13</v>
      </c>
      <c r="P196" s="7" t="s">
        <v>186</v>
      </c>
      <c r="Q196" s="7" t="s">
        <v>14</v>
      </c>
      <c r="R196" s="7" t="s">
        <v>16</v>
      </c>
      <c r="S196" s="7" t="s">
        <v>17</v>
      </c>
      <c r="U196" t="b">
        <f t="shared" si="29"/>
        <v>1</v>
      </c>
      <c r="V196" t="b">
        <f t="shared" si="30"/>
        <v>1</v>
      </c>
      <c r="W196" t="b">
        <f t="shared" si="31"/>
        <v>1</v>
      </c>
      <c r="X196" t="b">
        <f t="shared" si="32"/>
        <v>1</v>
      </c>
      <c r="Y196" t="b">
        <f t="shared" si="33"/>
        <v>1</v>
      </c>
      <c r="Z196" t="b">
        <f t="shared" si="34"/>
        <v>1</v>
      </c>
      <c r="AA196" t="b">
        <f t="shared" si="35"/>
        <v>1</v>
      </c>
      <c r="AB196" t="b">
        <f t="shared" si="36"/>
        <v>1</v>
      </c>
    </row>
    <row r="197" spans="1:28" ht="14.4">
      <c r="A197" s="2" t="s">
        <v>320</v>
      </c>
      <c r="B197" s="2" t="s">
        <v>10</v>
      </c>
      <c r="C197" s="2" t="s">
        <v>11</v>
      </c>
      <c r="D197" s="2" t="s">
        <v>65</v>
      </c>
      <c r="E197" s="2" t="s">
        <v>13</v>
      </c>
      <c r="F197" s="2" t="s">
        <v>186</v>
      </c>
      <c r="G197" s="2" t="s">
        <v>14</v>
      </c>
      <c r="H197" s="2" t="s">
        <v>16</v>
      </c>
      <c r="I197" s="2" t="s">
        <v>17</v>
      </c>
      <c r="J197" t="b">
        <f t="shared" si="28"/>
        <v>1</v>
      </c>
      <c r="K197" s="8" t="s">
        <v>320</v>
      </c>
      <c r="L197" s="9" t="s">
        <v>10</v>
      </c>
      <c r="M197" s="9" t="s">
        <v>11</v>
      </c>
      <c r="N197" s="9" t="s">
        <v>65</v>
      </c>
      <c r="O197" s="9" t="s">
        <v>13</v>
      </c>
      <c r="P197" s="9" t="s">
        <v>186</v>
      </c>
      <c r="Q197" s="9" t="s">
        <v>14</v>
      </c>
      <c r="R197" s="9" t="s">
        <v>16</v>
      </c>
      <c r="S197" s="9" t="s">
        <v>17</v>
      </c>
      <c r="U197" t="b">
        <f t="shared" si="29"/>
        <v>1</v>
      </c>
      <c r="V197" t="b">
        <f t="shared" si="30"/>
        <v>1</v>
      </c>
      <c r="W197" t="b">
        <f t="shared" si="31"/>
        <v>1</v>
      </c>
      <c r="X197" t="b">
        <f t="shared" si="32"/>
        <v>1</v>
      </c>
      <c r="Y197" t="b">
        <f t="shared" si="33"/>
        <v>1</v>
      </c>
      <c r="Z197" t="b">
        <f t="shared" si="34"/>
        <v>1</v>
      </c>
      <c r="AA197" t="b">
        <f t="shared" si="35"/>
        <v>1</v>
      </c>
      <c r="AB197" t="b">
        <f t="shared" si="36"/>
        <v>1</v>
      </c>
    </row>
    <row r="198" spans="1:28" ht="14.4">
      <c r="A198" s="2" t="s">
        <v>319</v>
      </c>
      <c r="B198" s="2" t="s">
        <v>10</v>
      </c>
      <c r="C198" s="2" t="s">
        <v>11</v>
      </c>
      <c r="D198" s="2" t="s">
        <v>65</v>
      </c>
      <c r="E198" s="2" t="s">
        <v>186</v>
      </c>
      <c r="F198" s="2" t="s">
        <v>12</v>
      </c>
      <c r="G198" s="2" t="s">
        <v>13</v>
      </c>
      <c r="H198" s="2" t="s">
        <v>16</v>
      </c>
      <c r="I198" s="2" t="s">
        <v>17</v>
      </c>
      <c r="J198" t="b">
        <f t="shared" si="28"/>
        <v>1</v>
      </c>
      <c r="K198" s="6" t="s">
        <v>319</v>
      </c>
      <c r="L198" s="7" t="s">
        <v>10</v>
      </c>
      <c r="M198" s="7" t="s">
        <v>11</v>
      </c>
      <c r="N198" s="7" t="s">
        <v>65</v>
      </c>
      <c r="O198" s="7" t="s">
        <v>186</v>
      </c>
      <c r="P198" s="7" t="s">
        <v>12</v>
      </c>
      <c r="Q198" s="7" t="s">
        <v>13</v>
      </c>
      <c r="R198" s="7" t="s">
        <v>16</v>
      </c>
      <c r="S198" s="7" t="s">
        <v>17</v>
      </c>
      <c r="U198" t="b">
        <f t="shared" si="29"/>
        <v>1</v>
      </c>
      <c r="V198" t="b">
        <f t="shared" si="30"/>
        <v>1</v>
      </c>
      <c r="W198" t="b">
        <f t="shared" si="31"/>
        <v>1</v>
      </c>
      <c r="X198" t="b">
        <f t="shared" si="32"/>
        <v>1</v>
      </c>
      <c r="Y198" t="b">
        <f t="shared" si="33"/>
        <v>1</v>
      </c>
      <c r="Z198" t="b">
        <f t="shared" si="34"/>
        <v>1</v>
      </c>
      <c r="AA198" t="b">
        <f t="shared" si="35"/>
        <v>1</v>
      </c>
      <c r="AB198" t="b">
        <f t="shared" si="36"/>
        <v>1</v>
      </c>
    </row>
    <row r="199" spans="1:28" ht="14.4">
      <c r="A199" s="2" t="s">
        <v>318</v>
      </c>
      <c r="B199" s="2" t="s">
        <v>10</v>
      </c>
      <c r="C199" s="2" t="s">
        <v>11</v>
      </c>
      <c r="D199" s="2" t="s">
        <v>65</v>
      </c>
      <c r="E199" s="2" t="s">
        <v>186</v>
      </c>
      <c r="F199" s="2" t="s">
        <v>14</v>
      </c>
      <c r="G199" s="2" t="s">
        <v>15</v>
      </c>
      <c r="H199" s="2" t="s">
        <v>12</v>
      </c>
      <c r="I199" s="2" t="s">
        <v>17</v>
      </c>
      <c r="J199" t="b">
        <f t="shared" si="28"/>
        <v>1</v>
      </c>
      <c r="K199" s="8" t="s">
        <v>318</v>
      </c>
      <c r="L199" s="9" t="s">
        <v>10</v>
      </c>
      <c r="M199" s="9" t="s">
        <v>11</v>
      </c>
      <c r="N199" s="9" t="s">
        <v>65</v>
      </c>
      <c r="O199" s="9" t="s">
        <v>186</v>
      </c>
      <c r="P199" s="9" t="s">
        <v>14</v>
      </c>
      <c r="Q199" s="9" t="s">
        <v>15</v>
      </c>
      <c r="R199" s="9" t="s">
        <v>12</v>
      </c>
      <c r="S199" s="9" t="s">
        <v>17</v>
      </c>
      <c r="U199" t="b">
        <f t="shared" si="29"/>
        <v>1</v>
      </c>
      <c r="V199" t="b">
        <f t="shared" si="30"/>
        <v>1</v>
      </c>
      <c r="W199" t="b">
        <f t="shared" si="31"/>
        <v>1</v>
      </c>
      <c r="X199" t="b">
        <f t="shared" si="32"/>
        <v>1</v>
      </c>
      <c r="Y199" t="b">
        <f t="shared" si="33"/>
        <v>1</v>
      </c>
      <c r="Z199" t="b">
        <f t="shared" si="34"/>
        <v>1</v>
      </c>
      <c r="AA199" t="b">
        <f t="shared" si="35"/>
        <v>1</v>
      </c>
      <c r="AB199" t="b">
        <f t="shared" si="36"/>
        <v>1</v>
      </c>
    </row>
    <row r="200" spans="1:28" ht="14.4" hidden="1">
      <c r="A200" s="2" t="s">
        <v>317</v>
      </c>
      <c r="B200" s="2" t="s">
        <v>10</v>
      </c>
      <c r="C200" s="2" t="s">
        <v>11</v>
      </c>
      <c r="D200" s="2" t="s">
        <v>65</v>
      </c>
      <c r="E200" s="2" t="s">
        <v>186</v>
      </c>
      <c r="F200" s="2" t="s">
        <v>14</v>
      </c>
      <c r="G200" s="2" t="s">
        <v>15</v>
      </c>
      <c r="H200" s="2" t="s">
        <v>16</v>
      </c>
      <c r="I200" s="2" t="s">
        <v>12</v>
      </c>
      <c r="J200" t="b">
        <f t="shared" si="28"/>
        <v>1</v>
      </c>
      <c r="K200" s="6" t="s">
        <v>317</v>
      </c>
      <c r="L200" s="7" t="s">
        <v>10</v>
      </c>
      <c r="M200" s="7" t="s">
        <v>11</v>
      </c>
      <c r="N200" s="7" t="s">
        <v>65</v>
      </c>
      <c r="O200" s="7" t="s">
        <v>186</v>
      </c>
      <c r="P200" s="7" t="s">
        <v>12</v>
      </c>
      <c r="Q200" s="7" t="s">
        <v>15</v>
      </c>
      <c r="R200" s="7" t="s">
        <v>16</v>
      </c>
      <c r="S200" s="7" t="s">
        <v>17</v>
      </c>
      <c r="U200" t="b">
        <f t="shared" si="29"/>
        <v>1</v>
      </c>
      <c r="V200" t="b">
        <f t="shared" si="30"/>
        <v>1</v>
      </c>
      <c r="W200" t="b">
        <f t="shared" si="31"/>
        <v>1</v>
      </c>
      <c r="X200" t="b">
        <f t="shared" si="32"/>
        <v>1</v>
      </c>
      <c r="Y200" t="b">
        <f t="shared" si="33"/>
        <v>0</v>
      </c>
      <c r="Z200" t="b">
        <f t="shared" si="34"/>
        <v>1</v>
      </c>
      <c r="AA200" t="b">
        <f t="shared" si="35"/>
        <v>1</v>
      </c>
      <c r="AB200" t="b">
        <f t="shared" si="36"/>
        <v>0</v>
      </c>
    </row>
    <row r="201" spans="1:28" ht="14.4">
      <c r="A201" s="2" t="s">
        <v>316</v>
      </c>
      <c r="B201" s="2" t="s">
        <v>10</v>
      </c>
      <c r="C201" s="2" t="s">
        <v>15</v>
      </c>
      <c r="D201" s="2" t="s">
        <v>65</v>
      </c>
      <c r="E201" s="2" t="s">
        <v>186</v>
      </c>
      <c r="F201" s="2" t="s">
        <v>12</v>
      </c>
      <c r="G201" s="2" t="s">
        <v>14</v>
      </c>
      <c r="H201" s="2" t="s">
        <v>16</v>
      </c>
      <c r="I201" s="2" t="s">
        <v>17</v>
      </c>
      <c r="J201" t="b">
        <f t="shared" si="28"/>
        <v>1</v>
      </c>
      <c r="K201" s="8" t="s">
        <v>316</v>
      </c>
      <c r="L201" s="9" t="s">
        <v>10</v>
      </c>
      <c r="M201" s="9" t="s">
        <v>15</v>
      </c>
      <c r="N201" s="9" t="s">
        <v>65</v>
      </c>
      <c r="O201" s="9" t="s">
        <v>186</v>
      </c>
      <c r="P201" s="9" t="s">
        <v>12</v>
      </c>
      <c r="Q201" s="9" t="s">
        <v>14</v>
      </c>
      <c r="R201" s="9" t="s">
        <v>16</v>
      </c>
      <c r="S201" s="9" t="s">
        <v>17</v>
      </c>
      <c r="U201" t="b">
        <f t="shared" si="29"/>
        <v>1</v>
      </c>
      <c r="V201" t="b">
        <f t="shared" si="30"/>
        <v>1</v>
      </c>
      <c r="W201" t="b">
        <f t="shared" si="31"/>
        <v>1</v>
      </c>
      <c r="X201" t="b">
        <f t="shared" si="32"/>
        <v>1</v>
      </c>
      <c r="Y201" t="b">
        <f t="shared" si="33"/>
        <v>1</v>
      </c>
      <c r="Z201" t="b">
        <f t="shared" si="34"/>
        <v>1</v>
      </c>
      <c r="AA201" t="b">
        <f t="shared" si="35"/>
        <v>1</v>
      </c>
      <c r="AB201" t="b">
        <f t="shared" si="36"/>
        <v>1</v>
      </c>
    </row>
    <row r="202" spans="1:28" ht="14.4">
      <c r="A202" s="2" t="s">
        <v>315</v>
      </c>
      <c r="B202" s="2" t="s">
        <v>10</v>
      </c>
      <c r="C202" s="2" t="s">
        <v>11</v>
      </c>
      <c r="D202" s="2" t="s">
        <v>65</v>
      </c>
      <c r="E202" s="2" t="s">
        <v>186</v>
      </c>
      <c r="F202" s="2" t="s">
        <v>14</v>
      </c>
      <c r="G202" s="2" t="s">
        <v>15</v>
      </c>
      <c r="H202" s="2" t="s">
        <v>16</v>
      </c>
      <c r="I202" s="2" t="s">
        <v>17</v>
      </c>
      <c r="J202" t="b">
        <f t="shared" si="28"/>
        <v>1</v>
      </c>
      <c r="K202" s="6" t="s">
        <v>315</v>
      </c>
      <c r="L202" s="7" t="s">
        <v>10</v>
      </c>
      <c r="M202" s="7" t="s">
        <v>11</v>
      </c>
      <c r="N202" s="7" t="s">
        <v>65</v>
      </c>
      <c r="O202" s="7" t="s">
        <v>186</v>
      </c>
      <c r="P202" s="7" t="s">
        <v>14</v>
      </c>
      <c r="Q202" s="7" t="s">
        <v>15</v>
      </c>
      <c r="R202" s="7" t="s">
        <v>16</v>
      </c>
      <c r="S202" s="7" t="s">
        <v>17</v>
      </c>
      <c r="U202" t="b">
        <f t="shared" si="29"/>
        <v>1</v>
      </c>
      <c r="V202" t="b">
        <f t="shared" si="30"/>
        <v>1</v>
      </c>
      <c r="W202" t="b">
        <f t="shared" si="31"/>
        <v>1</v>
      </c>
      <c r="X202" t="b">
        <f t="shared" si="32"/>
        <v>1</v>
      </c>
      <c r="Y202" t="b">
        <f t="shared" si="33"/>
        <v>1</v>
      </c>
      <c r="Z202" t="b">
        <f t="shared" si="34"/>
        <v>1</v>
      </c>
      <c r="AA202" t="b">
        <f t="shared" si="35"/>
        <v>1</v>
      </c>
      <c r="AB202" t="b">
        <f t="shared" si="36"/>
        <v>1</v>
      </c>
    </row>
    <row r="203" spans="1:28" ht="14.4" hidden="1">
      <c r="A203" s="2" t="s">
        <v>314</v>
      </c>
      <c r="B203" s="2" t="s">
        <v>10</v>
      </c>
      <c r="C203" s="2" t="s">
        <v>11</v>
      </c>
      <c r="D203" s="2" t="s">
        <v>65</v>
      </c>
      <c r="E203" s="2" t="s">
        <v>186</v>
      </c>
      <c r="F203" s="2" t="s">
        <v>12</v>
      </c>
      <c r="G203" s="2" t="s">
        <v>15</v>
      </c>
      <c r="H203" s="2" t="s">
        <v>16</v>
      </c>
      <c r="I203" s="2" t="s">
        <v>17</v>
      </c>
      <c r="J203" t="b">
        <f t="shared" si="28"/>
        <v>1</v>
      </c>
      <c r="K203" s="8" t="s">
        <v>314</v>
      </c>
      <c r="L203" s="9" t="s">
        <v>14</v>
      </c>
      <c r="M203" s="9" t="s">
        <v>15</v>
      </c>
      <c r="N203" s="9" t="s">
        <v>65</v>
      </c>
      <c r="O203" s="9" t="s">
        <v>28</v>
      </c>
      <c r="P203" s="9" t="s">
        <v>186</v>
      </c>
      <c r="Q203" s="9" t="s">
        <v>13</v>
      </c>
      <c r="R203" s="9" t="s">
        <v>19</v>
      </c>
      <c r="S203" s="9" t="s">
        <v>10</v>
      </c>
      <c r="U203" t="b">
        <f t="shared" si="29"/>
        <v>0</v>
      </c>
      <c r="V203" t="b">
        <f t="shared" si="30"/>
        <v>0</v>
      </c>
      <c r="W203" t="b">
        <f t="shared" si="31"/>
        <v>1</v>
      </c>
      <c r="X203" t="b">
        <f t="shared" si="32"/>
        <v>0</v>
      </c>
      <c r="Y203" t="b">
        <f t="shared" si="33"/>
        <v>0</v>
      </c>
      <c r="Z203" t="b">
        <f t="shared" si="34"/>
        <v>0</v>
      </c>
      <c r="AA203" t="b">
        <f t="shared" si="35"/>
        <v>0</v>
      </c>
      <c r="AB203" t="b">
        <f t="shared" si="36"/>
        <v>0</v>
      </c>
    </row>
    <row r="204" spans="1:28" ht="14.4">
      <c r="A204" s="2" t="s">
        <v>313</v>
      </c>
      <c r="B204" s="2" t="s">
        <v>10</v>
      </c>
      <c r="C204" s="2" t="s">
        <v>11</v>
      </c>
      <c r="D204" s="2" t="s">
        <v>65</v>
      </c>
      <c r="E204" s="2" t="s">
        <v>186</v>
      </c>
      <c r="F204" s="2" t="s">
        <v>12</v>
      </c>
      <c r="G204" s="2" t="s">
        <v>14</v>
      </c>
      <c r="H204" s="2" t="s">
        <v>16</v>
      </c>
      <c r="I204" s="2" t="s">
        <v>17</v>
      </c>
      <c r="J204" t="b">
        <f t="shared" si="28"/>
        <v>1</v>
      </c>
      <c r="K204" s="6" t="s">
        <v>313</v>
      </c>
      <c r="L204" s="7" t="s">
        <v>10</v>
      </c>
      <c r="M204" s="7" t="s">
        <v>11</v>
      </c>
      <c r="N204" s="7" t="s">
        <v>65</v>
      </c>
      <c r="O204" s="7" t="s">
        <v>186</v>
      </c>
      <c r="P204" s="7" t="s">
        <v>12</v>
      </c>
      <c r="Q204" s="7" t="s">
        <v>14</v>
      </c>
      <c r="R204" s="7" t="s">
        <v>16</v>
      </c>
      <c r="S204" s="7" t="s">
        <v>17</v>
      </c>
      <c r="U204" t="b">
        <f t="shared" si="29"/>
        <v>1</v>
      </c>
      <c r="V204" t="b">
        <f t="shared" si="30"/>
        <v>1</v>
      </c>
      <c r="W204" t="b">
        <f t="shared" si="31"/>
        <v>1</v>
      </c>
      <c r="X204" t="b">
        <f t="shared" si="32"/>
        <v>1</v>
      </c>
      <c r="Y204" t="b">
        <f t="shared" si="33"/>
        <v>1</v>
      </c>
      <c r="Z204" t="b">
        <f t="shared" si="34"/>
        <v>1</v>
      </c>
      <c r="AA204" t="b">
        <f t="shared" si="35"/>
        <v>1</v>
      </c>
      <c r="AB204" t="b">
        <f t="shared" si="36"/>
        <v>1</v>
      </c>
    </row>
    <row r="205" spans="1:28" ht="14.4">
      <c r="A205" s="2" t="s">
        <v>312</v>
      </c>
      <c r="B205" s="2" t="s">
        <v>14</v>
      </c>
      <c r="C205" s="2" t="s">
        <v>11</v>
      </c>
      <c r="D205" s="2" t="s">
        <v>65</v>
      </c>
      <c r="E205" s="2" t="s">
        <v>13</v>
      </c>
      <c r="F205" s="2" t="s">
        <v>186</v>
      </c>
      <c r="G205" s="2" t="s">
        <v>15</v>
      </c>
      <c r="H205" s="2" t="s">
        <v>12</v>
      </c>
      <c r="I205" s="2" t="s">
        <v>17</v>
      </c>
      <c r="J205" t="b">
        <f t="shared" si="28"/>
        <v>1</v>
      </c>
      <c r="K205" s="8" t="s">
        <v>312</v>
      </c>
      <c r="L205" s="9" t="s">
        <v>14</v>
      </c>
      <c r="M205" s="9" t="s">
        <v>11</v>
      </c>
      <c r="N205" s="9" t="s">
        <v>65</v>
      </c>
      <c r="O205" s="9" t="s">
        <v>13</v>
      </c>
      <c r="P205" s="9" t="s">
        <v>186</v>
      </c>
      <c r="Q205" s="9" t="s">
        <v>15</v>
      </c>
      <c r="R205" s="9" t="s">
        <v>12</v>
      </c>
      <c r="S205" s="9" t="s">
        <v>17</v>
      </c>
      <c r="U205" t="b">
        <f t="shared" si="29"/>
        <v>1</v>
      </c>
      <c r="V205" t="b">
        <f t="shared" si="30"/>
        <v>1</v>
      </c>
      <c r="W205" t="b">
        <f t="shared" si="31"/>
        <v>1</v>
      </c>
      <c r="X205" t="b">
        <f t="shared" si="32"/>
        <v>1</v>
      </c>
      <c r="Y205" t="b">
        <f t="shared" si="33"/>
        <v>1</v>
      </c>
      <c r="Z205" t="b">
        <f t="shared" si="34"/>
        <v>1</v>
      </c>
      <c r="AA205" t="b">
        <f t="shared" si="35"/>
        <v>1</v>
      </c>
      <c r="AB205" t="b">
        <f t="shared" si="36"/>
        <v>1</v>
      </c>
    </row>
    <row r="206" spans="1:28" ht="14.4">
      <c r="A206" s="2" t="s">
        <v>311</v>
      </c>
      <c r="B206" s="2" t="s">
        <v>14</v>
      </c>
      <c r="C206" s="2" t="s">
        <v>11</v>
      </c>
      <c r="D206" s="2" t="s">
        <v>65</v>
      </c>
      <c r="E206" s="2" t="s">
        <v>13</v>
      </c>
      <c r="F206" s="2" t="s">
        <v>186</v>
      </c>
      <c r="G206" s="2" t="s">
        <v>15</v>
      </c>
      <c r="H206" s="2" t="s">
        <v>16</v>
      </c>
      <c r="I206" s="2" t="s">
        <v>12</v>
      </c>
      <c r="J206" t="b">
        <f t="shared" si="28"/>
        <v>1</v>
      </c>
      <c r="K206" s="6" t="s">
        <v>311</v>
      </c>
      <c r="L206" s="7" t="s">
        <v>14</v>
      </c>
      <c r="M206" s="7" t="s">
        <v>11</v>
      </c>
      <c r="N206" s="7" t="s">
        <v>65</v>
      </c>
      <c r="O206" s="7" t="s">
        <v>13</v>
      </c>
      <c r="P206" s="7" t="s">
        <v>186</v>
      </c>
      <c r="Q206" s="7" t="s">
        <v>15</v>
      </c>
      <c r="R206" s="7" t="s">
        <v>16</v>
      </c>
      <c r="S206" s="7" t="s">
        <v>12</v>
      </c>
      <c r="U206" t="b">
        <f t="shared" si="29"/>
        <v>1</v>
      </c>
      <c r="V206" t="b">
        <f t="shared" si="30"/>
        <v>1</v>
      </c>
      <c r="W206" t="b">
        <f t="shared" si="31"/>
        <v>1</v>
      </c>
      <c r="X206" t="b">
        <f t="shared" si="32"/>
        <v>1</v>
      </c>
      <c r="Y206" t="b">
        <f t="shared" si="33"/>
        <v>1</v>
      </c>
      <c r="Z206" t="b">
        <f t="shared" si="34"/>
        <v>1</v>
      </c>
      <c r="AA206" t="b">
        <f t="shared" si="35"/>
        <v>1</v>
      </c>
      <c r="AB206" t="b">
        <f t="shared" si="36"/>
        <v>1</v>
      </c>
    </row>
    <row r="207" spans="1:28" ht="14.4">
      <c r="A207" s="2" t="s">
        <v>310</v>
      </c>
      <c r="B207" s="2" t="s">
        <v>14</v>
      </c>
      <c r="C207" s="2" t="s">
        <v>15</v>
      </c>
      <c r="D207" s="2" t="s">
        <v>65</v>
      </c>
      <c r="E207" s="2" t="s">
        <v>186</v>
      </c>
      <c r="F207" s="2" t="s">
        <v>12</v>
      </c>
      <c r="G207" s="2" t="s">
        <v>13</v>
      </c>
      <c r="H207" s="2" t="s">
        <v>16</v>
      </c>
      <c r="I207" s="2" t="s">
        <v>17</v>
      </c>
      <c r="J207" t="b">
        <f t="shared" si="28"/>
        <v>1</v>
      </c>
      <c r="K207" s="8" t="s">
        <v>310</v>
      </c>
      <c r="L207" s="9" t="s">
        <v>14</v>
      </c>
      <c r="M207" s="9" t="s">
        <v>15</v>
      </c>
      <c r="N207" s="9" t="s">
        <v>65</v>
      </c>
      <c r="O207" s="9" t="s">
        <v>186</v>
      </c>
      <c r="P207" s="9" t="s">
        <v>12</v>
      </c>
      <c r="Q207" s="9" t="s">
        <v>13</v>
      </c>
      <c r="R207" s="9" t="s">
        <v>16</v>
      </c>
      <c r="S207" s="9" t="s">
        <v>17</v>
      </c>
      <c r="U207" t="b">
        <f t="shared" si="29"/>
        <v>1</v>
      </c>
      <c r="V207" t="b">
        <f t="shared" si="30"/>
        <v>1</v>
      </c>
      <c r="W207" t="b">
        <f t="shared" si="31"/>
        <v>1</v>
      </c>
      <c r="X207" t="b">
        <f t="shared" si="32"/>
        <v>1</v>
      </c>
      <c r="Y207" t="b">
        <f t="shared" si="33"/>
        <v>1</v>
      </c>
      <c r="Z207" t="b">
        <f t="shared" si="34"/>
        <v>1</v>
      </c>
      <c r="AA207" t="b">
        <f t="shared" si="35"/>
        <v>1</v>
      </c>
      <c r="AB207" t="b">
        <f t="shared" si="36"/>
        <v>1</v>
      </c>
    </row>
    <row r="208" spans="1:28" ht="14.4">
      <c r="A208" s="2" t="s">
        <v>309</v>
      </c>
      <c r="B208" s="2" t="s">
        <v>14</v>
      </c>
      <c r="C208" s="2" t="s">
        <v>11</v>
      </c>
      <c r="D208" s="2" t="s">
        <v>65</v>
      </c>
      <c r="E208" s="2" t="s">
        <v>13</v>
      </c>
      <c r="F208" s="2" t="s">
        <v>186</v>
      </c>
      <c r="G208" s="2" t="s">
        <v>15</v>
      </c>
      <c r="H208" s="2" t="s">
        <v>16</v>
      </c>
      <c r="I208" s="2" t="s">
        <v>17</v>
      </c>
      <c r="J208" t="b">
        <f t="shared" si="28"/>
        <v>1</v>
      </c>
      <c r="K208" s="6" t="s">
        <v>309</v>
      </c>
      <c r="L208" s="7" t="s">
        <v>14</v>
      </c>
      <c r="M208" s="7" t="s">
        <v>11</v>
      </c>
      <c r="N208" s="7" t="s">
        <v>65</v>
      </c>
      <c r="O208" s="7" t="s">
        <v>13</v>
      </c>
      <c r="P208" s="7" t="s">
        <v>186</v>
      </c>
      <c r="Q208" s="7" t="s">
        <v>15</v>
      </c>
      <c r="R208" s="7" t="s">
        <v>16</v>
      </c>
      <c r="S208" s="7" t="s">
        <v>17</v>
      </c>
      <c r="U208" t="b">
        <f t="shared" si="29"/>
        <v>1</v>
      </c>
      <c r="V208" t="b">
        <f t="shared" si="30"/>
        <v>1</v>
      </c>
      <c r="W208" t="b">
        <f t="shared" si="31"/>
        <v>1</v>
      </c>
      <c r="X208" t="b">
        <f t="shared" si="32"/>
        <v>1</v>
      </c>
      <c r="Y208" t="b">
        <f t="shared" si="33"/>
        <v>1</v>
      </c>
      <c r="Z208" t="b">
        <f t="shared" si="34"/>
        <v>1</v>
      </c>
      <c r="AA208" t="b">
        <f t="shared" si="35"/>
        <v>1</v>
      </c>
      <c r="AB208" t="b">
        <f t="shared" si="36"/>
        <v>1</v>
      </c>
    </row>
    <row r="209" spans="1:28" ht="14.4">
      <c r="A209" s="2" t="s">
        <v>308</v>
      </c>
      <c r="B209" s="2" t="s">
        <v>12</v>
      </c>
      <c r="C209" s="2" t="s">
        <v>11</v>
      </c>
      <c r="D209" s="2" t="s">
        <v>65</v>
      </c>
      <c r="E209" s="2" t="s">
        <v>13</v>
      </c>
      <c r="F209" s="2" t="s">
        <v>186</v>
      </c>
      <c r="G209" s="2" t="s">
        <v>15</v>
      </c>
      <c r="H209" s="2" t="s">
        <v>16</v>
      </c>
      <c r="I209" s="2" t="s">
        <v>17</v>
      </c>
      <c r="J209" t="b">
        <f t="shared" si="28"/>
        <v>1</v>
      </c>
      <c r="K209" s="8" t="s">
        <v>308</v>
      </c>
      <c r="L209" s="9" t="s">
        <v>12</v>
      </c>
      <c r="M209" s="9" t="s">
        <v>11</v>
      </c>
      <c r="N209" s="9" t="s">
        <v>65</v>
      </c>
      <c r="O209" s="9" t="s">
        <v>13</v>
      </c>
      <c r="P209" s="9" t="s">
        <v>186</v>
      </c>
      <c r="Q209" s="9" t="s">
        <v>15</v>
      </c>
      <c r="R209" s="9" t="s">
        <v>16</v>
      </c>
      <c r="S209" s="9" t="s">
        <v>17</v>
      </c>
      <c r="U209" t="b">
        <f t="shared" si="29"/>
        <v>1</v>
      </c>
      <c r="V209" t="b">
        <f t="shared" si="30"/>
        <v>1</v>
      </c>
      <c r="W209" t="b">
        <f t="shared" si="31"/>
        <v>1</v>
      </c>
      <c r="X209" t="b">
        <f t="shared" si="32"/>
        <v>1</v>
      </c>
      <c r="Y209" t="b">
        <f t="shared" si="33"/>
        <v>1</v>
      </c>
      <c r="Z209" t="b">
        <f t="shared" si="34"/>
        <v>1</v>
      </c>
      <c r="AA209" t="b">
        <f t="shared" si="35"/>
        <v>1</v>
      </c>
      <c r="AB209" t="b">
        <f t="shared" si="36"/>
        <v>1</v>
      </c>
    </row>
    <row r="210" spans="1:28" ht="14.4">
      <c r="A210" s="2" t="s">
        <v>307</v>
      </c>
      <c r="B210" s="2" t="s">
        <v>14</v>
      </c>
      <c r="C210" s="2" t="s">
        <v>11</v>
      </c>
      <c r="D210" s="2" t="s">
        <v>65</v>
      </c>
      <c r="E210" s="2" t="s">
        <v>186</v>
      </c>
      <c r="F210" s="2" t="s">
        <v>12</v>
      </c>
      <c r="G210" s="2" t="s">
        <v>13</v>
      </c>
      <c r="H210" s="2" t="s">
        <v>16</v>
      </c>
      <c r="I210" s="2" t="s">
        <v>17</v>
      </c>
      <c r="J210" t="b">
        <f t="shared" si="28"/>
        <v>1</v>
      </c>
      <c r="K210" s="6" t="s">
        <v>307</v>
      </c>
      <c r="L210" s="7" t="s">
        <v>14</v>
      </c>
      <c r="M210" s="7" t="s">
        <v>11</v>
      </c>
      <c r="N210" s="7" t="s">
        <v>65</v>
      </c>
      <c r="O210" s="7" t="s">
        <v>186</v>
      </c>
      <c r="P210" s="7" t="s">
        <v>12</v>
      </c>
      <c r="Q210" s="7" t="s">
        <v>13</v>
      </c>
      <c r="R210" s="7" t="s">
        <v>16</v>
      </c>
      <c r="S210" s="7" t="s">
        <v>17</v>
      </c>
      <c r="U210" t="b">
        <f t="shared" si="29"/>
        <v>1</v>
      </c>
      <c r="V210" t="b">
        <f t="shared" si="30"/>
        <v>1</v>
      </c>
      <c r="W210" t="b">
        <f t="shared" si="31"/>
        <v>1</v>
      </c>
      <c r="X210" t="b">
        <f t="shared" si="32"/>
        <v>1</v>
      </c>
      <c r="Y210" t="b">
        <f t="shared" si="33"/>
        <v>1</v>
      </c>
      <c r="Z210" t="b">
        <f t="shared" si="34"/>
        <v>1</v>
      </c>
      <c r="AA210" t="b">
        <f t="shared" si="35"/>
        <v>1</v>
      </c>
      <c r="AB210" t="b">
        <f t="shared" si="36"/>
        <v>1</v>
      </c>
    </row>
    <row r="211" spans="1:28" ht="14.4">
      <c r="A211" s="2" t="s">
        <v>306</v>
      </c>
      <c r="B211" s="2" t="s">
        <v>14</v>
      </c>
      <c r="C211" s="2" t="s">
        <v>11</v>
      </c>
      <c r="D211" s="2" t="s">
        <v>65</v>
      </c>
      <c r="E211" s="2" t="s">
        <v>186</v>
      </c>
      <c r="F211" s="2" t="s">
        <v>12</v>
      </c>
      <c r="G211" s="2" t="s">
        <v>15</v>
      </c>
      <c r="H211" s="2" t="s">
        <v>16</v>
      </c>
      <c r="I211" s="2" t="s">
        <v>17</v>
      </c>
      <c r="J211" t="b">
        <f t="shared" si="28"/>
        <v>1</v>
      </c>
      <c r="K211" s="8" t="s">
        <v>306</v>
      </c>
      <c r="L211" s="9" t="s">
        <v>14</v>
      </c>
      <c r="M211" s="9" t="s">
        <v>11</v>
      </c>
      <c r="N211" s="9" t="s">
        <v>65</v>
      </c>
      <c r="O211" s="9" t="s">
        <v>186</v>
      </c>
      <c r="P211" s="9" t="s">
        <v>12</v>
      </c>
      <c r="Q211" s="9" t="s">
        <v>15</v>
      </c>
      <c r="R211" s="9" t="s">
        <v>16</v>
      </c>
      <c r="S211" s="9" t="s">
        <v>17</v>
      </c>
      <c r="U211" t="b">
        <f t="shared" si="29"/>
        <v>1</v>
      </c>
      <c r="V211" t="b">
        <f t="shared" si="30"/>
        <v>1</v>
      </c>
      <c r="W211" t="b">
        <f t="shared" si="31"/>
        <v>1</v>
      </c>
      <c r="X211" t="b">
        <f t="shared" si="32"/>
        <v>1</v>
      </c>
      <c r="Y211" t="b">
        <f t="shared" si="33"/>
        <v>1</v>
      </c>
      <c r="Z211" t="b">
        <f t="shared" si="34"/>
        <v>1</v>
      </c>
      <c r="AA211" t="b">
        <f t="shared" si="35"/>
        <v>1</v>
      </c>
      <c r="AB211" t="b">
        <f t="shared" si="36"/>
        <v>1</v>
      </c>
    </row>
    <row r="212" spans="1:28" ht="14.4">
      <c r="A212" s="2" t="s">
        <v>305</v>
      </c>
      <c r="B212" s="2" t="s">
        <v>14</v>
      </c>
      <c r="C212" s="2" t="s">
        <v>15</v>
      </c>
      <c r="D212" s="2" t="s">
        <v>10</v>
      </c>
      <c r="E212" s="2" t="s">
        <v>28</v>
      </c>
      <c r="F212" s="2" t="s">
        <v>186</v>
      </c>
      <c r="G212" s="2" t="s">
        <v>13</v>
      </c>
      <c r="H212" s="2" t="s">
        <v>19</v>
      </c>
      <c r="I212" s="2" t="s">
        <v>12</v>
      </c>
      <c r="J212" t="b">
        <f t="shared" si="28"/>
        <v>1</v>
      </c>
      <c r="K212" s="6" t="s">
        <v>305</v>
      </c>
      <c r="L212" s="7" t="s">
        <v>14</v>
      </c>
      <c r="M212" s="7" t="s">
        <v>15</v>
      </c>
      <c r="N212" s="7" t="s">
        <v>10</v>
      </c>
      <c r="O212" s="7" t="s">
        <v>28</v>
      </c>
      <c r="P212" s="7" t="s">
        <v>186</v>
      </c>
      <c r="Q212" s="7" t="s">
        <v>13</v>
      </c>
      <c r="R212" s="7" t="s">
        <v>19</v>
      </c>
      <c r="S212" s="7" t="s">
        <v>12</v>
      </c>
      <c r="U212" t="b">
        <f t="shared" si="29"/>
        <v>1</v>
      </c>
      <c r="V212" t="b">
        <f t="shared" si="30"/>
        <v>1</v>
      </c>
      <c r="W212" t="b">
        <f t="shared" si="31"/>
        <v>1</v>
      </c>
      <c r="X212" t="b">
        <f t="shared" si="32"/>
        <v>1</v>
      </c>
      <c r="Y212" t="b">
        <f t="shared" si="33"/>
        <v>1</v>
      </c>
      <c r="Z212" t="b">
        <f t="shared" si="34"/>
        <v>1</v>
      </c>
      <c r="AA212" t="b">
        <f t="shared" si="35"/>
        <v>1</v>
      </c>
      <c r="AB212" t="b">
        <f t="shared" si="36"/>
        <v>1</v>
      </c>
    </row>
    <row r="213" spans="1:28" ht="14.4">
      <c r="A213" s="2" t="s">
        <v>304</v>
      </c>
      <c r="B213" s="2" t="s">
        <v>14</v>
      </c>
      <c r="C213" s="2" t="s">
        <v>15</v>
      </c>
      <c r="D213" s="2" t="s">
        <v>11</v>
      </c>
      <c r="E213" s="2" t="s">
        <v>28</v>
      </c>
      <c r="F213" s="2" t="s">
        <v>186</v>
      </c>
      <c r="G213" s="2" t="s">
        <v>13</v>
      </c>
      <c r="H213" s="2" t="s">
        <v>19</v>
      </c>
      <c r="I213" s="2" t="s">
        <v>10</v>
      </c>
      <c r="J213" t="b">
        <f t="shared" si="28"/>
        <v>1</v>
      </c>
      <c r="K213" s="8" t="s">
        <v>304</v>
      </c>
      <c r="L213" s="9" t="s">
        <v>14</v>
      </c>
      <c r="M213" s="9" t="s">
        <v>15</v>
      </c>
      <c r="N213" s="9" t="s">
        <v>11</v>
      </c>
      <c r="O213" s="9" t="s">
        <v>28</v>
      </c>
      <c r="P213" s="9" t="s">
        <v>186</v>
      </c>
      <c r="Q213" s="9" t="s">
        <v>13</v>
      </c>
      <c r="R213" s="9" t="s">
        <v>19</v>
      </c>
      <c r="S213" s="9" t="s">
        <v>10</v>
      </c>
      <c r="U213" t="b">
        <f t="shared" si="29"/>
        <v>1</v>
      </c>
      <c r="V213" t="b">
        <f t="shared" si="30"/>
        <v>1</v>
      </c>
      <c r="W213" t="b">
        <f t="shared" si="31"/>
        <v>1</v>
      </c>
      <c r="X213" t="b">
        <f t="shared" si="32"/>
        <v>1</v>
      </c>
      <c r="Y213" t="b">
        <f t="shared" si="33"/>
        <v>1</v>
      </c>
      <c r="Z213" t="b">
        <f t="shared" si="34"/>
        <v>1</v>
      </c>
      <c r="AA213" t="b">
        <f t="shared" si="35"/>
        <v>1</v>
      </c>
      <c r="AB213" t="b">
        <f t="shared" si="36"/>
        <v>1</v>
      </c>
    </row>
    <row r="214" spans="1:28" ht="14.4">
      <c r="A214" s="2" t="s">
        <v>303</v>
      </c>
      <c r="B214" s="2" t="s">
        <v>14</v>
      </c>
      <c r="C214" s="2" t="s">
        <v>15</v>
      </c>
      <c r="D214" s="2" t="s">
        <v>10</v>
      </c>
      <c r="E214" s="2" t="s">
        <v>28</v>
      </c>
      <c r="F214" s="2" t="s">
        <v>186</v>
      </c>
      <c r="G214" s="2" t="s">
        <v>13</v>
      </c>
      <c r="H214" s="2" t="s">
        <v>19</v>
      </c>
      <c r="I214" s="2" t="s">
        <v>17</v>
      </c>
      <c r="J214" t="b">
        <f t="shared" si="28"/>
        <v>1</v>
      </c>
      <c r="K214" s="6" t="s">
        <v>303</v>
      </c>
      <c r="L214" s="7" t="s">
        <v>14</v>
      </c>
      <c r="M214" s="7" t="s">
        <v>15</v>
      </c>
      <c r="N214" s="7" t="s">
        <v>10</v>
      </c>
      <c r="O214" s="7" t="s">
        <v>28</v>
      </c>
      <c r="P214" s="7" t="s">
        <v>186</v>
      </c>
      <c r="Q214" s="7" t="s">
        <v>13</v>
      </c>
      <c r="R214" s="7" t="s">
        <v>19</v>
      </c>
      <c r="S214" s="7" t="s">
        <v>17</v>
      </c>
      <c r="U214" t="b">
        <f t="shared" si="29"/>
        <v>1</v>
      </c>
      <c r="V214" t="b">
        <f t="shared" si="30"/>
        <v>1</v>
      </c>
      <c r="W214" t="b">
        <f t="shared" si="31"/>
        <v>1</v>
      </c>
      <c r="X214" t="b">
        <f t="shared" si="32"/>
        <v>1</v>
      </c>
      <c r="Y214" t="b">
        <f t="shared" si="33"/>
        <v>1</v>
      </c>
      <c r="Z214" t="b">
        <f t="shared" si="34"/>
        <v>1</v>
      </c>
      <c r="AA214" t="b">
        <f t="shared" si="35"/>
        <v>1</v>
      </c>
      <c r="AB214" t="b">
        <f t="shared" si="36"/>
        <v>1</v>
      </c>
    </row>
    <row r="215" spans="1:28" ht="14.4">
      <c r="A215" s="2" t="s">
        <v>302</v>
      </c>
      <c r="B215" s="2" t="s">
        <v>14</v>
      </c>
      <c r="C215" s="2" t="s">
        <v>15</v>
      </c>
      <c r="D215" s="2" t="s">
        <v>13</v>
      </c>
      <c r="E215" s="2" t="s">
        <v>28</v>
      </c>
      <c r="F215" s="2" t="s">
        <v>186</v>
      </c>
      <c r="G215" s="2" t="s">
        <v>19</v>
      </c>
      <c r="H215" s="2" t="s">
        <v>16</v>
      </c>
      <c r="I215" s="2" t="s">
        <v>10</v>
      </c>
      <c r="J215" t="b">
        <f t="shared" si="28"/>
        <v>1</v>
      </c>
      <c r="K215" s="8" t="s">
        <v>302</v>
      </c>
      <c r="L215" s="9" t="s">
        <v>14</v>
      </c>
      <c r="M215" s="9" t="s">
        <v>15</v>
      </c>
      <c r="N215" s="9" t="s">
        <v>13</v>
      </c>
      <c r="O215" s="9" t="s">
        <v>28</v>
      </c>
      <c r="P215" s="9" t="s">
        <v>186</v>
      </c>
      <c r="Q215" s="9" t="s">
        <v>19</v>
      </c>
      <c r="R215" s="9" t="s">
        <v>16</v>
      </c>
      <c r="S215" s="9" t="s">
        <v>10</v>
      </c>
      <c r="U215" t="b">
        <f t="shared" si="29"/>
        <v>1</v>
      </c>
      <c r="V215" t="b">
        <f t="shared" si="30"/>
        <v>1</v>
      </c>
      <c r="W215" t="b">
        <f t="shared" si="31"/>
        <v>1</v>
      </c>
      <c r="X215" t="b">
        <f t="shared" si="32"/>
        <v>1</v>
      </c>
      <c r="Y215" t="b">
        <f t="shared" si="33"/>
        <v>1</v>
      </c>
      <c r="Z215" t="b">
        <f t="shared" si="34"/>
        <v>1</v>
      </c>
      <c r="AA215" t="b">
        <f t="shared" si="35"/>
        <v>1</v>
      </c>
      <c r="AB215" t="b">
        <f t="shared" si="36"/>
        <v>1</v>
      </c>
    </row>
    <row r="216" spans="1:28" ht="14.4">
      <c r="A216" s="2" t="s">
        <v>301</v>
      </c>
      <c r="B216" s="2" t="s">
        <v>28</v>
      </c>
      <c r="C216" s="2" t="s">
        <v>15</v>
      </c>
      <c r="D216" s="2" t="s">
        <v>11</v>
      </c>
      <c r="E216" s="2" t="s">
        <v>19</v>
      </c>
      <c r="F216" s="2" t="s">
        <v>186</v>
      </c>
      <c r="G216" s="2" t="s">
        <v>13</v>
      </c>
      <c r="H216" s="2" t="s">
        <v>10</v>
      </c>
      <c r="I216" s="2" t="s">
        <v>12</v>
      </c>
      <c r="J216" t="b">
        <f t="shared" si="28"/>
        <v>1</v>
      </c>
      <c r="K216" s="6" t="s">
        <v>301</v>
      </c>
      <c r="L216" s="7" t="s">
        <v>28</v>
      </c>
      <c r="M216" s="7" t="s">
        <v>15</v>
      </c>
      <c r="N216" s="7" t="s">
        <v>11</v>
      </c>
      <c r="O216" s="7" t="s">
        <v>19</v>
      </c>
      <c r="P216" s="7" t="s">
        <v>186</v>
      </c>
      <c r="Q216" s="7" t="s">
        <v>13</v>
      </c>
      <c r="R216" s="7" t="s">
        <v>10</v>
      </c>
      <c r="S216" s="7" t="s">
        <v>12</v>
      </c>
      <c r="U216" t="b">
        <f t="shared" si="29"/>
        <v>1</v>
      </c>
      <c r="V216" t="b">
        <f t="shared" si="30"/>
        <v>1</v>
      </c>
      <c r="W216" t="b">
        <f t="shared" si="31"/>
        <v>1</v>
      </c>
      <c r="X216" t="b">
        <f t="shared" si="32"/>
        <v>1</v>
      </c>
      <c r="Y216" t="b">
        <f t="shared" si="33"/>
        <v>1</v>
      </c>
      <c r="Z216" t="b">
        <f t="shared" si="34"/>
        <v>1</v>
      </c>
      <c r="AA216" t="b">
        <f t="shared" si="35"/>
        <v>1</v>
      </c>
      <c r="AB216" t="b">
        <f t="shared" si="36"/>
        <v>1</v>
      </c>
    </row>
    <row r="217" spans="1:28" ht="14.4">
      <c r="A217" s="2" t="s">
        <v>300</v>
      </c>
      <c r="B217" s="2" t="s">
        <v>28</v>
      </c>
      <c r="C217" s="2" t="s">
        <v>15</v>
      </c>
      <c r="D217" s="2" t="s">
        <v>10</v>
      </c>
      <c r="E217" s="2" t="s">
        <v>19</v>
      </c>
      <c r="F217" s="2" t="s">
        <v>186</v>
      </c>
      <c r="G217" s="2" t="s">
        <v>13</v>
      </c>
      <c r="H217" s="2" t="s">
        <v>12</v>
      </c>
      <c r="I217" s="2" t="s">
        <v>17</v>
      </c>
      <c r="J217" t="b">
        <f t="shared" si="28"/>
        <v>1</v>
      </c>
      <c r="K217" s="8" t="s">
        <v>300</v>
      </c>
      <c r="L217" s="9" t="s">
        <v>28</v>
      </c>
      <c r="M217" s="9" t="s">
        <v>15</v>
      </c>
      <c r="N217" s="9" t="s">
        <v>10</v>
      </c>
      <c r="O217" s="9" t="s">
        <v>19</v>
      </c>
      <c r="P217" s="9" t="s">
        <v>186</v>
      </c>
      <c r="Q217" s="9" t="s">
        <v>13</v>
      </c>
      <c r="R217" s="9" t="s">
        <v>12</v>
      </c>
      <c r="S217" s="9" t="s">
        <v>17</v>
      </c>
      <c r="U217" t="b">
        <f t="shared" si="29"/>
        <v>1</v>
      </c>
      <c r="V217" t="b">
        <f t="shared" si="30"/>
        <v>1</v>
      </c>
      <c r="W217" t="b">
        <f t="shared" si="31"/>
        <v>1</v>
      </c>
      <c r="X217" t="b">
        <f t="shared" si="32"/>
        <v>1</v>
      </c>
      <c r="Y217" t="b">
        <f t="shared" si="33"/>
        <v>1</v>
      </c>
      <c r="Z217" t="b">
        <f t="shared" si="34"/>
        <v>1</v>
      </c>
      <c r="AA217" t="b">
        <f t="shared" si="35"/>
        <v>1</v>
      </c>
      <c r="AB217" t="b">
        <f t="shared" si="36"/>
        <v>1</v>
      </c>
    </row>
    <row r="218" spans="1:28" ht="14.4">
      <c r="A218" s="2" t="s">
        <v>299</v>
      </c>
      <c r="B218" s="2" t="s">
        <v>28</v>
      </c>
      <c r="C218" s="2" t="s">
        <v>15</v>
      </c>
      <c r="D218" s="2" t="s">
        <v>10</v>
      </c>
      <c r="E218" s="2" t="s">
        <v>19</v>
      </c>
      <c r="F218" s="2" t="s">
        <v>186</v>
      </c>
      <c r="G218" s="2" t="s">
        <v>13</v>
      </c>
      <c r="H218" s="2" t="s">
        <v>16</v>
      </c>
      <c r="I218" s="2" t="s">
        <v>12</v>
      </c>
      <c r="J218" t="b">
        <f t="shared" si="28"/>
        <v>1</v>
      </c>
      <c r="K218" s="6" t="s">
        <v>299</v>
      </c>
      <c r="L218" s="7" t="s">
        <v>28</v>
      </c>
      <c r="M218" s="7" t="s">
        <v>15</v>
      </c>
      <c r="N218" s="7" t="s">
        <v>10</v>
      </c>
      <c r="O218" s="7" t="s">
        <v>19</v>
      </c>
      <c r="P218" s="7" t="s">
        <v>186</v>
      </c>
      <c r="Q218" s="7" t="s">
        <v>13</v>
      </c>
      <c r="R218" s="7" t="s">
        <v>16</v>
      </c>
      <c r="S218" s="7" t="s">
        <v>12</v>
      </c>
      <c r="U218" t="b">
        <f t="shared" si="29"/>
        <v>1</v>
      </c>
      <c r="V218" t="b">
        <f t="shared" si="30"/>
        <v>1</v>
      </c>
      <c r="W218" t="b">
        <f t="shared" si="31"/>
        <v>1</v>
      </c>
      <c r="X218" t="b">
        <f t="shared" si="32"/>
        <v>1</v>
      </c>
      <c r="Y218" t="b">
        <f t="shared" si="33"/>
        <v>1</v>
      </c>
      <c r="Z218" t="b">
        <f t="shared" si="34"/>
        <v>1</v>
      </c>
      <c r="AA218" t="b">
        <f t="shared" si="35"/>
        <v>1</v>
      </c>
      <c r="AB218" t="b">
        <f t="shared" si="36"/>
        <v>1</v>
      </c>
    </row>
    <row r="219" spans="1:28" ht="14.4">
      <c r="A219" s="2" t="s">
        <v>298</v>
      </c>
      <c r="B219" s="2" t="s">
        <v>28</v>
      </c>
      <c r="C219" s="2" t="s">
        <v>15</v>
      </c>
      <c r="D219" s="2" t="s">
        <v>11</v>
      </c>
      <c r="E219" s="2" t="s">
        <v>19</v>
      </c>
      <c r="F219" s="2" t="s">
        <v>186</v>
      </c>
      <c r="G219" s="2" t="s">
        <v>13</v>
      </c>
      <c r="H219" s="2" t="s">
        <v>10</v>
      </c>
      <c r="I219" s="2" t="s">
        <v>17</v>
      </c>
      <c r="J219" t="b">
        <f t="shared" si="28"/>
        <v>1</v>
      </c>
      <c r="K219" s="8" t="s">
        <v>298</v>
      </c>
      <c r="L219" s="9" t="s">
        <v>28</v>
      </c>
      <c r="M219" s="9" t="s">
        <v>15</v>
      </c>
      <c r="N219" s="9" t="s">
        <v>11</v>
      </c>
      <c r="O219" s="9" t="s">
        <v>19</v>
      </c>
      <c r="P219" s="9" t="s">
        <v>186</v>
      </c>
      <c r="Q219" s="9" t="s">
        <v>13</v>
      </c>
      <c r="R219" s="9" t="s">
        <v>10</v>
      </c>
      <c r="S219" s="9" t="s">
        <v>17</v>
      </c>
      <c r="U219" t="b">
        <f t="shared" si="29"/>
        <v>1</v>
      </c>
      <c r="V219" t="b">
        <f t="shared" si="30"/>
        <v>1</v>
      </c>
      <c r="W219" t="b">
        <f t="shared" si="31"/>
        <v>1</v>
      </c>
      <c r="X219" t="b">
        <f t="shared" si="32"/>
        <v>1</v>
      </c>
      <c r="Y219" t="b">
        <f t="shared" si="33"/>
        <v>1</v>
      </c>
      <c r="Z219" t="b">
        <f t="shared" si="34"/>
        <v>1</v>
      </c>
      <c r="AA219" t="b">
        <f t="shared" si="35"/>
        <v>1</v>
      </c>
      <c r="AB219" t="b">
        <f t="shared" si="36"/>
        <v>1</v>
      </c>
    </row>
    <row r="220" spans="1:28" ht="14.4">
      <c r="A220" s="2" t="s">
        <v>297</v>
      </c>
      <c r="B220" s="2" t="s">
        <v>28</v>
      </c>
      <c r="C220" s="2" t="s">
        <v>15</v>
      </c>
      <c r="D220" s="2" t="s">
        <v>11</v>
      </c>
      <c r="E220" s="2" t="s">
        <v>19</v>
      </c>
      <c r="F220" s="2" t="s">
        <v>186</v>
      </c>
      <c r="G220" s="2" t="s">
        <v>13</v>
      </c>
      <c r="H220" s="2" t="s">
        <v>16</v>
      </c>
      <c r="I220" s="2" t="s">
        <v>10</v>
      </c>
      <c r="J220" t="b">
        <f t="shared" si="28"/>
        <v>1</v>
      </c>
      <c r="K220" s="6" t="s">
        <v>297</v>
      </c>
      <c r="L220" s="7" t="s">
        <v>28</v>
      </c>
      <c r="M220" s="7" t="s">
        <v>15</v>
      </c>
      <c r="N220" s="7" t="s">
        <v>11</v>
      </c>
      <c r="O220" s="7" t="s">
        <v>19</v>
      </c>
      <c r="P220" s="7" t="s">
        <v>186</v>
      </c>
      <c r="Q220" s="7" t="s">
        <v>13</v>
      </c>
      <c r="R220" s="7" t="s">
        <v>16</v>
      </c>
      <c r="S220" s="7" t="s">
        <v>10</v>
      </c>
      <c r="U220" t="b">
        <f t="shared" si="29"/>
        <v>1</v>
      </c>
      <c r="V220" t="b">
        <f t="shared" si="30"/>
        <v>1</v>
      </c>
      <c r="W220" t="b">
        <f t="shared" si="31"/>
        <v>1</v>
      </c>
      <c r="X220" t="b">
        <f t="shared" si="32"/>
        <v>1</v>
      </c>
      <c r="Y220" t="b">
        <f t="shared" si="33"/>
        <v>1</v>
      </c>
      <c r="Z220" t="b">
        <f t="shared" si="34"/>
        <v>1</v>
      </c>
      <c r="AA220" t="b">
        <f t="shared" si="35"/>
        <v>1</v>
      </c>
      <c r="AB220" t="b">
        <f t="shared" si="36"/>
        <v>1</v>
      </c>
    </row>
    <row r="221" spans="1:28" ht="14.4">
      <c r="A221" s="2" t="s">
        <v>296</v>
      </c>
      <c r="B221" s="2" t="s">
        <v>28</v>
      </c>
      <c r="C221" s="2" t="s">
        <v>15</v>
      </c>
      <c r="D221" s="2" t="s">
        <v>10</v>
      </c>
      <c r="E221" s="2" t="s">
        <v>19</v>
      </c>
      <c r="F221" s="2" t="s">
        <v>186</v>
      </c>
      <c r="G221" s="2" t="s">
        <v>13</v>
      </c>
      <c r="H221" s="2" t="s">
        <v>16</v>
      </c>
      <c r="I221" s="2" t="s">
        <v>17</v>
      </c>
      <c r="J221" t="b">
        <f t="shared" si="28"/>
        <v>1</v>
      </c>
      <c r="K221" s="8" t="s">
        <v>296</v>
      </c>
      <c r="L221" s="9" t="s">
        <v>28</v>
      </c>
      <c r="M221" s="9" t="s">
        <v>15</v>
      </c>
      <c r="N221" s="9" t="s">
        <v>10</v>
      </c>
      <c r="O221" s="9" t="s">
        <v>19</v>
      </c>
      <c r="P221" s="9" t="s">
        <v>186</v>
      </c>
      <c r="Q221" s="9" t="s">
        <v>13</v>
      </c>
      <c r="R221" s="9" t="s">
        <v>16</v>
      </c>
      <c r="S221" s="9" t="s">
        <v>17</v>
      </c>
      <c r="U221" t="b">
        <f t="shared" si="29"/>
        <v>1</v>
      </c>
      <c r="V221" t="b">
        <f t="shared" si="30"/>
        <v>1</v>
      </c>
      <c r="W221" t="b">
        <f t="shared" si="31"/>
        <v>1</v>
      </c>
      <c r="X221" t="b">
        <f t="shared" si="32"/>
        <v>1</v>
      </c>
      <c r="Y221" t="b">
        <f t="shared" si="33"/>
        <v>1</v>
      </c>
      <c r="Z221" t="b">
        <f t="shared" si="34"/>
        <v>1</v>
      </c>
      <c r="AA221" t="b">
        <f t="shared" si="35"/>
        <v>1</v>
      </c>
      <c r="AB221" t="b">
        <f t="shared" si="36"/>
        <v>1</v>
      </c>
    </row>
    <row r="222" spans="1:28" ht="14.4">
      <c r="A222" s="2" t="s">
        <v>295</v>
      </c>
      <c r="B222" s="2" t="s">
        <v>14</v>
      </c>
      <c r="C222" s="2" t="s">
        <v>11</v>
      </c>
      <c r="D222" s="2" t="s">
        <v>10</v>
      </c>
      <c r="E222" s="2" t="s">
        <v>28</v>
      </c>
      <c r="F222" s="2" t="s">
        <v>186</v>
      </c>
      <c r="G222" s="2" t="s">
        <v>13</v>
      </c>
      <c r="H222" s="2" t="s">
        <v>19</v>
      </c>
      <c r="I222" s="2" t="s">
        <v>12</v>
      </c>
      <c r="J222" t="b">
        <f t="shared" si="28"/>
        <v>1</v>
      </c>
      <c r="K222" s="6" t="s">
        <v>295</v>
      </c>
      <c r="L222" s="7" t="s">
        <v>14</v>
      </c>
      <c r="M222" s="7" t="s">
        <v>11</v>
      </c>
      <c r="N222" s="7" t="s">
        <v>10</v>
      </c>
      <c r="O222" s="7" t="s">
        <v>28</v>
      </c>
      <c r="P222" s="7" t="s">
        <v>186</v>
      </c>
      <c r="Q222" s="7" t="s">
        <v>13</v>
      </c>
      <c r="R222" s="7" t="s">
        <v>19</v>
      </c>
      <c r="S222" s="7" t="s">
        <v>12</v>
      </c>
      <c r="U222" t="b">
        <f t="shared" si="29"/>
        <v>1</v>
      </c>
      <c r="V222" t="b">
        <f t="shared" si="30"/>
        <v>1</v>
      </c>
      <c r="W222" t="b">
        <f t="shared" si="31"/>
        <v>1</v>
      </c>
      <c r="X222" t="b">
        <f t="shared" si="32"/>
        <v>1</v>
      </c>
      <c r="Y222" t="b">
        <f t="shared" si="33"/>
        <v>1</v>
      </c>
      <c r="Z222" t="b">
        <f t="shared" si="34"/>
        <v>1</v>
      </c>
      <c r="AA222" t="b">
        <f t="shared" si="35"/>
        <v>1</v>
      </c>
      <c r="AB222" t="b">
        <f t="shared" si="36"/>
        <v>1</v>
      </c>
    </row>
    <row r="223" spans="1:28" ht="14.4">
      <c r="A223" s="2" t="s">
        <v>294</v>
      </c>
      <c r="B223" s="2" t="s">
        <v>14</v>
      </c>
      <c r="C223" s="2" t="s">
        <v>10</v>
      </c>
      <c r="D223" s="2" t="s">
        <v>13</v>
      </c>
      <c r="E223" s="2" t="s">
        <v>28</v>
      </c>
      <c r="F223" s="2" t="s">
        <v>186</v>
      </c>
      <c r="G223" s="2" t="s">
        <v>19</v>
      </c>
      <c r="H223" s="2" t="s">
        <v>12</v>
      </c>
      <c r="I223" s="2" t="s">
        <v>17</v>
      </c>
      <c r="J223" t="b">
        <f t="shared" si="28"/>
        <v>1</v>
      </c>
      <c r="K223" s="8" t="s">
        <v>294</v>
      </c>
      <c r="L223" s="9" t="s">
        <v>14</v>
      </c>
      <c r="M223" s="9" t="s">
        <v>10</v>
      </c>
      <c r="N223" s="9" t="s">
        <v>13</v>
      </c>
      <c r="O223" s="9" t="s">
        <v>28</v>
      </c>
      <c r="P223" s="9" t="s">
        <v>186</v>
      </c>
      <c r="Q223" s="9" t="s">
        <v>19</v>
      </c>
      <c r="R223" s="9" t="s">
        <v>12</v>
      </c>
      <c r="S223" s="9" t="s">
        <v>17</v>
      </c>
      <c r="U223" t="b">
        <f t="shared" si="29"/>
        <v>1</v>
      </c>
      <c r="V223" t="b">
        <f t="shared" si="30"/>
        <v>1</v>
      </c>
      <c r="W223" t="b">
        <f t="shared" si="31"/>
        <v>1</v>
      </c>
      <c r="X223" t="b">
        <f t="shared" si="32"/>
        <v>1</v>
      </c>
      <c r="Y223" t="b">
        <f t="shared" si="33"/>
        <v>1</v>
      </c>
      <c r="Z223" t="b">
        <f t="shared" si="34"/>
        <v>1</v>
      </c>
      <c r="AA223" t="b">
        <f t="shared" si="35"/>
        <v>1</v>
      </c>
      <c r="AB223" t="b">
        <f t="shared" si="36"/>
        <v>1</v>
      </c>
    </row>
    <row r="224" spans="1:28" ht="14.4">
      <c r="A224" s="2" t="s">
        <v>293</v>
      </c>
      <c r="B224" s="2" t="s">
        <v>14</v>
      </c>
      <c r="C224" s="2" t="s">
        <v>10</v>
      </c>
      <c r="D224" s="2" t="s">
        <v>13</v>
      </c>
      <c r="E224" s="2" t="s">
        <v>28</v>
      </c>
      <c r="F224" s="2" t="s">
        <v>186</v>
      </c>
      <c r="G224" s="2" t="s">
        <v>19</v>
      </c>
      <c r="H224" s="2" t="s">
        <v>16</v>
      </c>
      <c r="I224" s="2" t="s">
        <v>12</v>
      </c>
      <c r="J224" t="b">
        <f t="shared" si="28"/>
        <v>1</v>
      </c>
      <c r="K224" s="6" t="s">
        <v>293</v>
      </c>
      <c r="L224" s="7" t="s">
        <v>14</v>
      </c>
      <c r="M224" s="7" t="s">
        <v>10</v>
      </c>
      <c r="N224" s="7" t="s">
        <v>13</v>
      </c>
      <c r="O224" s="7" t="s">
        <v>28</v>
      </c>
      <c r="P224" s="7" t="s">
        <v>186</v>
      </c>
      <c r="Q224" s="7" t="s">
        <v>19</v>
      </c>
      <c r="R224" s="7" t="s">
        <v>16</v>
      </c>
      <c r="S224" s="7" t="s">
        <v>12</v>
      </c>
      <c r="U224" t="b">
        <f t="shared" si="29"/>
        <v>1</v>
      </c>
      <c r="V224" t="b">
        <f t="shared" si="30"/>
        <v>1</v>
      </c>
      <c r="W224" t="b">
        <f t="shared" si="31"/>
        <v>1</v>
      </c>
      <c r="X224" t="b">
        <f t="shared" si="32"/>
        <v>1</v>
      </c>
      <c r="Y224" t="b">
        <f t="shared" si="33"/>
        <v>1</v>
      </c>
      <c r="Z224" t="b">
        <f t="shared" si="34"/>
        <v>1</v>
      </c>
      <c r="AA224" t="b">
        <f t="shared" si="35"/>
        <v>1</v>
      </c>
      <c r="AB224" t="b">
        <f t="shared" si="36"/>
        <v>1</v>
      </c>
    </row>
    <row r="225" spans="1:28" ht="14.4">
      <c r="A225" s="2" t="s">
        <v>292</v>
      </c>
      <c r="B225" s="2" t="s">
        <v>14</v>
      </c>
      <c r="C225" s="2" t="s">
        <v>11</v>
      </c>
      <c r="D225" s="2" t="s">
        <v>10</v>
      </c>
      <c r="E225" s="2" t="s">
        <v>28</v>
      </c>
      <c r="F225" s="2" t="s">
        <v>186</v>
      </c>
      <c r="G225" s="2" t="s">
        <v>13</v>
      </c>
      <c r="H225" s="2" t="s">
        <v>19</v>
      </c>
      <c r="I225" s="2" t="s">
        <v>17</v>
      </c>
      <c r="J225" t="b">
        <f t="shared" si="28"/>
        <v>1</v>
      </c>
      <c r="K225" s="8" t="s">
        <v>292</v>
      </c>
      <c r="L225" s="9" t="s">
        <v>14</v>
      </c>
      <c r="M225" s="9" t="s">
        <v>11</v>
      </c>
      <c r="N225" s="9" t="s">
        <v>10</v>
      </c>
      <c r="O225" s="9" t="s">
        <v>28</v>
      </c>
      <c r="P225" s="9" t="s">
        <v>186</v>
      </c>
      <c r="Q225" s="9" t="s">
        <v>13</v>
      </c>
      <c r="R225" s="9" t="s">
        <v>19</v>
      </c>
      <c r="S225" s="9" t="s">
        <v>17</v>
      </c>
      <c r="U225" t="b">
        <f t="shared" si="29"/>
        <v>1</v>
      </c>
      <c r="V225" t="b">
        <f t="shared" si="30"/>
        <v>1</v>
      </c>
      <c r="W225" t="b">
        <f t="shared" si="31"/>
        <v>1</v>
      </c>
      <c r="X225" t="b">
        <f t="shared" si="32"/>
        <v>1</v>
      </c>
      <c r="Y225" t="b">
        <f t="shared" si="33"/>
        <v>1</v>
      </c>
      <c r="Z225" t="b">
        <f t="shared" si="34"/>
        <v>1</v>
      </c>
      <c r="AA225" t="b">
        <f t="shared" si="35"/>
        <v>1</v>
      </c>
      <c r="AB225" t="b">
        <f t="shared" si="36"/>
        <v>1</v>
      </c>
    </row>
    <row r="226" spans="1:28" ht="14.4">
      <c r="A226" s="2" t="s">
        <v>291</v>
      </c>
      <c r="B226" s="2" t="s">
        <v>14</v>
      </c>
      <c r="C226" s="2" t="s">
        <v>11</v>
      </c>
      <c r="D226" s="2" t="s">
        <v>13</v>
      </c>
      <c r="E226" s="2" t="s">
        <v>28</v>
      </c>
      <c r="F226" s="2" t="s">
        <v>186</v>
      </c>
      <c r="G226" s="2" t="s">
        <v>19</v>
      </c>
      <c r="H226" s="2" t="s">
        <v>16</v>
      </c>
      <c r="I226" s="2" t="s">
        <v>10</v>
      </c>
      <c r="J226" t="b">
        <f t="shared" si="28"/>
        <v>1</v>
      </c>
      <c r="K226" s="6" t="s">
        <v>291</v>
      </c>
      <c r="L226" s="7" t="s">
        <v>14</v>
      </c>
      <c r="M226" s="7" t="s">
        <v>11</v>
      </c>
      <c r="N226" s="7" t="s">
        <v>13</v>
      </c>
      <c r="O226" s="7" t="s">
        <v>28</v>
      </c>
      <c r="P226" s="7" t="s">
        <v>186</v>
      </c>
      <c r="Q226" s="7" t="s">
        <v>19</v>
      </c>
      <c r="R226" s="7" t="s">
        <v>16</v>
      </c>
      <c r="S226" s="7" t="s">
        <v>10</v>
      </c>
      <c r="U226" t="b">
        <f t="shared" si="29"/>
        <v>1</v>
      </c>
      <c r="V226" t="b">
        <f t="shared" si="30"/>
        <v>1</v>
      </c>
      <c r="W226" t="b">
        <f t="shared" si="31"/>
        <v>1</v>
      </c>
      <c r="X226" t="b">
        <f t="shared" si="32"/>
        <v>1</v>
      </c>
      <c r="Y226" t="b">
        <f t="shared" si="33"/>
        <v>1</v>
      </c>
      <c r="Z226" t="b">
        <f t="shared" si="34"/>
        <v>1</v>
      </c>
      <c r="AA226" t="b">
        <f t="shared" si="35"/>
        <v>1</v>
      </c>
      <c r="AB226" t="b">
        <f t="shared" si="36"/>
        <v>1</v>
      </c>
    </row>
    <row r="227" spans="1:28" ht="14.4">
      <c r="A227" s="2" t="s">
        <v>290</v>
      </c>
      <c r="B227" s="2" t="s">
        <v>14</v>
      </c>
      <c r="C227" s="2" t="s">
        <v>10</v>
      </c>
      <c r="D227" s="2" t="s">
        <v>13</v>
      </c>
      <c r="E227" s="2" t="s">
        <v>28</v>
      </c>
      <c r="F227" s="2" t="s">
        <v>186</v>
      </c>
      <c r="G227" s="2" t="s">
        <v>19</v>
      </c>
      <c r="H227" s="2" t="s">
        <v>16</v>
      </c>
      <c r="I227" s="2" t="s">
        <v>17</v>
      </c>
      <c r="J227" t="b">
        <f t="shared" si="28"/>
        <v>1</v>
      </c>
      <c r="K227" s="8" t="s">
        <v>290</v>
      </c>
      <c r="L227" s="9" t="s">
        <v>14</v>
      </c>
      <c r="M227" s="9" t="s">
        <v>10</v>
      </c>
      <c r="N227" s="9" t="s">
        <v>13</v>
      </c>
      <c r="O227" s="9" t="s">
        <v>28</v>
      </c>
      <c r="P227" s="9" t="s">
        <v>186</v>
      </c>
      <c r="Q227" s="9" t="s">
        <v>19</v>
      </c>
      <c r="R227" s="9" t="s">
        <v>16</v>
      </c>
      <c r="S227" s="9" t="s">
        <v>17</v>
      </c>
      <c r="U227" t="b">
        <f t="shared" si="29"/>
        <v>1</v>
      </c>
      <c r="V227" t="b">
        <f t="shared" si="30"/>
        <v>1</v>
      </c>
      <c r="W227" t="b">
        <f t="shared" si="31"/>
        <v>1</v>
      </c>
      <c r="X227" t="b">
        <f t="shared" si="32"/>
        <v>1</v>
      </c>
      <c r="Y227" t="b">
        <f t="shared" si="33"/>
        <v>1</v>
      </c>
      <c r="Z227" t="b">
        <f t="shared" si="34"/>
        <v>1</v>
      </c>
      <c r="AA227" t="b">
        <f t="shared" si="35"/>
        <v>1</v>
      </c>
      <c r="AB227" t="b">
        <f t="shared" si="36"/>
        <v>1</v>
      </c>
    </row>
    <row r="228" spans="1:28" ht="14.4">
      <c r="A228" s="2" t="s">
        <v>289</v>
      </c>
      <c r="B228" s="2" t="s">
        <v>28</v>
      </c>
      <c r="C228" s="2" t="s">
        <v>11</v>
      </c>
      <c r="D228" s="2" t="s">
        <v>10</v>
      </c>
      <c r="E228" s="2" t="s">
        <v>19</v>
      </c>
      <c r="F228" s="2" t="s">
        <v>186</v>
      </c>
      <c r="G228" s="2" t="s">
        <v>13</v>
      </c>
      <c r="H228" s="2" t="s">
        <v>12</v>
      </c>
      <c r="I228" s="2" t="s">
        <v>17</v>
      </c>
      <c r="J228" t="b">
        <f t="shared" si="28"/>
        <v>1</v>
      </c>
      <c r="K228" s="6" t="s">
        <v>289</v>
      </c>
      <c r="L228" s="7" t="s">
        <v>28</v>
      </c>
      <c r="M228" s="7" t="s">
        <v>11</v>
      </c>
      <c r="N228" s="7" t="s">
        <v>10</v>
      </c>
      <c r="O228" s="7" t="s">
        <v>19</v>
      </c>
      <c r="P228" s="7" t="s">
        <v>186</v>
      </c>
      <c r="Q228" s="7" t="s">
        <v>13</v>
      </c>
      <c r="R228" s="7" t="s">
        <v>12</v>
      </c>
      <c r="S228" s="7" t="s">
        <v>17</v>
      </c>
      <c r="U228" t="b">
        <f t="shared" si="29"/>
        <v>1</v>
      </c>
      <c r="V228" t="b">
        <f t="shared" si="30"/>
        <v>1</v>
      </c>
      <c r="W228" t="b">
        <f t="shared" si="31"/>
        <v>1</v>
      </c>
      <c r="X228" t="b">
        <f t="shared" si="32"/>
        <v>1</v>
      </c>
      <c r="Y228" t="b">
        <f t="shared" si="33"/>
        <v>1</v>
      </c>
      <c r="Z228" t="b">
        <f t="shared" si="34"/>
        <v>1</v>
      </c>
      <c r="AA228" t="b">
        <f t="shared" si="35"/>
        <v>1</v>
      </c>
      <c r="AB228" t="b">
        <f t="shared" si="36"/>
        <v>1</v>
      </c>
    </row>
    <row r="229" spans="1:28" ht="14.4">
      <c r="A229" s="2" t="s">
        <v>288</v>
      </c>
      <c r="B229" s="2" t="s">
        <v>28</v>
      </c>
      <c r="C229" s="2" t="s">
        <v>11</v>
      </c>
      <c r="D229" s="2" t="s">
        <v>10</v>
      </c>
      <c r="E229" s="2" t="s">
        <v>19</v>
      </c>
      <c r="F229" s="2" t="s">
        <v>186</v>
      </c>
      <c r="G229" s="2" t="s">
        <v>13</v>
      </c>
      <c r="H229" s="2" t="s">
        <v>16</v>
      </c>
      <c r="I229" s="2" t="s">
        <v>12</v>
      </c>
      <c r="J229" t="b">
        <f t="shared" si="28"/>
        <v>1</v>
      </c>
      <c r="K229" s="8" t="s">
        <v>288</v>
      </c>
      <c r="L229" s="9" t="s">
        <v>28</v>
      </c>
      <c r="M229" s="9" t="s">
        <v>11</v>
      </c>
      <c r="N229" s="9" t="s">
        <v>10</v>
      </c>
      <c r="O229" s="9" t="s">
        <v>19</v>
      </c>
      <c r="P229" s="9" t="s">
        <v>186</v>
      </c>
      <c r="Q229" s="9" t="s">
        <v>13</v>
      </c>
      <c r="R229" s="9" t="s">
        <v>16</v>
      </c>
      <c r="S229" s="9" t="s">
        <v>12</v>
      </c>
      <c r="U229" t="b">
        <f t="shared" si="29"/>
        <v>1</v>
      </c>
      <c r="V229" t="b">
        <f t="shared" si="30"/>
        <v>1</v>
      </c>
      <c r="W229" t="b">
        <f t="shared" si="31"/>
        <v>1</v>
      </c>
      <c r="X229" t="b">
        <f t="shared" si="32"/>
        <v>1</v>
      </c>
      <c r="Y229" t="b">
        <f t="shared" si="33"/>
        <v>1</v>
      </c>
      <c r="Z229" t="b">
        <f t="shared" si="34"/>
        <v>1</v>
      </c>
      <c r="AA229" t="b">
        <f t="shared" si="35"/>
        <v>1</v>
      </c>
      <c r="AB229" t="b">
        <f t="shared" si="36"/>
        <v>1</v>
      </c>
    </row>
    <row r="230" spans="1:28" ht="14.4" hidden="1">
      <c r="A230" s="2" t="s">
        <v>287</v>
      </c>
      <c r="B230" s="2" t="s">
        <v>28</v>
      </c>
      <c r="C230" s="2" t="s">
        <v>10</v>
      </c>
      <c r="D230" s="2" t="s">
        <v>12</v>
      </c>
      <c r="E230" s="2" t="s">
        <v>19</v>
      </c>
      <c r="F230" s="2" t="s">
        <v>186</v>
      </c>
      <c r="G230" s="2" t="s">
        <v>13</v>
      </c>
      <c r="H230" s="2" t="s">
        <v>16</v>
      </c>
      <c r="I230" s="2" t="s">
        <v>17</v>
      </c>
      <c r="J230" t="b">
        <f t="shared" si="28"/>
        <v>1</v>
      </c>
      <c r="K230" s="6" t="s">
        <v>287</v>
      </c>
      <c r="L230" s="7" t="s">
        <v>14</v>
      </c>
      <c r="M230" s="7" t="s">
        <v>15</v>
      </c>
      <c r="N230" s="7" t="s">
        <v>65</v>
      </c>
      <c r="O230" s="7" t="s">
        <v>28</v>
      </c>
      <c r="P230" s="7" t="s">
        <v>186</v>
      </c>
      <c r="Q230" s="7" t="s">
        <v>13</v>
      </c>
      <c r="R230" s="7" t="s">
        <v>19</v>
      </c>
      <c r="S230" s="7" t="s">
        <v>10</v>
      </c>
      <c r="U230" t="b">
        <f t="shared" si="29"/>
        <v>0</v>
      </c>
      <c r="V230" t="b">
        <f t="shared" si="30"/>
        <v>0</v>
      </c>
      <c r="W230" t="b">
        <f t="shared" si="31"/>
        <v>0</v>
      </c>
      <c r="X230" t="b">
        <f t="shared" si="32"/>
        <v>0</v>
      </c>
      <c r="Y230" t="b">
        <f t="shared" si="33"/>
        <v>1</v>
      </c>
      <c r="Z230" t="b">
        <f t="shared" si="34"/>
        <v>1</v>
      </c>
      <c r="AA230" t="b">
        <f t="shared" si="35"/>
        <v>0</v>
      </c>
      <c r="AB230" t="b">
        <f t="shared" si="36"/>
        <v>0</v>
      </c>
    </row>
    <row r="231" spans="1:28" ht="14.4">
      <c r="A231" s="2" t="s">
        <v>286</v>
      </c>
      <c r="B231" s="2" t="s">
        <v>28</v>
      </c>
      <c r="C231" s="2" t="s">
        <v>11</v>
      </c>
      <c r="D231" s="2" t="s">
        <v>10</v>
      </c>
      <c r="E231" s="2" t="s">
        <v>19</v>
      </c>
      <c r="F231" s="2" t="s">
        <v>186</v>
      </c>
      <c r="G231" s="2" t="s">
        <v>13</v>
      </c>
      <c r="H231" s="2" t="s">
        <v>16</v>
      </c>
      <c r="I231" s="2" t="s">
        <v>17</v>
      </c>
      <c r="J231" t="b">
        <f t="shared" si="28"/>
        <v>1</v>
      </c>
      <c r="K231" s="8" t="s">
        <v>286</v>
      </c>
      <c r="L231" s="9" t="s">
        <v>28</v>
      </c>
      <c r="M231" s="9" t="s">
        <v>11</v>
      </c>
      <c r="N231" s="9" t="s">
        <v>10</v>
      </c>
      <c r="O231" s="9" t="s">
        <v>19</v>
      </c>
      <c r="P231" s="9" t="s">
        <v>186</v>
      </c>
      <c r="Q231" s="9" t="s">
        <v>13</v>
      </c>
      <c r="R231" s="9" t="s">
        <v>16</v>
      </c>
      <c r="S231" s="9" t="s">
        <v>17</v>
      </c>
      <c r="U231" t="b">
        <f t="shared" si="29"/>
        <v>1</v>
      </c>
      <c r="V231" t="b">
        <f t="shared" si="30"/>
        <v>1</v>
      </c>
      <c r="W231" t="b">
        <f t="shared" si="31"/>
        <v>1</v>
      </c>
      <c r="X231" t="b">
        <f t="shared" si="32"/>
        <v>1</v>
      </c>
      <c r="Y231" t="b">
        <f t="shared" si="33"/>
        <v>1</v>
      </c>
      <c r="Z231" t="b">
        <f t="shared" si="34"/>
        <v>1</v>
      </c>
      <c r="AA231" t="b">
        <f t="shared" si="35"/>
        <v>1</v>
      </c>
      <c r="AB231" t="b">
        <f t="shared" si="36"/>
        <v>1</v>
      </c>
    </row>
    <row r="232" spans="1:28" ht="14.4">
      <c r="A232" s="2" t="s">
        <v>285</v>
      </c>
      <c r="B232" s="2" t="s">
        <v>14</v>
      </c>
      <c r="C232" s="2" t="s">
        <v>15</v>
      </c>
      <c r="D232" s="2" t="s">
        <v>11</v>
      </c>
      <c r="E232" s="2" t="s">
        <v>28</v>
      </c>
      <c r="F232" s="2" t="s">
        <v>186</v>
      </c>
      <c r="G232" s="2" t="s">
        <v>19</v>
      </c>
      <c r="H232" s="2" t="s">
        <v>10</v>
      </c>
      <c r="I232" s="2" t="s">
        <v>12</v>
      </c>
      <c r="J232" t="b">
        <f t="shared" si="28"/>
        <v>1</v>
      </c>
      <c r="K232" s="6" t="s">
        <v>285</v>
      </c>
      <c r="L232" s="7" t="s">
        <v>14</v>
      </c>
      <c r="M232" s="7" t="s">
        <v>15</v>
      </c>
      <c r="N232" s="7" t="s">
        <v>11</v>
      </c>
      <c r="O232" s="7" t="s">
        <v>28</v>
      </c>
      <c r="P232" s="7" t="s">
        <v>186</v>
      </c>
      <c r="Q232" s="7" t="s">
        <v>19</v>
      </c>
      <c r="R232" s="7" t="s">
        <v>10</v>
      </c>
      <c r="S232" s="7" t="s">
        <v>12</v>
      </c>
      <c r="U232" t="b">
        <f t="shared" si="29"/>
        <v>1</v>
      </c>
      <c r="V232" t="b">
        <f t="shared" si="30"/>
        <v>1</v>
      </c>
      <c r="W232" t="b">
        <f t="shared" si="31"/>
        <v>1</v>
      </c>
      <c r="X232" t="b">
        <f t="shared" si="32"/>
        <v>1</v>
      </c>
      <c r="Y232" t="b">
        <f t="shared" si="33"/>
        <v>1</v>
      </c>
      <c r="Z232" t="b">
        <f t="shared" si="34"/>
        <v>1</v>
      </c>
      <c r="AA232" t="b">
        <f t="shared" si="35"/>
        <v>1</v>
      </c>
      <c r="AB232" t="b">
        <f t="shared" si="36"/>
        <v>1</v>
      </c>
    </row>
    <row r="233" spans="1:28" ht="14.4">
      <c r="A233" s="2" t="s">
        <v>284</v>
      </c>
      <c r="B233" s="2" t="s">
        <v>14</v>
      </c>
      <c r="C233" s="2" t="s">
        <v>15</v>
      </c>
      <c r="D233" s="2" t="s">
        <v>10</v>
      </c>
      <c r="E233" s="2" t="s">
        <v>28</v>
      </c>
      <c r="F233" s="2" t="s">
        <v>186</v>
      </c>
      <c r="G233" s="2" t="s">
        <v>19</v>
      </c>
      <c r="H233" s="2" t="s">
        <v>12</v>
      </c>
      <c r="I233" s="2" t="s">
        <v>17</v>
      </c>
      <c r="J233" t="b">
        <f t="shared" si="28"/>
        <v>1</v>
      </c>
      <c r="K233" s="8" t="s">
        <v>284</v>
      </c>
      <c r="L233" s="9" t="s">
        <v>14</v>
      </c>
      <c r="M233" s="9" t="s">
        <v>15</v>
      </c>
      <c r="N233" s="9" t="s">
        <v>10</v>
      </c>
      <c r="O233" s="9" t="s">
        <v>28</v>
      </c>
      <c r="P233" s="9" t="s">
        <v>186</v>
      </c>
      <c r="Q233" s="9" t="s">
        <v>19</v>
      </c>
      <c r="R233" s="9" t="s">
        <v>12</v>
      </c>
      <c r="S233" s="9" t="s">
        <v>17</v>
      </c>
      <c r="U233" t="b">
        <f t="shared" si="29"/>
        <v>1</v>
      </c>
      <c r="V233" t="b">
        <f t="shared" si="30"/>
        <v>1</v>
      </c>
      <c r="W233" t="b">
        <f t="shared" si="31"/>
        <v>1</v>
      </c>
      <c r="X233" t="b">
        <f t="shared" si="32"/>
        <v>1</v>
      </c>
      <c r="Y233" t="b">
        <f t="shared" si="33"/>
        <v>1</v>
      </c>
      <c r="Z233" t="b">
        <f t="shared" si="34"/>
        <v>1</v>
      </c>
      <c r="AA233" t="b">
        <f t="shared" si="35"/>
        <v>1</v>
      </c>
      <c r="AB233" t="b">
        <f t="shared" si="36"/>
        <v>1</v>
      </c>
    </row>
    <row r="234" spans="1:28" ht="14.4">
      <c r="A234" s="2" t="s">
        <v>283</v>
      </c>
      <c r="B234" s="2" t="s">
        <v>14</v>
      </c>
      <c r="C234" s="2" t="s">
        <v>15</v>
      </c>
      <c r="D234" s="2" t="s">
        <v>10</v>
      </c>
      <c r="E234" s="2" t="s">
        <v>28</v>
      </c>
      <c r="F234" s="2" t="s">
        <v>186</v>
      </c>
      <c r="G234" s="2" t="s">
        <v>19</v>
      </c>
      <c r="H234" s="2" t="s">
        <v>16</v>
      </c>
      <c r="I234" s="2" t="s">
        <v>12</v>
      </c>
      <c r="J234" t="b">
        <f t="shared" si="28"/>
        <v>1</v>
      </c>
      <c r="K234" s="6" t="s">
        <v>283</v>
      </c>
      <c r="L234" s="7" t="s">
        <v>14</v>
      </c>
      <c r="M234" s="7" t="s">
        <v>15</v>
      </c>
      <c r="N234" s="7" t="s">
        <v>10</v>
      </c>
      <c r="O234" s="7" t="s">
        <v>28</v>
      </c>
      <c r="P234" s="7" t="s">
        <v>186</v>
      </c>
      <c r="Q234" s="7" t="s">
        <v>19</v>
      </c>
      <c r="R234" s="7" t="s">
        <v>16</v>
      </c>
      <c r="S234" s="7" t="s">
        <v>12</v>
      </c>
      <c r="U234" t="b">
        <f t="shared" si="29"/>
        <v>1</v>
      </c>
      <c r="V234" t="b">
        <f t="shared" si="30"/>
        <v>1</v>
      </c>
      <c r="W234" t="b">
        <f t="shared" si="31"/>
        <v>1</v>
      </c>
      <c r="X234" t="b">
        <f t="shared" si="32"/>
        <v>1</v>
      </c>
      <c r="Y234" t="b">
        <f t="shared" si="33"/>
        <v>1</v>
      </c>
      <c r="Z234" t="b">
        <f t="shared" si="34"/>
        <v>1</v>
      </c>
      <c r="AA234" t="b">
        <f t="shared" si="35"/>
        <v>1</v>
      </c>
      <c r="AB234" t="b">
        <f t="shared" si="36"/>
        <v>1</v>
      </c>
    </row>
    <row r="235" spans="1:28" ht="14.4">
      <c r="A235" s="2" t="s">
        <v>282</v>
      </c>
      <c r="B235" s="2" t="s">
        <v>14</v>
      </c>
      <c r="C235" s="2" t="s">
        <v>15</v>
      </c>
      <c r="D235" s="2" t="s">
        <v>11</v>
      </c>
      <c r="E235" s="2" t="s">
        <v>28</v>
      </c>
      <c r="F235" s="2" t="s">
        <v>186</v>
      </c>
      <c r="G235" s="2" t="s">
        <v>19</v>
      </c>
      <c r="H235" s="2" t="s">
        <v>10</v>
      </c>
      <c r="I235" s="2" t="s">
        <v>17</v>
      </c>
      <c r="J235" t="b">
        <f t="shared" si="28"/>
        <v>1</v>
      </c>
      <c r="K235" s="8" t="s">
        <v>282</v>
      </c>
      <c r="L235" s="9" t="s">
        <v>14</v>
      </c>
      <c r="M235" s="9" t="s">
        <v>15</v>
      </c>
      <c r="N235" s="9" t="s">
        <v>11</v>
      </c>
      <c r="O235" s="9" t="s">
        <v>28</v>
      </c>
      <c r="P235" s="9" t="s">
        <v>186</v>
      </c>
      <c r="Q235" s="9" t="s">
        <v>19</v>
      </c>
      <c r="R235" s="9" t="s">
        <v>10</v>
      </c>
      <c r="S235" s="9" t="s">
        <v>17</v>
      </c>
      <c r="U235" t="b">
        <f t="shared" si="29"/>
        <v>1</v>
      </c>
      <c r="V235" t="b">
        <f t="shared" si="30"/>
        <v>1</v>
      </c>
      <c r="W235" t="b">
        <f t="shared" si="31"/>
        <v>1</v>
      </c>
      <c r="X235" t="b">
        <f t="shared" si="32"/>
        <v>1</v>
      </c>
      <c r="Y235" t="b">
        <f t="shared" si="33"/>
        <v>1</v>
      </c>
      <c r="Z235" t="b">
        <f t="shared" si="34"/>
        <v>1</v>
      </c>
      <c r="AA235" t="b">
        <f t="shared" si="35"/>
        <v>1</v>
      </c>
      <c r="AB235" t="b">
        <f t="shared" si="36"/>
        <v>1</v>
      </c>
    </row>
    <row r="236" spans="1:28" ht="14.4">
      <c r="A236" s="2" t="s">
        <v>281</v>
      </c>
      <c r="B236" s="2" t="s">
        <v>14</v>
      </c>
      <c r="C236" s="2" t="s">
        <v>15</v>
      </c>
      <c r="D236" s="2" t="s">
        <v>11</v>
      </c>
      <c r="E236" s="2" t="s">
        <v>28</v>
      </c>
      <c r="F236" s="2" t="s">
        <v>186</v>
      </c>
      <c r="G236" s="2" t="s">
        <v>19</v>
      </c>
      <c r="H236" s="2" t="s">
        <v>16</v>
      </c>
      <c r="I236" s="2" t="s">
        <v>10</v>
      </c>
      <c r="J236" t="b">
        <f t="shared" si="28"/>
        <v>1</v>
      </c>
      <c r="K236" s="6" t="s">
        <v>281</v>
      </c>
      <c r="L236" s="7" t="s">
        <v>14</v>
      </c>
      <c r="M236" s="7" t="s">
        <v>15</v>
      </c>
      <c r="N236" s="7" t="s">
        <v>11</v>
      </c>
      <c r="O236" s="7" t="s">
        <v>28</v>
      </c>
      <c r="P236" s="7" t="s">
        <v>186</v>
      </c>
      <c r="Q236" s="7" t="s">
        <v>19</v>
      </c>
      <c r="R236" s="7" t="s">
        <v>16</v>
      </c>
      <c r="S236" s="7" t="s">
        <v>10</v>
      </c>
      <c r="U236" t="b">
        <f t="shared" si="29"/>
        <v>1</v>
      </c>
      <c r="V236" t="b">
        <f t="shared" si="30"/>
        <v>1</v>
      </c>
      <c r="W236" t="b">
        <f t="shared" si="31"/>
        <v>1</v>
      </c>
      <c r="X236" t="b">
        <f t="shared" si="32"/>
        <v>1</v>
      </c>
      <c r="Y236" t="b">
        <f t="shared" si="33"/>
        <v>1</v>
      </c>
      <c r="Z236" t="b">
        <f t="shared" si="34"/>
        <v>1</v>
      </c>
      <c r="AA236" t="b">
        <f t="shared" si="35"/>
        <v>1</v>
      </c>
      <c r="AB236" t="b">
        <f t="shared" si="36"/>
        <v>1</v>
      </c>
    </row>
    <row r="237" spans="1:28" ht="14.4">
      <c r="A237" s="2" t="s">
        <v>280</v>
      </c>
      <c r="B237" s="2" t="s">
        <v>14</v>
      </c>
      <c r="C237" s="2" t="s">
        <v>15</v>
      </c>
      <c r="D237" s="2" t="s">
        <v>10</v>
      </c>
      <c r="E237" s="2" t="s">
        <v>28</v>
      </c>
      <c r="F237" s="2" t="s">
        <v>186</v>
      </c>
      <c r="G237" s="2" t="s">
        <v>19</v>
      </c>
      <c r="H237" s="2" t="s">
        <v>16</v>
      </c>
      <c r="I237" s="2" t="s">
        <v>17</v>
      </c>
      <c r="J237" t="b">
        <f t="shared" si="28"/>
        <v>1</v>
      </c>
      <c r="K237" s="8" t="s">
        <v>280</v>
      </c>
      <c r="L237" s="9" t="s">
        <v>14</v>
      </c>
      <c r="M237" s="9" t="s">
        <v>15</v>
      </c>
      <c r="N237" s="9" t="s">
        <v>10</v>
      </c>
      <c r="O237" s="9" t="s">
        <v>28</v>
      </c>
      <c r="P237" s="9" t="s">
        <v>186</v>
      </c>
      <c r="Q237" s="9" t="s">
        <v>19</v>
      </c>
      <c r="R237" s="9" t="s">
        <v>16</v>
      </c>
      <c r="S237" s="9" t="s">
        <v>17</v>
      </c>
      <c r="U237" t="b">
        <f t="shared" si="29"/>
        <v>1</v>
      </c>
      <c r="V237" t="b">
        <f t="shared" si="30"/>
        <v>1</v>
      </c>
      <c r="W237" t="b">
        <f t="shared" si="31"/>
        <v>1</v>
      </c>
      <c r="X237" t="b">
        <f t="shared" si="32"/>
        <v>1</v>
      </c>
      <c r="Y237" t="b">
        <f t="shared" si="33"/>
        <v>1</v>
      </c>
      <c r="Z237" t="b">
        <f t="shared" si="34"/>
        <v>1</v>
      </c>
      <c r="AA237" t="b">
        <f t="shared" si="35"/>
        <v>1</v>
      </c>
      <c r="AB237" t="b">
        <f t="shared" si="36"/>
        <v>1</v>
      </c>
    </row>
    <row r="238" spans="1:28" ht="14.4">
      <c r="A238" s="2" t="s">
        <v>279</v>
      </c>
      <c r="B238" s="2" t="s">
        <v>10</v>
      </c>
      <c r="C238" s="2" t="s">
        <v>15</v>
      </c>
      <c r="D238" s="2" t="s">
        <v>11</v>
      </c>
      <c r="E238" s="2" t="s">
        <v>28</v>
      </c>
      <c r="F238" s="2" t="s">
        <v>186</v>
      </c>
      <c r="G238" s="2" t="s">
        <v>19</v>
      </c>
      <c r="H238" s="2" t="s">
        <v>12</v>
      </c>
      <c r="I238" s="2" t="s">
        <v>17</v>
      </c>
      <c r="J238" t="b">
        <f t="shared" si="28"/>
        <v>1</v>
      </c>
      <c r="K238" s="6" t="s">
        <v>279</v>
      </c>
      <c r="L238" s="7" t="s">
        <v>10</v>
      </c>
      <c r="M238" s="7" t="s">
        <v>15</v>
      </c>
      <c r="N238" s="7" t="s">
        <v>11</v>
      </c>
      <c r="O238" s="7" t="s">
        <v>28</v>
      </c>
      <c r="P238" s="7" t="s">
        <v>186</v>
      </c>
      <c r="Q238" s="7" t="s">
        <v>19</v>
      </c>
      <c r="R238" s="7" t="s">
        <v>12</v>
      </c>
      <c r="S238" s="7" t="s">
        <v>17</v>
      </c>
      <c r="U238" t="b">
        <f t="shared" si="29"/>
        <v>1</v>
      </c>
      <c r="V238" t="b">
        <f t="shared" si="30"/>
        <v>1</v>
      </c>
      <c r="W238" t="b">
        <f t="shared" si="31"/>
        <v>1</v>
      </c>
      <c r="X238" t="b">
        <f t="shared" si="32"/>
        <v>1</v>
      </c>
      <c r="Y238" t="b">
        <f t="shared" si="33"/>
        <v>1</v>
      </c>
      <c r="Z238" t="b">
        <f t="shared" si="34"/>
        <v>1</v>
      </c>
      <c r="AA238" t="b">
        <f t="shared" si="35"/>
        <v>1</v>
      </c>
      <c r="AB238" t="b">
        <f t="shared" si="36"/>
        <v>1</v>
      </c>
    </row>
    <row r="239" spans="1:28" ht="14.4">
      <c r="A239" s="2" t="s">
        <v>278</v>
      </c>
      <c r="B239" s="2" t="s">
        <v>10</v>
      </c>
      <c r="C239" s="2" t="s">
        <v>15</v>
      </c>
      <c r="D239" s="2" t="s">
        <v>11</v>
      </c>
      <c r="E239" s="2" t="s">
        <v>28</v>
      </c>
      <c r="F239" s="2" t="s">
        <v>186</v>
      </c>
      <c r="G239" s="2" t="s">
        <v>19</v>
      </c>
      <c r="H239" s="2" t="s">
        <v>16</v>
      </c>
      <c r="I239" s="2" t="s">
        <v>12</v>
      </c>
      <c r="J239" t="b">
        <f t="shared" si="28"/>
        <v>1</v>
      </c>
      <c r="K239" s="8" t="s">
        <v>278</v>
      </c>
      <c r="L239" s="9" t="s">
        <v>10</v>
      </c>
      <c r="M239" s="9" t="s">
        <v>15</v>
      </c>
      <c r="N239" s="9" t="s">
        <v>11</v>
      </c>
      <c r="O239" s="9" t="s">
        <v>28</v>
      </c>
      <c r="P239" s="9" t="s">
        <v>186</v>
      </c>
      <c r="Q239" s="9" t="s">
        <v>19</v>
      </c>
      <c r="R239" s="9" t="s">
        <v>16</v>
      </c>
      <c r="S239" s="9" t="s">
        <v>12</v>
      </c>
      <c r="U239" t="b">
        <f t="shared" si="29"/>
        <v>1</v>
      </c>
      <c r="V239" t="b">
        <f t="shared" si="30"/>
        <v>1</v>
      </c>
      <c r="W239" t="b">
        <f t="shared" si="31"/>
        <v>1</v>
      </c>
      <c r="X239" t="b">
        <f t="shared" si="32"/>
        <v>1</v>
      </c>
      <c r="Y239" t="b">
        <f t="shared" si="33"/>
        <v>1</v>
      </c>
      <c r="Z239" t="b">
        <f t="shared" si="34"/>
        <v>1</v>
      </c>
      <c r="AA239" t="b">
        <f t="shared" si="35"/>
        <v>1</v>
      </c>
      <c r="AB239" t="b">
        <f t="shared" si="36"/>
        <v>1</v>
      </c>
    </row>
    <row r="240" spans="1:28" ht="14.4">
      <c r="A240" s="2" t="s">
        <v>277</v>
      </c>
      <c r="B240" s="2" t="s">
        <v>10</v>
      </c>
      <c r="C240" s="2" t="s">
        <v>15</v>
      </c>
      <c r="D240" s="2" t="s">
        <v>12</v>
      </c>
      <c r="E240" s="2" t="s">
        <v>28</v>
      </c>
      <c r="F240" s="2" t="s">
        <v>186</v>
      </c>
      <c r="G240" s="2" t="s">
        <v>19</v>
      </c>
      <c r="H240" s="2" t="s">
        <v>16</v>
      </c>
      <c r="I240" s="2" t="s">
        <v>17</v>
      </c>
      <c r="J240" t="b">
        <f t="shared" si="28"/>
        <v>1</v>
      </c>
      <c r="K240" s="6" t="s">
        <v>277</v>
      </c>
      <c r="L240" s="7" t="s">
        <v>10</v>
      </c>
      <c r="M240" s="7" t="s">
        <v>15</v>
      </c>
      <c r="N240" s="7" t="s">
        <v>12</v>
      </c>
      <c r="O240" s="7" t="s">
        <v>28</v>
      </c>
      <c r="P240" s="7" t="s">
        <v>186</v>
      </c>
      <c r="Q240" s="7" t="s">
        <v>19</v>
      </c>
      <c r="R240" s="7" t="s">
        <v>16</v>
      </c>
      <c r="S240" s="7" t="s">
        <v>17</v>
      </c>
      <c r="U240" t="b">
        <f t="shared" si="29"/>
        <v>1</v>
      </c>
      <c r="V240" t="b">
        <f t="shared" si="30"/>
        <v>1</v>
      </c>
      <c r="W240" t="b">
        <f t="shared" si="31"/>
        <v>1</v>
      </c>
      <c r="X240" t="b">
        <f t="shared" si="32"/>
        <v>1</v>
      </c>
      <c r="Y240" t="b">
        <f t="shared" si="33"/>
        <v>1</v>
      </c>
      <c r="Z240" t="b">
        <f t="shared" si="34"/>
        <v>1</v>
      </c>
      <c r="AA240" t="b">
        <f t="shared" si="35"/>
        <v>1</v>
      </c>
      <c r="AB240" t="b">
        <f t="shared" si="36"/>
        <v>1</v>
      </c>
    </row>
    <row r="241" spans="1:28" ht="14.4">
      <c r="A241" s="2" t="s">
        <v>276</v>
      </c>
      <c r="B241" s="2" t="s">
        <v>10</v>
      </c>
      <c r="C241" s="2" t="s">
        <v>15</v>
      </c>
      <c r="D241" s="2" t="s">
        <v>11</v>
      </c>
      <c r="E241" s="2" t="s">
        <v>28</v>
      </c>
      <c r="F241" s="2" t="s">
        <v>186</v>
      </c>
      <c r="G241" s="2" t="s">
        <v>19</v>
      </c>
      <c r="H241" s="2" t="s">
        <v>16</v>
      </c>
      <c r="I241" s="2" t="s">
        <v>17</v>
      </c>
      <c r="J241" t="b">
        <f t="shared" si="28"/>
        <v>1</v>
      </c>
      <c r="K241" s="8" t="s">
        <v>276</v>
      </c>
      <c r="L241" s="9" t="s">
        <v>10</v>
      </c>
      <c r="M241" s="9" t="s">
        <v>15</v>
      </c>
      <c r="N241" s="9" t="s">
        <v>11</v>
      </c>
      <c r="O241" s="9" t="s">
        <v>28</v>
      </c>
      <c r="P241" s="9" t="s">
        <v>186</v>
      </c>
      <c r="Q241" s="9" t="s">
        <v>19</v>
      </c>
      <c r="R241" s="9" t="s">
        <v>16</v>
      </c>
      <c r="S241" s="9" t="s">
        <v>17</v>
      </c>
      <c r="U241" t="b">
        <f t="shared" si="29"/>
        <v>1</v>
      </c>
      <c r="V241" t="b">
        <f t="shared" si="30"/>
        <v>1</v>
      </c>
      <c r="W241" t="b">
        <f t="shared" si="31"/>
        <v>1</v>
      </c>
      <c r="X241" t="b">
        <f t="shared" si="32"/>
        <v>1</v>
      </c>
      <c r="Y241" t="b">
        <f t="shared" si="33"/>
        <v>1</v>
      </c>
      <c r="Z241" t="b">
        <f t="shared" si="34"/>
        <v>1</v>
      </c>
      <c r="AA241" t="b">
        <f t="shared" si="35"/>
        <v>1</v>
      </c>
      <c r="AB241" t="b">
        <f t="shared" si="36"/>
        <v>1</v>
      </c>
    </row>
    <row r="242" spans="1:28" ht="14.4">
      <c r="A242" s="2" t="s">
        <v>275</v>
      </c>
      <c r="B242" s="2" t="s">
        <v>14</v>
      </c>
      <c r="C242" s="2" t="s">
        <v>11</v>
      </c>
      <c r="D242" s="2" t="s">
        <v>10</v>
      </c>
      <c r="E242" s="2" t="s">
        <v>28</v>
      </c>
      <c r="F242" s="2" t="s">
        <v>186</v>
      </c>
      <c r="G242" s="2" t="s">
        <v>19</v>
      </c>
      <c r="H242" s="2" t="s">
        <v>12</v>
      </c>
      <c r="I242" s="2" t="s">
        <v>17</v>
      </c>
      <c r="J242" t="b">
        <f t="shared" si="28"/>
        <v>1</v>
      </c>
      <c r="K242" s="6" t="s">
        <v>275</v>
      </c>
      <c r="L242" s="7" t="s">
        <v>14</v>
      </c>
      <c r="M242" s="7" t="s">
        <v>11</v>
      </c>
      <c r="N242" s="7" t="s">
        <v>10</v>
      </c>
      <c r="O242" s="7" t="s">
        <v>28</v>
      </c>
      <c r="P242" s="7" t="s">
        <v>186</v>
      </c>
      <c r="Q242" s="7" t="s">
        <v>19</v>
      </c>
      <c r="R242" s="7" t="s">
        <v>12</v>
      </c>
      <c r="S242" s="7" t="s">
        <v>17</v>
      </c>
      <c r="U242" t="b">
        <f t="shared" si="29"/>
        <v>1</v>
      </c>
      <c r="V242" t="b">
        <f t="shared" si="30"/>
        <v>1</v>
      </c>
      <c r="W242" t="b">
        <f t="shared" si="31"/>
        <v>1</v>
      </c>
      <c r="X242" t="b">
        <f t="shared" si="32"/>
        <v>1</v>
      </c>
      <c r="Y242" t="b">
        <f t="shared" si="33"/>
        <v>1</v>
      </c>
      <c r="Z242" t="b">
        <f t="shared" si="34"/>
        <v>1</v>
      </c>
      <c r="AA242" t="b">
        <f t="shared" si="35"/>
        <v>1</v>
      </c>
      <c r="AB242" t="b">
        <f t="shared" si="36"/>
        <v>1</v>
      </c>
    </row>
    <row r="243" spans="1:28" ht="14.4" hidden="1">
      <c r="A243" s="2" t="s">
        <v>274</v>
      </c>
      <c r="B243" s="2" t="s">
        <v>14</v>
      </c>
      <c r="C243" s="2" t="s">
        <v>11</v>
      </c>
      <c r="D243" s="2" t="s">
        <v>10</v>
      </c>
      <c r="E243" s="2" t="s">
        <v>28</v>
      </c>
      <c r="F243" s="2" t="s">
        <v>186</v>
      </c>
      <c r="G243" s="2" t="s">
        <v>19</v>
      </c>
      <c r="H243" s="2" t="s">
        <v>16</v>
      </c>
      <c r="I243" s="2" t="s">
        <v>12</v>
      </c>
      <c r="J243" t="b">
        <f t="shared" si="28"/>
        <v>1</v>
      </c>
      <c r="K243" s="8" t="s">
        <v>274</v>
      </c>
      <c r="L243" s="9" t="s">
        <v>10</v>
      </c>
      <c r="M243" s="9" t="s">
        <v>11</v>
      </c>
      <c r="N243" s="9" t="s">
        <v>12</v>
      </c>
      <c r="O243" s="9" t="s">
        <v>28</v>
      </c>
      <c r="P243" s="9" t="s">
        <v>186</v>
      </c>
      <c r="Q243" s="9" t="s">
        <v>19</v>
      </c>
      <c r="R243" s="9" t="s">
        <v>16</v>
      </c>
      <c r="S243" s="9" t="s">
        <v>17</v>
      </c>
      <c r="U243" t="b">
        <f t="shared" si="29"/>
        <v>0</v>
      </c>
      <c r="V243" t="b">
        <f t="shared" si="30"/>
        <v>1</v>
      </c>
      <c r="W243" t="b">
        <f t="shared" si="31"/>
        <v>0</v>
      </c>
      <c r="X243" t="b">
        <f t="shared" si="32"/>
        <v>1</v>
      </c>
      <c r="Y243" t="b">
        <f t="shared" si="33"/>
        <v>1</v>
      </c>
      <c r="Z243" t="b">
        <f t="shared" si="34"/>
        <v>1</v>
      </c>
      <c r="AA243" t="b">
        <f t="shared" si="35"/>
        <v>1</v>
      </c>
      <c r="AB243" t="b">
        <f t="shared" si="36"/>
        <v>0</v>
      </c>
    </row>
    <row r="244" spans="1:28" ht="14.4">
      <c r="A244" s="2" t="s">
        <v>273</v>
      </c>
      <c r="B244" s="2" t="s">
        <v>14</v>
      </c>
      <c r="C244" s="2" t="s">
        <v>10</v>
      </c>
      <c r="D244" s="2" t="s">
        <v>12</v>
      </c>
      <c r="E244" s="2" t="s">
        <v>28</v>
      </c>
      <c r="F244" s="2" t="s">
        <v>186</v>
      </c>
      <c r="G244" s="2" t="s">
        <v>19</v>
      </c>
      <c r="H244" s="2" t="s">
        <v>16</v>
      </c>
      <c r="I244" s="2" t="s">
        <v>17</v>
      </c>
      <c r="J244" t="b">
        <f t="shared" si="28"/>
        <v>1</v>
      </c>
      <c r="K244" s="6" t="s">
        <v>273</v>
      </c>
      <c r="L244" s="7" t="s">
        <v>14</v>
      </c>
      <c r="M244" s="7" t="s">
        <v>10</v>
      </c>
      <c r="N244" s="7" t="s">
        <v>12</v>
      </c>
      <c r="O244" s="7" t="s">
        <v>28</v>
      </c>
      <c r="P244" s="7" t="s">
        <v>186</v>
      </c>
      <c r="Q244" s="7" t="s">
        <v>19</v>
      </c>
      <c r="R244" s="7" t="s">
        <v>16</v>
      </c>
      <c r="S244" s="7" t="s">
        <v>17</v>
      </c>
      <c r="U244" t="b">
        <f t="shared" si="29"/>
        <v>1</v>
      </c>
      <c r="V244" t="b">
        <f t="shared" si="30"/>
        <v>1</v>
      </c>
      <c r="W244" t="b">
        <f t="shared" si="31"/>
        <v>1</v>
      </c>
      <c r="X244" t="b">
        <f t="shared" si="32"/>
        <v>1</v>
      </c>
      <c r="Y244" t="b">
        <f t="shared" si="33"/>
        <v>1</v>
      </c>
      <c r="Z244" t="b">
        <f t="shared" si="34"/>
        <v>1</v>
      </c>
      <c r="AA244" t="b">
        <f t="shared" si="35"/>
        <v>1</v>
      </c>
      <c r="AB244" t="b">
        <f t="shared" si="36"/>
        <v>1</v>
      </c>
    </row>
    <row r="245" spans="1:28" ht="14.4">
      <c r="A245" s="2" t="s">
        <v>272</v>
      </c>
      <c r="B245" s="2" t="s">
        <v>14</v>
      </c>
      <c r="C245" s="2" t="s">
        <v>11</v>
      </c>
      <c r="D245" s="2" t="s">
        <v>10</v>
      </c>
      <c r="E245" s="2" t="s">
        <v>28</v>
      </c>
      <c r="F245" s="2" t="s">
        <v>186</v>
      </c>
      <c r="G245" s="2" t="s">
        <v>19</v>
      </c>
      <c r="H245" s="2" t="s">
        <v>16</v>
      </c>
      <c r="I245" s="2" t="s">
        <v>17</v>
      </c>
      <c r="J245" t="b">
        <f t="shared" si="28"/>
        <v>1</v>
      </c>
      <c r="K245" s="8" t="s">
        <v>272</v>
      </c>
      <c r="L245" s="9" t="s">
        <v>14</v>
      </c>
      <c r="M245" s="9" t="s">
        <v>11</v>
      </c>
      <c r="N245" s="9" t="s">
        <v>10</v>
      </c>
      <c r="O245" s="9" t="s">
        <v>28</v>
      </c>
      <c r="P245" s="9" t="s">
        <v>186</v>
      </c>
      <c r="Q245" s="9" t="s">
        <v>19</v>
      </c>
      <c r="R245" s="9" t="s">
        <v>16</v>
      </c>
      <c r="S245" s="9" t="s">
        <v>17</v>
      </c>
      <c r="U245" t="b">
        <f t="shared" si="29"/>
        <v>1</v>
      </c>
      <c r="V245" t="b">
        <f t="shared" si="30"/>
        <v>1</v>
      </c>
      <c r="W245" t="b">
        <f t="shared" si="31"/>
        <v>1</v>
      </c>
      <c r="X245" t="b">
        <f t="shared" si="32"/>
        <v>1</v>
      </c>
      <c r="Y245" t="b">
        <f t="shared" si="33"/>
        <v>1</v>
      </c>
      <c r="Z245" t="b">
        <f t="shared" si="34"/>
        <v>1</v>
      </c>
      <c r="AA245" t="b">
        <f t="shared" si="35"/>
        <v>1</v>
      </c>
      <c r="AB245" t="b">
        <f t="shared" si="36"/>
        <v>1</v>
      </c>
    </row>
    <row r="246" spans="1:28" ht="14.4" hidden="1">
      <c r="A246" s="2" t="s">
        <v>271</v>
      </c>
      <c r="B246" s="2" t="s">
        <v>10</v>
      </c>
      <c r="C246" s="2" t="s">
        <v>11</v>
      </c>
      <c r="D246" s="2" t="s">
        <v>12</v>
      </c>
      <c r="E246" s="2" t="s">
        <v>28</v>
      </c>
      <c r="F246" s="2" t="s">
        <v>186</v>
      </c>
      <c r="G246" s="2" t="s">
        <v>19</v>
      </c>
      <c r="H246" s="2" t="s">
        <v>16</v>
      </c>
      <c r="I246" s="2" t="s">
        <v>17</v>
      </c>
      <c r="J246" t="b">
        <f t="shared" si="28"/>
        <v>1</v>
      </c>
      <c r="K246" s="6" t="s">
        <v>271</v>
      </c>
      <c r="L246" s="7" t="s">
        <v>14</v>
      </c>
      <c r="M246" s="7" t="s">
        <v>15</v>
      </c>
      <c r="N246" s="7" t="s">
        <v>65</v>
      </c>
      <c r="O246" s="7" t="s">
        <v>28</v>
      </c>
      <c r="P246" s="7" t="s">
        <v>186</v>
      </c>
      <c r="Q246" s="7" t="s">
        <v>13</v>
      </c>
      <c r="R246" s="7" t="s">
        <v>19</v>
      </c>
      <c r="S246" s="7" t="s">
        <v>10</v>
      </c>
      <c r="U246" t="b">
        <f t="shared" si="29"/>
        <v>0</v>
      </c>
      <c r="V246" t="b">
        <f t="shared" si="30"/>
        <v>0</v>
      </c>
      <c r="W246" t="b">
        <f t="shared" si="31"/>
        <v>0</v>
      </c>
      <c r="X246" t="b">
        <f t="shared" si="32"/>
        <v>1</v>
      </c>
      <c r="Y246" t="b">
        <f t="shared" si="33"/>
        <v>1</v>
      </c>
      <c r="Z246" t="b">
        <f t="shared" si="34"/>
        <v>0</v>
      </c>
      <c r="AA246" t="b">
        <f t="shared" si="35"/>
        <v>0</v>
      </c>
      <c r="AB246" t="b">
        <f t="shared" si="36"/>
        <v>0</v>
      </c>
    </row>
    <row r="247" spans="1:28" ht="14.4">
      <c r="A247" s="2" t="s">
        <v>270</v>
      </c>
      <c r="B247" s="2" t="s">
        <v>14</v>
      </c>
      <c r="C247" s="2" t="s">
        <v>15</v>
      </c>
      <c r="D247" s="2" t="s">
        <v>11</v>
      </c>
      <c r="E247" s="2" t="s">
        <v>28</v>
      </c>
      <c r="F247" s="2" t="s">
        <v>186</v>
      </c>
      <c r="G247" s="2" t="s">
        <v>13</v>
      </c>
      <c r="H247" s="2" t="s">
        <v>19</v>
      </c>
      <c r="I247" s="2" t="s">
        <v>12</v>
      </c>
      <c r="J247" t="b">
        <f t="shared" si="28"/>
        <v>1</v>
      </c>
      <c r="K247" s="8" t="s">
        <v>270</v>
      </c>
      <c r="L247" s="9" t="s">
        <v>14</v>
      </c>
      <c r="M247" s="9" t="s">
        <v>15</v>
      </c>
      <c r="N247" s="9" t="s">
        <v>11</v>
      </c>
      <c r="O247" s="9" t="s">
        <v>28</v>
      </c>
      <c r="P247" s="9" t="s">
        <v>186</v>
      </c>
      <c r="Q247" s="9" t="s">
        <v>13</v>
      </c>
      <c r="R247" s="9" t="s">
        <v>19</v>
      </c>
      <c r="S247" s="9" t="s">
        <v>12</v>
      </c>
      <c r="U247" t="b">
        <f t="shared" si="29"/>
        <v>1</v>
      </c>
      <c r="V247" t="b">
        <f t="shared" si="30"/>
        <v>1</v>
      </c>
      <c r="W247" t="b">
        <f t="shared" si="31"/>
        <v>1</v>
      </c>
      <c r="X247" t="b">
        <f t="shared" si="32"/>
        <v>1</v>
      </c>
      <c r="Y247" t="b">
        <f t="shared" si="33"/>
        <v>1</v>
      </c>
      <c r="Z247" t="b">
        <f t="shared" si="34"/>
        <v>1</v>
      </c>
      <c r="AA247" t="b">
        <f t="shared" si="35"/>
        <v>1</v>
      </c>
      <c r="AB247" t="b">
        <f t="shared" si="36"/>
        <v>1</v>
      </c>
    </row>
    <row r="248" spans="1:28" ht="14.4">
      <c r="A248" s="2" t="s">
        <v>269</v>
      </c>
      <c r="B248" s="2" t="s">
        <v>14</v>
      </c>
      <c r="C248" s="2" t="s">
        <v>15</v>
      </c>
      <c r="D248" s="2" t="s">
        <v>13</v>
      </c>
      <c r="E248" s="2" t="s">
        <v>28</v>
      </c>
      <c r="F248" s="2" t="s">
        <v>186</v>
      </c>
      <c r="G248" s="2" t="s">
        <v>19</v>
      </c>
      <c r="H248" s="2" t="s">
        <v>12</v>
      </c>
      <c r="I248" s="2" t="s">
        <v>17</v>
      </c>
      <c r="J248" t="b">
        <f t="shared" si="28"/>
        <v>1</v>
      </c>
      <c r="K248" s="6" t="s">
        <v>269</v>
      </c>
      <c r="L248" s="7" t="s">
        <v>14</v>
      </c>
      <c r="M248" s="7" t="s">
        <v>15</v>
      </c>
      <c r="N248" s="7" t="s">
        <v>13</v>
      </c>
      <c r="O248" s="7" t="s">
        <v>28</v>
      </c>
      <c r="P248" s="7" t="s">
        <v>186</v>
      </c>
      <c r="Q248" s="7" t="s">
        <v>19</v>
      </c>
      <c r="R248" s="7" t="s">
        <v>12</v>
      </c>
      <c r="S248" s="7" t="s">
        <v>17</v>
      </c>
      <c r="U248" t="b">
        <f t="shared" si="29"/>
        <v>1</v>
      </c>
      <c r="V248" t="b">
        <f t="shared" si="30"/>
        <v>1</v>
      </c>
      <c r="W248" t="b">
        <f t="shared" si="31"/>
        <v>1</v>
      </c>
      <c r="X248" t="b">
        <f t="shared" si="32"/>
        <v>1</v>
      </c>
      <c r="Y248" t="b">
        <f t="shared" si="33"/>
        <v>1</v>
      </c>
      <c r="Z248" t="b">
        <f t="shared" si="34"/>
        <v>1</v>
      </c>
      <c r="AA248" t="b">
        <f t="shared" si="35"/>
        <v>1</v>
      </c>
      <c r="AB248" t="b">
        <f t="shared" si="36"/>
        <v>1</v>
      </c>
    </row>
    <row r="249" spans="1:28" ht="14.4">
      <c r="A249" s="2" t="s">
        <v>268</v>
      </c>
      <c r="B249" s="2" t="s">
        <v>14</v>
      </c>
      <c r="C249" s="2" t="s">
        <v>15</v>
      </c>
      <c r="D249" s="2" t="s">
        <v>13</v>
      </c>
      <c r="E249" s="2" t="s">
        <v>28</v>
      </c>
      <c r="F249" s="2" t="s">
        <v>186</v>
      </c>
      <c r="G249" s="2" t="s">
        <v>19</v>
      </c>
      <c r="H249" s="2" t="s">
        <v>16</v>
      </c>
      <c r="I249" s="2" t="s">
        <v>12</v>
      </c>
      <c r="J249" t="b">
        <f t="shared" si="28"/>
        <v>1</v>
      </c>
      <c r="K249" s="8" t="s">
        <v>268</v>
      </c>
      <c r="L249" s="9" t="s">
        <v>14</v>
      </c>
      <c r="M249" s="9" t="s">
        <v>15</v>
      </c>
      <c r="N249" s="9" t="s">
        <v>13</v>
      </c>
      <c r="O249" s="9" t="s">
        <v>28</v>
      </c>
      <c r="P249" s="9" t="s">
        <v>186</v>
      </c>
      <c r="Q249" s="9" t="s">
        <v>19</v>
      </c>
      <c r="R249" s="9" t="s">
        <v>16</v>
      </c>
      <c r="S249" s="9" t="s">
        <v>12</v>
      </c>
      <c r="U249" t="b">
        <f t="shared" si="29"/>
        <v>1</v>
      </c>
      <c r="V249" t="b">
        <f t="shared" si="30"/>
        <v>1</v>
      </c>
      <c r="W249" t="b">
        <f t="shared" si="31"/>
        <v>1</v>
      </c>
      <c r="X249" t="b">
        <f t="shared" si="32"/>
        <v>1</v>
      </c>
      <c r="Y249" t="b">
        <f t="shared" si="33"/>
        <v>1</v>
      </c>
      <c r="Z249" t="b">
        <f t="shared" si="34"/>
        <v>1</v>
      </c>
      <c r="AA249" t="b">
        <f t="shared" si="35"/>
        <v>1</v>
      </c>
      <c r="AB249" t="b">
        <f t="shared" si="36"/>
        <v>1</v>
      </c>
    </row>
    <row r="250" spans="1:28" ht="14.4">
      <c r="A250" s="2" t="s">
        <v>267</v>
      </c>
      <c r="B250" s="2" t="s">
        <v>14</v>
      </c>
      <c r="C250" s="2" t="s">
        <v>15</v>
      </c>
      <c r="D250" s="2" t="s">
        <v>11</v>
      </c>
      <c r="E250" s="2" t="s">
        <v>28</v>
      </c>
      <c r="F250" s="2" t="s">
        <v>186</v>
      </c>
      <c r="G250" s="2" t="s">
        <v>13</v>
      </c>
      <c r="H250" s="2" t="s">
        <v>19</v>
      </c>
      <c r="I250" s="2" t="s">
        <v>17</v>
      </c>
      <c r="J250" t="b">
        <f t="shared" si="28"/>
        <v>1</v>
      </c>
      <c r="K250" s="6" t="s">
        <v>267</v>
      </c>
      <c r="L250" s="7" t="s">
        <v>14</v>
      </c>
      <c r="M250" s="7" t="s">
        <v>15</v>
      </c>
      <c r="N250" s="7" t="s">
        <v>11</v>
      </c>
      <c r="O250" s="7" t="s">
        <v>28</v>
      </c>
      <c r="P250" s="7" t="s">
        <v>186</v>
      </c>
      <c r="Q250" s="7" t="s">
        <v>13</v>
      </c>
      <c r="R250" s="7" t="s">
        <v>19</v>
      </c>
      <c r="S250" s="7" t="s">
        <v>17</v>
      </c>
      <c r="U250" t="b">
        <f t="shared" si="29"/>
        <v>1</v>
      </c>
      <c r="V250" t="b">
        <f t="shared" si="30"/>
        <v>1</v>
      </c>
      <c r="W250" t="b">
        <f t="shared" si="31"/>
        <v>1</v>
      </c>
      <c r="X250" t="b">
        <f t="shared" si="32"/>
        <v>1</v>
      </c>
      <c r="Y250" t="b">
        <f t="shared" si="33"/>
        <v>1</v>
      </c>
      <c r="Z250" t="b">
        <f t="shared" si="34"/>
        <v>1</v>
      </c>
      <c r="AA250" t="b">
        <f t="shared" si="35"/>
        <v>1</v>
      </c>
      <c r="AB250" t="b">
        <f t="shared" si="36"/>
        <v>1</v>
      </c>
    </row>
    <row r="251" spans="1:28" ht="14.4">
      <c r="A251" s="2" t="s">
        <v>266</v>
      </c>
      <c r="B251" s="2" t="s">
        <v>28</v>
      </c>
      <c r="C251" s="2" t="s">
        <v>15</v>
      </c>
      <c r="D251" s="2" t="s">
        <v>11</v>
      </c>
      <c r="E251" s="2" t="s">
        <v>19</v>
      </c>
      <c r="F251" s="2" t="s">
        <v>186</v>
      </c>
      <c r="G251" s="2" t="s">
        <v>13</v>
      </c>
      <c r="H251" s="2" t="s">
        <v>16</v>
      </c>
      <c r="I251" s="2" t="s">
        <v>14</v>
      </c>
      <c r="J251" t="b">
        <f t="shared" si="28"/>
        <v>1</v>
      </c>
      <c r="K251" s="8" t="s">
        <v>266</v>
      </c>
      <c r="L251" s="9" t="s">
        <v>28</v>
      </c>
      <c r="M251" s="9" t="s">
        <v>15</v>
      </c>
      <c r="N251" s="9" t="s">
        <v>11</v>
      </c>
      <c r="O251" s="9" t="s">
        <v>19</v>
      </c>
      <c r="P251" s="9" t="s">
        <v>186</v>
      </c>
      <c r="Q251" s="9" t="s">
        <v>13</v>
      </c>
      <c r="R251" s="9" t="s">
        <v>16</v>
      </c>
      <c r="S251" s="9" t="s">
        <v>14</v>
      </c>
      <c r="U251" t="b">
        <f t="shared" si="29"/>
        <v>1</v>
      </c>
      <c r="V251" t="b">
        <f t="shared" si="30"/>
        <v>1</v>
      </c>
      <c r="W251" t="b">
        <f t="shared" si="31"/>
        <v>1</v>
      </c>
      <c r="X251" t="b">
        <f t="shared" si="32"/>
        <v>1</v>
      </c>
      <c r="Y251" t="b">
        <f t="shared" si="33"/>
        <v>1</v>
      </c>
      <c r="Z251" t="b">
        <f t="shared" si="34"/>
        <v>1</v>
      </c>
      <c r="AA251" t="b">
        <f t="shared" si="35"/>
        <v>1</v>
      </c>
      <c r="AB251" t="b">
        <f t="shared" si="36"/>
        <v>1</v>
      </c>
    </row>
    <row r="252" spans="1:28" ht="14.4">
      <c r="A252" s="2" t="s">
        <v>265</v>
      </c>
      <c r="B252" s="2" t="s">
        <v>14</v>
      </c>
      <c r="C252" s="2" t="s">
        <v>15</v>
      </c>
      <c r="D252" s="2" t="s">
        <v>13</v>
      </c>
      <c r="E252" s="2" t="s">
        <v>28</v>
      </c>
      <c r="F252" s="2" t="s">
        <v>186</v>
      </c>
      <c r="G252" s="2" t="s">
        <v>19</v>
      </c>
      <c r="H252" s="2" t="s">
        <v>16</v>
      </c>
      <c r="I252" s="2" t="s">
        <v>17</v>
      </c>
      <c r="J252" t="b">
        <f t="shared" si="28"/>
        <v>1</v>
      </c>
      <c r="K252" s="6" t="s">
        <v>265</v>
      </c>
      <c r="L252" s="7" t="s">
        <v>14</v>
      </c>
      <c r="M252" s="7" t="s">
        <v>15</v>
      </c>
      <c r="N252" s="7" t="s">
        <v>13</v>
      </c>
      <c r="O252" s="7" t="s">
        <v>28</v>
      </c>
      <c r="P252" s="7" t="s">
        <v>186</v>
      </c>
      <c r="Q252" s="7" t="s">
        <v>19</v>
      </c>
      <c r="R252" s="7" t="s">
        <v>16</v>
      </c>
      <c r="S252" s="7" t="s">
        <v>17</v>
      </c>
      <c r="U252" t="b">
        <f t="shared" si="29"/>
        <v>1</v>
      </c>
      <c r="V252" t="b">
        <f t="shared" si="30"/>
        <v>1</v>
      </c>
      <c r="W252" t="b">
        <f t="shared" si="31"/>
        <v>1</v>
      </c>
      <c r="X252" t="b">
        <f t="shared" si="32"/>
        <v>1</v>
      </c>
      <c r="Y252" t="b">
        <f t="shared" si="33"/>
        <v>1</v>
      </c>
      <c r="Z252" t="b">
        <f t="shared" si="34"/>
        <v>1</v>
      </c>
      <c r="AA252" t="b">
        <f t="shared" si="35"/>
        <v>1</v>
      </c>
      <c r="AB252" t="b">
        <f t="shared" si="36"/>
        <v>1</v>
      </c>
    </row>
    <row r="253" spans="1:28" ht="14.4">
      <c r="A253" s="2" t="s">
        <v>264</v>
      </c>
      <c r="B253" s="2" t="s">
        <v>28</v>
      </c>
      <c r="C253" s="2" t="s">
        <v>15</v>
      </c>
      <c r="D253" s="2" t="s">
        <v>11</v>
      </c>
      <c r="E253" s="2" t="s">
        <v>19</v>
      </c>
      <c r="F253" s="2" t="s">
        <v>186</v>
      </c>
      <c r="G253" s="2" t="s">
        <v>13</v>
      </c>
      <c r="H253" s="2" t="s">
        <v>12</v>
      </c>
      <c r="I253" s="2" t="s">
        <v>17</v>
      </c>
      <c r="J253" t="b">
        <f t="shared" si="28"/>
        <v>1</v>
      </c>
      <c r="K253" s="8" t="s">
        <v>264</v>
      </c>
      <c r="L253" s="9" t="s">
        <v>28</v>
      </c>
      <c r="M253" s="9" t="s">
        <v>15</v>
      </c>
      <c r="N253" s="9" t="s">
        <v>11</v>
      </c>
      <c r="O253" s="9" t="s">
        <v>19</v>
      </c>
      <c r="P253" s="9" t="s">
        <v>186</v>
      </c>
      <c r="Q253" s="9" t="s">
        <v>13</v>
      </c>
      <c r="R253" s="9" t="s">
        <v>12</v>
      </c>
      <c r="S253" s="9" t="s">
        <v>17</v>
      </c>
      <c r="U253" t="b">
        <f t="shared" si="29"/>
        <v>1</v>
      </c>
      <c r="V253" t="b">
        <f t="shared" si="30"/>
        <v>1</v>
      </c>
      <c r="W253" t="b">
        <f t="shared" si="31"/>
        <v>1</v>
      </c>
      <c r="X253" t="b">
        <f t="shared" si="32"/>
        <v>1</v>
      </c>
      <c r="Y253" t="b">
        <f t="shared" si="33"/>
        <v>1</v>
      </c>
      <c r="Z253" t="b">
        <f t="shared" si="34"/>
        <v>1</v>
      </c>
      <c r="AA253" t="b">
        <f t="shared" si="35"/>
        <v>1</v>
      </c>
      <c r="AB253" t="b">
        <f t="shared" si="36"/>
        <v>1</v>
      </c>
    </row>
    <row r="254" spans="1:28" ht="14.4">
      <c r="A254" s="2" t="s">
        <v>263</v>
      </c>
      <c r="B254" s="2" t="s">
        <v>28</v>
      </c>
      <c r="C254" s="2" t="s">
        <v>15</v>
      </c>
      <c r="D254" s="2" t="s">
        <v>11</v>
      </c>
      <c r="E254" s="2" t="s">
        <v>19</v>
      </c>
      <c r="F254" s="2" t="s">
        <v>186</v>
      </c>
      <c r="G254" s="2" t="s">
        <v>13</v>
      </c>
      <c r="H254" s="2" t="s">
        <v>16</v>
      </c>
      <c r="I254" s="2" t="s">
        <v>12</v>
      </c>
      <c r="J254" t="b">
        <f t="shared" si="28"/>
        <v>1</v>
      </c>
      <c r="K254" s="6" t="s">
        <v>263</v>
      </c>
      <c r="L254" s="7" t="s">
        <v>28</v>
      </c>
      <c r="M254" s="7" t="s">
        <v>15</v>
      </c>
      <c r="N254" s="7" t="s">
        <v>11</v>
      </c>
      <c r="O254" s="7" t="s">
        <v>19</v>
      </c>
      <c r="P254" s="7" t="s">
        <v>186</v>
      </c>
      <c r="Q254" s="7" t="s">
        <v>13</v>
      </c>
      <c r="R254" s="7" t="s">
        <v>16</v>
      </c>
      <c r="S254" s="7" t="s">
        <v>12</v>
      </c>
      <c r="U254" t="b">
        <f t="shared" si="29"/>
        <v>1</v>
      </c>
      <c r="V254" t="b">
        <f t="shared" si="30"/>
        <v>1</v>
      </c>
      <c r="W254" t="b">
        <f t="shared" si="31"/>
        <v>1</v>
      </c>
      <c r="X254" t="b">
        <f t="shared" si="32"/>
        <v>1</v>
      </c>
      <c r="Y254" t="b">
        <f t="shared" si="33"/>
        <v>1</v>
      </c>
      <c r="Z254" t="b">
        <f t="shared" si="34"/>
        <v>1</v>
      </c>
      <c r="AA254" t="b">
        <f t="shared" si="35"/>
        <v>1</v>
      </c>
      <c r="AB254" t="b">
        <f t="shared" si="36"/>
        <v>1</v>
      </c>
    </row>
    <row r="255" spans="1:28" ht="14.4">
      <c r="A255" s="2" t="s">
        <v>262</v>
      </c>
      <c r="B255" s="2" t="s">
        <v>28</v>
      </c>
      <c r="C255" s="2" t="s">
        <v>15</v>
      </c>
      <c r="D255" s="2" t="s">
        <v>12</v>
      </c>
      <c r="E255" s="2" t="s">
        <v>19</v>
      </c>
      <c r="F255" s="2" t="s">
        <v>186</v>
      </c>
      <c r="G255" s="2" t="s">
        <v>13</v>
      </c>
      <c r="H255" s="2" t="s">
        <v>16</v>
      </c>
      <c r="I255" s="2" t="s">
        <v>17</v>
      </c>
      <c r="J255" t="b">
        <f t="shared" si="28"/>
        <v>1</v>
      </c>
      <c r="K255" s="8" t="s">
        <v>262</v>
      </c>
      <c r="L255" s="9" t="s">
        <v>28</v>
      </c>
      <c r="M255" s="9" t="s">
        <v>15</v>
      </c>
      <c r="N255" s="9" t="s">
        <v>12</v>
      </c>
      <c r="O255" s="9" t="s">
        <v>19</v>
      </c>
      <c r="P255" s="9" t="s">
        <v>186</v>
      </c>
      <c r="Q255" s="9" t="s">
        <v>13</v>
      </c>
      <c r="R255" s="9" t="s">
        <v>16</v>
      </c>
      <c r="S255" s="9" t="s">
        <v>17</v>
      </c>
      <c r="U255" t="b">
        <f t="shared" si="29"/>
        <v>1</v>
      </c>
      <c r="V255" t="b">
        <f t="shared" si="30"/>
        <v>1</v>
      </c>
      <c r="W255" t="b">
        <f t="shared" si="31"/>
        <v>1</v>
      </c>
      <c r="X255" t="b">
        <f t="shared" si="32"/>
        <v>1</v>
      </c>
      <c r="Y255" t="b">
        <f t="shared" si="33"/>
        <v>1</v>
      </c>
      <c r="Z255" t="b">
        <f t="shared" si="34"/>
        <v>1</v>
      </c>
      <c r="AA255" t="b">
        <f t="shared" si="35"/>
        <v>1</v>
      </c>
      <c r="AB255" t="b">
        <f t="shared" si="36"/>
        <v>1</v>
      </c>
    </row>
    <row r="256" spans="1:28" ht="14.4">
      <c r="A256" s="2" t="s">
        <v>261</v>
      </c>
      <c r="B256" s="2" t="s">
        <v>28</v>
      </c>
      <c r="C256" s="2" t="s">
        <v>15</v>
      </c>
      <c r="D256" s="2" t="s">
        <v>11</v>
      </c>
      <c r="E256" s="2" t="s">
        <v>19</v>
      </c>
      <c r="F256" s="2" t="s">
        <v>186</v>
      </c>
      <c r="G256" s="2" t="s">
        <v>13</v>
      </c>
      <c r="H256" s="2" t="s">
        <v>16</v>
      </c>
      <c r="I256" s="2" t="s">
        <v>17</v>
      </c>
      <c r="J256" t="b">
        <f t="shared" si="28"/>
        <v>1</v>
      </c>
      <c r="K256" s="6" t="s">
        <v>261</v>
      </c>
      <c r="L256" s="7" t="s">
        <v>28</v>
      </c>
      <c r="M256" s="7" t="s">
        <v>15</v>
      </c>
      <c r="N256" s="7" t="s">
        <v>11</v>
      </c>
      <c r="O256" s="7" t="s">
        <v>19</v>
      </c>
      <c r="P256" s="7" t="s">
        <v>186</v>
      </c>
      <c r="Q256" s="7" t="s">
        <v>13</v>
      </c>
      <c r="R256" s="7" t="s">
        <v>16</v>
      </c>
      <c r="S256" s="7" t="s">
        <v>17</v>
      </c>
      <c r="U256" t="b">
        <f t="shared" si="29"/>
        <v>1</v>
      </c>
      <c r="V256" t="b">
        <f t="shared" si="30"/>
        <v>1</v>
      </c>
      <c r="W256" t="b">
        <f t="shared" si="31"/>
        <v>1</v>
      </c>
      <c r="X256" t="b">
        <f t="shared" si="32"/>
        <v>1</v>
      </c>
      <c r="Y256" t="b">
        <f t="shared" si="33"/>
        <v>1</v>
      </c>
      <c r="Z256" t="b">
        <f t="shared" si="34"/>
        <v>1</v>
      </c>
      <c r="AA256" t="b">
        <f t="shared" si="35"/>
        <v>1</v>
      </c>
      <c r="AB256" t="b">
        <f t="shared" si="36"/>
        <v>1</v>
      </c>
    </row>
    <row r="257" spans="1:28" ht="14.4">
      <c r="A257" s="2" t="s">
        <v>260</v>
      </c>
      <c r="B257" s="2" t="s">
        <v>14</v>
      </c>
      <c r="C257" s="2" t="s">
        <v>11</v>
      </c>
      <c r="D257" s="2" t="s">
        <v>13</v>
      </c>
      <c r="E257" s="2" t="s">
        <v>28</v>
      </c>
      <c r="F257" s="2" t="s">
        <v>186</v>
      </c>
      <c r="G257" s="2" t="s">
        <v>19</v>
      </c>
      <c r="H257" s="2" t="s">
        <v>12</v>
      </c>
      <c r="I257" s="2" t="s">
        <v>17</v>
      </c>
      <c r="J257" t="b">
        <f t="shared" si="28"/>
        <v>1</v>
      </c>
      <c r="K257" s="8" t="s">
        <v>260</v>
      </c>
      <c r="L257" s="9" t="s">
        <v>14</v>
      </c>
      <c r="M257" s="9" t="s">
        <v>11</v>
      </c>
      <c r="N257" s="9" t="s">
        <v>13</v>
      </c>
      <c r="O257" s="9" t="s">
        <v>28</v>
      </c>
      <c r="P257" s="9" t="s">
        <v>186</v>
      </c>
      <c r="Q257" s="9" t="s">
        <v>19</v>
      </c>
      <c r="R257" s="9" t="s">
        <v>12</v>
      </c>
      <c r="S257" s="9" t="s">
        <v>17</v>
      </c>
      <c r="U257" t="b">
        <f t="shared" si="29"/>
        <v>1</v>
      </c>
      <c r="V257" t="b">
        <f t="shared" si="30"/>
        <v>1</v>
      </c>
      <c r="W257" t="b">
        <f t="shared" si="31"/>
        <v>1</v>
      </c>
      <c r="X257" t="b">
        <f t="shared" si="32"/>
        <v>1</v>
      </c>
      <c r="Y257" t="b">
        <f t="shared" si="33"/>
        <v>1</v>
      </c>
      <c r="Z257" t="b">
        <f t="shared" si="34"/>
        <v>1</v>
      </c>
      <c r="AA257" t="b">
        <f t="shared" si="35"/>
        <v>1</v>
      </c>
      <c r="AB257" t="b">
        <f t="shared" si="36"/>
        <v>1</v>
      </c>
    </row>
    <row r="258" spans="1:28" ht="14.4">
      <c r="A258" s="2" t="s">
        <v>259</v>
      </c>
      <c r="B258" s="2" t="s">
        <v>14</v>
      </c>
      <c r="C258" s="2" t="s">
        <v>11</v>
      </c>
      <c r="D258" s="2" t="s">
        <v>13</v>
      </c>
      <c r="E258" s="2" t="s">
        <v>28</v>
      </c>
      <c r="F258" s="2" t="s">
        <v>186</v>
      </c>
      <c r="G258" s="2" t="s">
        <v>19</v>
      </c>
      <c r="H258" s="2" t="s">
        <v>16</v>
      </c>
      <c r="I258" s="2" t="s">
        <v>12</v>
      </c>
      <c r="J258" t="b">
        <f t="shared" si="28"/>
        <v>1</v>
      </c>
      <c r="K258" s="6" t="s">
        <v>259</v>
      </c>
      <c r="L258" s="7" t="s">
        <v>14</v>
      </c>
      <c r="M258" s="7" t="s">
        <v>11</v>
      </c>
      <c r="N258" s="7" t="s">
        <v>13</v>
      </c>
      <c r="O258" s="7" t="s">
        <v>28</v>
      </c>
      <c r="P258" s="7" t="s">
        <v>186</v>
      </c>
      <c r="Q258" s="7" t="s">
        <v>19</v>
      </c>
      <c r="R258" s="7" t="s">
        <v>16</v>
      </c>
      <c r="S258" s="7" t="s">
        <v>12</v>
      </c>
      <c r="U258" t="b">
        <f t="shared" si="29"/>
        <v>1</v>
      </c>
      <c r="V258" t="b">
        <f t="shared" si="30"/>
        <v>1</v>
      </c>
      <c r="W258" t="b">
        <f t="shared" si="31"/>
        <v>1</v>
      </c>
      <c r="X258" t="b">
        <f t="shared" si="32"/>
        <v>1</v>
      </c>
      <c r="Y258" t="b">
        <f t="shared" si="33"/>
        <v>1</v>
      </c>
      <c r="Z258" t="b">
        <f t="shared" si="34"/>
        <v>1</v>
      </c>
      <c r="AA258" t="b">
        <f t="shared" si="35"/>
        <v>1</v>
      </c>
      <c r="AB258" t="b">
        <f t="shared" si="36"/>
        <v>1</v>
      </c>
    </row>
    <row r="259" spans="1:28" ht="14.4">
      <c r="A259" s="2" t="s">
        <v>258</v>
      </c>
      <c r="B259" s="2" t="s">
        <v>14</v>
      </c>
      <c r="C259" s="2" t="s">
        <v>13</v>
      </c>
      <c r="D259" s="2" t="s">
        <v>12</v>
      </c>
      <c r="E259" s="2" t="s">
        <v>28</v>
      </c>
      <c r="F259" s="2" t="s">
        <v>186</v>
      </c>
      <c r="G259" s="2" t="s">
        <v>19</v>
      </c>
      <c r="H259" s="2" t="s">
        <v>16</v>
      </c>
      <c r="I259" s="2" t="s">
        <v>17</v>
      </c>
      <c r="J259" t="b">
        <f t="shared" ref="J259:J322" si="37">K259=A259</f>
        <v>1</v>
      </c>
      <c r="K259" s="8" t="s">
        <v>258</v>
      </c>
      <c r="L259" s="9" t="s">
        <v>14</v>
      </c>
      <c r="M259" s="9" t="s">
        <v>13</v>
      </c>
      <c r="N259" s="9" t="s">
        <v>12</v>
      </c>
      <c r="O259" s="9" t="s">
        <v>28</v>
      </c>
      <c r="P259" s="9" t="s">
        <v>186</v>
      </c>
      <c r="Q259" s="9" t="s">
        <v>19</v>
      </c>
      <c r="R259" s="9" t="s">
        <v>16</v>
      </c>
      <c r="S259" s="9" t="s">
        <v>17</v>
      </c>
      <c r="U259" t="b">
        <f t="shared" ref="U259:U322" si="38">B259=L259</f>
        <v>1</v>
      </c>
      <c r="V259" t="b">
        <f t="shared" ref="V259:V322" si="39">C259=M259</f>
        <v>1</v>
      </c>
      <c r="W259" t="b">
        <f t="shared" ref="W259:W322" si="40">D259=N259</f>
        <v>1</v>
      </c>
      <c r="X259" t="b">
        <f t="shared" ref="X259:X322" si="41">E259=O259</f>
        <v>1</v>
      </c>
      <c r="Y259" t="b">
        <f t="shared" ref="Y259:Y322" si="42">F259=P259</f>
        <v>1</v>
      </c>
      <c r="Z259" t="b">
        <f t="shared" ref="Z259:Z322" si="43">G259=Q259</f>
        <v>1</v>
      </c>
      <c r="AA259" t="b">
        <f t="shared" ref="AA259:AA322" si="44">H259=R259</f>
        <v>1</v>
      </c>
      <c r="AB259" t="b">
        <f t="shared" ref="AB259:AB322" si="45">I259=S259</f>
        <v>1</v>
      </c>
    </row>
    <row r="260" spans="1:28" ht="14.4">
      <c r="A260" s="2" t="s">
        <v>257</v>
      </c>
      <c r="B260" s="2" t="s">
        <v>14</v>
      </c>
      <c r="C260" s="2" t="s">
        <v>11</v>
      </c>
      <c r="D260" s="2" t="s">
        <v>13</v>
      </c>
      <c r="E260" s="2" t="s">
        <v>28</v>
      </c>
      <c r="F260" s="2" t="s">
        <v>186</v>
      </c>
      <c r="G260" s="2" t="s">
        <v>19</v>
      </c>
      <c r="H260" s="2" t="s">
        <v>16</v>
      </c>
      <c r="I260" s="2" t="s">
        <v>17</v>
      </c>
      <c r="J260" t="b">
        <f t="shared" si="37"/>
        <v>1</v>
      </c>
      <c r="K260" s="6" t="s">
        <v>257</v>
      </c>
      <c r="L260" s="7" t="s">
        <v>14</v>
      </c>
      <c r="M260" s="7" t="s">
        <v>11</v>
      </c>
      <c r="N260" s="7" t="s">
        <v>13</v>
      </c>
      <c r="O260" s="7" t="s">
        <v>28</v>
      </c>
      <c r="P260" s="7" t="s">
        <v>186</v>
      </c>
      <c r="Q260" s="7" t="s">
        <v>19</v>
      </c>
      <c r="R260" s="7" t="s">
        <v>16</v>
      </c>
      <c r="S260" s="7" t="s">
        <v>17</v>
      </c>
      <c r="U260" t="b">
        <f t="shared" si="38"/>
        <v>1</v>
      </c>
      <c r="V260" t="b">
        <f t="shared" si="39"/>
        <v>1</v>
      </c>
      <c r="W260" t="b">
        <f t="shared" si="40"/>
        <v>1</v>
      </c>
      <c r="X260" t="b">
        <f t="shared" si="41"/>
        <v>1</v>
      </c>
      <c r="Y260" t="b">
        <f t="shared" si="42"/>
        <v>1</v>
      </c>
      <c r="Z260" t="b">
        <f t="shared" si="43"/>
        <v>1</v>
      </c>
      <c r="AA260" t="b">
        <f t="shared" si="44"/>
        <v>1</v>
      </c>
      <c r="AB260" t="b">
        <f t="shared" si="45"/>
        <v>1</v>
      </c>
    </row>
    <row r="261" spans="1:28" ht="14.4">
      <c r="A261" s="2" t="s">
        <v>256</v>
      </c>
      <c r="B261" s="2" t="s">
        <v>28</v>
      </c>
      <c r="C261" s="2" t="s">
        <v>11</v>
      </c>
      <c r="D261" s="2" t="s">
        <v>12</v>
      </c>
      <c r="E261" s="2" t="s">
        <v>19</v>
      </c>
      <c r="F261" s="2" t="s">
        <v>186</v>
      </c>
      <c r="G261" s="2" t="s">
        <v>13</v>
      </c>
      <c r="H261" s="2" t="s">
        <v>16</v>
      </c>
      <c r="I261" s="2" t="s">
        <v>17</v>
      </c>
      <c r="J261" t="b">
        <f t="shared" si="37"/>
        <v>1</v>
      </c>
      <c r="K261" s="8" t="s">
        <v>256</v>
      </c>
      <c r="L261" s="9" t="s">
        <v>28</v>
      </c>
      <c r="M261" s="9" t="s">
        <v>11</v>
      </c>
      <c r="N261" s="9" t="s">
        <v>12</v>
      </c>
      <c r="O261" s="9" t="s">
        <v>19</v>
      </c>
      <c r="P261" s="9" t="s">
        <v>186</v>
      </c>
      <c r="Q261" s="9" t="s">
        <v>13</v>
      </c>
      <c r="R261" s="9" t="s">
        <v>16</v>
      </c>
      <c r="S261" s="9" t="s">
        <v>17</v>
      </c>
      <c r="U261" t="b">
        <f t="shared" si="38"/>
        <v>1</v>
      </c>
      <c r="V261" t="b">
        <f t="shared" si="39"/>
        <v>1</v>
      </c>
      <c r="W261" t="b">
        <f t="shared" si="40"/>
        <v>1</v>
      </c>
      <c r="X261" t="b">
        <f t="shared" si="41"/>
        <v>1</v>
      </c>
      <c r="Y261" t="b">
        <f t="shared" si="42"/>
        <v>1</v>
      </c>
      <c r="Z261" t="b">
        <f t="shared" si="43"/>
        <v>1</v>
      </c>
      <c r="AA261" t="b">
        <f t="shared" si="44"/>
        <v>1</v>
      </c>
      <c r="AB261" t="b">
        <f t="shared" si="45"/>
        <v>1</v>
      </c>
    </row>
    <row r="262" spans="1:28" ht="14.4">
      <c r="A262" s="2" t="s">
        <v>255</v>
      </c>
      <c r="B262" s="2" t="s">
        <v>14</v>
      </c>
      <c r="C262" s="2" t="s">
        <v>15</v>
      </c>
      <c r="D262" s="2" t="s">
        <v>11</v>
      </c>
      <c r="E262" s="2" t="s">
        <v>28</v>
      </c>
      <c r="F262" s="2" t="s">
        <v>186</v>
      </c>
      <c r="G262" s="2" t="s">
        <v>19</v>
      </c>
      <c r="H262" s="2" t="s">
        <v>12</v>
      </c>
      <c r="I262" s="2" t="s">
        <v>17</v>
      </c>
      <c r="J262" t="b">
        <f t="shared" si="37"/>
        <v>1</v>
      </c>
      <c r="K262" s="6" t="s">
        <v>255</v>
      </c>
      <c r="L262" s="7" t="s">
        <v>14</v>
      </c>
      <c r="M262" s="7" t="s">
        <v>15</v>
      </c>
      <c r="N262" s="7" t="s">
        <v>11</v>
      </c>
      <c r="O262" s="7" t="s">
        <v>28</v>
      </c>
      <c r="P262" s="7" t="s">
        <v>186</v>
      </c>
      <c r="Q262" s="7" t="s">
        <v>19</v>
      </c>
      <c r="R262" s="7" t="s">
        <v>12</v>
      </c>
      <c r="S262" s="7" t="s">
        <v>17</v>
      </c>
      <c r="U262" t="b">
        <f t="shared" si="38"/>
        <v>1</v>
      </c>
      <c r="V262" t="b">
        <f t="shared" si="39"/>
        <v>1</v>
      </c>
      <c r="W262" t="b">
        <f t="shared" si="40"/>
        <v>1</v>
      </c>
      <c r="X262" t="b">
        <f t="shared" si="41"/>
        <v>1</v>
      </c>
      <c r="Y262" t="b">
        <f t="shared" si="42"/>
        <v>1</v>
      </c>
      <c r="Z262" t="b">
        <f t="shared" si="43"/>
        <v>1</v>
      </c>
      <c r="AA262" t="b">
        <f t="shared" si="44"/>
        <v>1</v>
      </c>
      <c r="AB262" t="b">
        <f t="shared" si="45"/>
        <v>1</v>
      </c>
    </row>
    <row r="263" spans="1:28" ht="14.4" hidden="1">
      <c r="A263" s="2" t="s">
        <v>254</v>
      </c>
      <c r="B263" s="2" t="s">
        <v>14</v>
      </c>
      <c r="C263" s="2" t="s">
        <v>15</v>
      </c>
      <c r="D263" s="2" t="s">
        <v>11</v>
      </c>
      <c r="E263" s="2" t="s">
        <v>28</v>
      </c>
      <c r="F263" s="2" t="s">
        <v>186</v>
      </c>
      <c r="G263" s="2" t="s">
        <v>19</v>
      </c>
      <c r="H263" s="2" t="s">
        <v>16</v>
      </c>
      <c r="I263" s="2" t="s">
        <v>12</v>
      </c>
      <c r="J263" t="b">
        <f t="shared" si="37"/>
        <v>1</v>
      </c>
      <c r="K263" s="8" t="s">
        <v>254</v>
      </c>
      <c r="L263" s="9" t="s">
        <v>12</v>
      </c>
      <c r="M263" s="9" t="s">
        <v>15</v>
      </c>
      <c r="N263" s="9" t="s">
        <v>11</v>
      </c>
      <c r="O263" s="9" t="s">
        <v>28</v>
      </c>
      <c r="P263" s="9" t="s">
        <v>186</v>
      </c>
      <c r="Q263" s="9" t="s">
        <v>19</v>
      </c>
      <c r="R263" s="9" t="s">
        <v>16</v>
      </c>
      <c r="S263" s="9" t="s">
        <v>17</v>
      </c>
      <c r="U263" t="b">
        <f t="shared" si="38"/>
        <v>0</v>
      </c>
      <c r="V263" t="b">
        <f t="shared" si="39"/>
        <v>1</v>
      </c>
      <c r="W263" t="b">
        <f t="shared" si="40"/>
        <v>1</v>
      </c>
      <c r="X263" t="b">
        <f t="shared" si="41"/>
        <v>1</v>
      </c>
      <c r="Y263" t="b">
        <f t="shared" si="42"/>
        <v>1</v>
      </c>
      <c r="Z263" t="b">
        <f t="shared" si="43"/>
        <v>1</v>
      </c>
      <c r="AA263" t="b">
        <f t="shared" si="44"/>
        <v>1</v>
      </c>
      <c r="AB263" t="b">
        <f t="shared" si="45"/>
        <v>0</v>
      </c>
    </row>
    <row r="264" spans="1:28" ht="14.4">
      <c r="A264" s="2" t="s">
        <v>253</v>
      </c>
      <c r="B264" s="2" t="s">
        <v>14</v>
      </c>
      <c r="C264" s="2" t="s">
        <v>15</v>
      </c>
      <c r="D264" s="2" t="s">
        <v>12</v>
      </c>
      <c r="E264" s="2" t="s">
        <v>28</v>
      </c>
      <c r="F264" s="2" t="s">
        <v>186</v>
      </c>
      <c r="G264" s="2" t="s">
        <v>19</v>
      </c>
      <c r="H264" s="2" t="s">
        <v>16</v>
      </c>
      <c r="I264" s="2" t="s">
        <v>17</v>
      </c>
      <c r="J264" t="b">
        <f t="shared" si="37"/>
        <v>1</v>
      </c>
      <c r="K264" s="6" t="s">
        <v>253</v>
      </c>
      <c r="L264" s="7" t="s">
        <v>14</v>
      </c>
      <c r="M264" s="7" t="s">
        <v>15</v>
      </c>
      <c r="N264" s="7" t="s">
        <v>12</v>
      </c>
      <c r="O264" s="7" t="s">
        <v>28</v>
      </c>
      <c r="P264" s="7" t="s">
        <v>186</v>
      </c>
      <c r="Q264" s="7" t="s">
        <v>19</v>
      </c>
      <c r="R264" s="7" t="s">
        <v>16</v>
      </c>
      <c r="S264" s="7" t="s">
        <v>17</v>
      </c>
      <c r="U264" t="b">
        <f t="shared" si="38"/>
        <v>1</v>
      </c>
      <c r="V264" t="b">
        <f t="shared" si="39"/>
        <v>1</v>
      </c>
      <c r="W264" t="b">
        <f t="shared" si="40"/>
        <v>1</v>
      </c>
      <c r="X264" t="b">
        <f t="shared" si="41"/>
        <v>1</v>
      </c>
      <c r="Y264" t="b">
        <f t="shared" si="42"/>
        <v>1</v>
      </c>
      <c r="Z264" t="b">
        <f t="shared" si="43"/>
        <v>1</v>
      </c>
      <c r="AA264" t="b">
        <f t="shared" si="44"/>
        <v>1</v>
      </c>
      <c r="AB264" t="b">
        <f t="shared" si="45"/>
        <v>1</v>
      </c>
    </row>
    <row r="265" spans="1:28" ht="14.4">
      <c r="A265" s="2" t="s">
        <v>252</v>
      </c>
      <c r="B265" s="2" t="s">
        <v>14</v>
      </c>
      <c r="C265" s="2" t="s">
        <v>15</v>
      </c>
      <c r="D265" s="2" t="s">
        <v>11</v>
      </c>
      <c r="E265" s="2" t="s">
        <v>28</v>
      </c>
      <c r="F265" s="2" t="s">
        <v>186</v>
      </c>
      <c r="G265" s="2" t="s">
        <v>19</v>
      </c>
      <c r="H265" s="2" t="s">
        <v>16</v>
      </c>
      <c r="I265" s="2" t="s">
        <v>17</v>
      </c>
      <c r="J265" t="b">
        <f t="shared" si="37"/>
        <v>1</v>
      </c>
      <c r="K265" s="8" t="s">
        <v>252</v>
      </c>
      <c r="L265" s="9" t="s">
        <v>14</v>
      </c>
      <c r="M265" s="9" t="s">
        <v>15</v>
      </c>
      <c r="N265" s="9" t="s">
        <v>11</v>
      </c>
      <c r="O265" s="9" t="s">
        <v>28</v>
      </c>
      <c r="P265" s="9" t="s">
        <v>186</v>
      </c>
      <c r="Q265" s="9" t="s">
        <v>19</v>
      </c>
      <c r="R265" s="9" t="s">
        <v>16</v>
      </c>
      <c r="S265" s="9" t="s">
        <v>17</v>
      </c>
      <c r="U265" t="b">
        <f t="shared" si="38"/>
        <v>1</v>
      </c>
      <c r="V265" t="b">
        <f t="shared" si="39"/>
        <v>1</v>
      </c>
      <c r="W265" t="b">
        <f t="shared" si="40"/>
        <v>1</v>
      </c>
      <c r="X265" t="b">
        <f t="shared" si="41"/>
        <v>1</v>
      </c>
      <c r="Y265" t="b">
        <f t="shared" si="42"/>
        <v>1</v>
      </c>
      <c r="Z265" t="b">
        <f t="shared" si="43"/>
        <v>1</v>
      </c>
      <c r="AA265" t="b">
        <f t="shared" si="44"/>
        <v>1</v>
      </c>
      <c r="AB265" t="b">
        <f t="shared" si="45"/>
        <v>1</v>
      </c>
    </row>
    <row r="266" spans="1:28" ht="14.4" hidden="1">
      <c r="A266" s="2" t="s">
        <v>251</v>
      </c>
      <c r="B266" s="2" t="s">
        <v>12</v>
      </c>
      <c r="C266" s="2" t="s">
        <v>15</v>
      </c>
      <c r="D266" s="2" t="s">
        <v>11</v>
      </c>
      <c r="E266" s="2" t="s">
        <v>28</v>
      </c>
      <c r="F266" s="2" t="s">
        <v>186</v>
      </c>
      <c r="G266" s="2" t="s">
        <v>19</v>
      </c>
      <c r="H266" s="2" t="s">
        <v>16</v>
      </c>
      <c r="I266" s="2" t="s">
        <v>17</v>
      </c>
      <c r="J266" t="b">
        <f t="shared" si="37"/>
        <v>1</v>
      </c>
      <c r="K266" s="6" t="s">
        <v>251</v>
      </c>
      <c r="L266" s="7" t="s">
        <v>14</v>
      </c>
      <c r="M266" s="7" t="s">
        <v>15</v>
      </c>
      <c r="N266" s="7" t="s">
        <v>65</v>
      </c>
      <c r="O266" s="7" t="s">
        <v>28</v>
      </c>
      <c r="P266" s="7" t="s">
        <v>186</v>
      </c>
      <c r="Q266" s="7" t="s">
        <v>13</v>
      </c>
      <c r="R266" s="7" t="s">
        <v>19</v>
      </c>
      <c r="S266" s="7" t="s">
        <v>10</v>
      </c>
      <c r="U266" t="b">
        <f t="shared" si="38"/>
        <v>0</v>
      </c>
      <c r="V266" t="b">
        <f t="shared" si="39"/>
        <v>1</v>
      </c>
      <c r="W266" t="b">
        <f t="shared" si="40"/>
        <v>0</v>
      </c>
      <c r="X266" t="b">
        <f t="shared" si="41"/>
        <v>1</v>
      </c>
      <c r="Y266" t="b">
        <f t="shared" si="42"/>
        <v>1</v>
      </c>
      <c r="Z266" t="b">
        <f t="shared" si="43"/>
        <v>0</v>
      </c>
      <c r="AA266" t="b">
        <f t="shared" si="44"/>
        <v>0</v>
      </c>
      <c r="AB266" t="b">
        <f t="shared" si="45"/>
        <v>0</v>
      </c>
    </row>
    <row r="267" spans="1:28" ht="14.4">
      <c r="A267" s="2" t="s">
        <v>250</v>
      </c>
      <c r="B267" s="2" t="s">
        <v>14</v>
      </c>
      <c r="C267" s="2" t="s">
        <v>11</v>
      </c>
      <c r="D267" s="2" t="s">
        <v>12</v>
      </c>
      <c r="E267" s="2" t="s">
        <v>28</v>
      </c>
      <c r="F267" s="2" t="s">
        <v>186</v>
      </c>
      <c r="G267" s="2" t="s">
        <v>19</v>
      </c>
      <c r="H267" s="2" t="s">
        <v>16</v>
      </c>
      <c r="I267" s="2" t="s">
        <v>17</v>
      </c>
      <c r="J267" t="b">
        <f t="shared" si="37"/>
        <v>1</v>
      </c>
      <c r="K267" s="8" t="s">
        <v>250</v>
      </c>
      <c r="L267" s="9" t="s">
        <v>14</v>
      </c>
      <c r="M267" s="9" t="s">
        <v>11</v>
      </c>
      <c r="N267" s="9" t="s">
        <v>12</v>
      </c>
      <c r="O267" s="9" t="s">
        <v>28</v>
      </c>
      <c r="P267" s="9" t="s">
        <v>186</v>
      </c>
      <c r="Q267" s="9" t="s">
        <v>19</v>
      </c>
      <c r="R267" s="9" t="s">
        <v>16</v>
      </c>
      <c r="S267" s="9" t="s">
        <v>17</v>
      </c>
      <c r="U267" t="b">
        <f t="shared" si="38"/>
        <v>1</v>
      </c>
      <c r="V267" t="b">
        <f t="shared" si="39"/>
        <v>1</v>
      </c>
      <c r="W267" t="b">
        <f t="shared" si="40"/>
        <v>1</v>
      </c>
      <c r="X267" t="b">
        <f t="shared" si="41"/>
        <v>1</v>
      </c>
      <c r="Y267" t="b">
        <f t="shared" si="42"/>
        <v>1</v>
      </c>
      <c r="Z267" t="b">
        <f t="shared" si="43"/>
        <v>1</v>
      </c>
      <c r="AA267" t="b">
        <f t="shared" si="44"/>
        <v>1</v>
      </c>
      <c r="AB267" t="b">
        <f t="shared" si="45"/>
        <v>1</v>
      </c>
    </row>
    <row r="268" spans="1:28" ht="14.4">
      <c r="A268" s="2" t="s">
        <v>249</v>
      </c>
      <c r="B268" s="2" t="s">
        <v>14</v>
      </c>
      <c r="C268" s="2" t="s">
        <v>15</v>
      </c>
      <c r="D268" s="2" t="s">
        <v>11</v>
      </c>
      <c r="E268" s="2" t="s">
        <v>28</v>
      </c>
      <c r="F268" s="2" t="s">
        <v>186</v>
      </c>
      <c r="G268" s="2" t="s">
        <v>13</v>
      </c>
      <c r="H268" s="2" t="s">
        <v>10</v>
      </c>
      <c r="I268" s="2" t="s">
        <v>12</v>
      </c>
      <c r="J268" t="b">
        <f t="shared" si="37"/>
        <v>1</v>
      </c>
      <c r="K268" s="6" t="s">
        <v>249</v>
      </c>
      <c r="L268" s="7" t="s">
        <v>14</v>
      </c>
      <c r="M268" s="7" t="s">
        <v>15</v>
      </c>
      <c r="N268" s="7" t="s">
        <v>11</v>
      </c>
      <c r="O268" s="7" t="s">
        <v>28</v>
      </c>
      <c r="P268" s="7" t="s">
        <v>186</v>
      </c>
      <c r="Q268" s="7" t="s">
        <v>13</v>
      </c>
      <c r="R268" s="7" t="s">
        <v>10</v>
      </c>
      <c r="S268" s="7" t="s">
        <v>12</v>
      </c>
      <c r="U268" t="b">
        <f t="shared" si="38"/>
        <v>1</v>
      </c>
      <c r="V268" t="b">
        <f t="shared" si="39"/>
        <v>1</v>
      </c>
      <c r="W268" t="b">
        <f t="shared" si="40"/>
        <v>1</v>
      </c>
      <c r="X268" t="b">
        <f t="shared" si="41"/>
        <v>1</v>
      </c>
      <c r="Y268" t="b">
        <f t="shared" si="42"/>
        <v>1</v>
      </c>
      <c r="Z268" t="b">
        <f t="shared" si="43"/>
        <v>1</v>
      </c>
      <c r="AA268" t="b">
        <f t="shared" si="44"/>
        <v>1</v>
      </c>
      <c r="AB268" t="b">
        <f t="shared" si="45"/>
        <v>1</v>
      </c>
    </row>
    <row r="269" spans="1:28" ht="14.4">
      <c r="A269" s="2" t="s">
        <v>248</v>
      </c>
      <c r="B269" s="2" t="s">
        <v>14</v>
      </c>
      <c r="C269" s="2" t="s">
        <v>15</v>
      </c>
      <c r="D269" s="2" t="s">
        <v>10</v>
      </c>
      <c r="E269" s="2" t="s">
        <v>28</v>
      </c>
      <c r="F269" s="2" t="s">
        <v>186</v>
      </c>
      <c r="G269" s="2" t="s">
        <v>13</v>
      </c>
      <c r="H269" s="2" t="s">
        <v>12</v>
      </c>
      <c r="I269" s="2" t="s">
        <v>17</v>
      </c>
      <c r="J269" t="b">
        <f t="shared" si="37"/>
        <v>1</v>
      </c>
      <c r="K269" s="8" t="s">
        <v>248</v>
      </c>
      <c r="L269" s="9" t="s">
        <v>14</v>
      </c>
      <c r="M269" s="9" t="s">
        <v>15</v>
      </c>
      <c r="N269" s="9" t="s">
        <v>10</v>
      </c>
      <c r="O269" s="9" t="s">
        <v>28</v>
      </c>
      <c r="P269" s="9" t="s">
        <v>186</v>
      </c>
      <c r="Q269" s="9" t="s">
        <v>13</v>
      </c>
      <c r="R269" s="9" t="s">
        <v>12</v>
      </c>
      <c r="S269" s="9" t="s">
        <v>17</v>
      </c>
      <c r="U269" t="b">
        <f t="shared" si="38"/>
        <v>1</v>
      </c>
      <c r="V269" t="b">
        <f t="shared" si="39"/>
        <v>1</v>
      </c>
      <c r="W269" t="b">
        <f t="shared" si="40"/>
        <v>1</v>
      </c>
      <c r="X269" t="b">
        <f t="shared" si="41"/>
        <v>1</v>
      </c>
      <c r="Y269" t="b">
        <f t="shared" si="42"/>
        <v>1</v>
      </c>
      <c r="Z269" t="b">
        <f t="shared" si="43"/>
        <v>1</v>
      </c>
      <c r="AA269" t="b">
        <f t="shared" si="44"/>
        <v>1</v>
      </c>
      <c r="AB269" t="b">
        <f t="shared" si="45"/>
        <v>1</v>
      </c>
    </row>
    <row r="270" spans="1:28" ht="14.4">
      <c r="A270" s="2" t="s">
        <v>247</v>
      </c>
      <c r="B270" s="2" t="s">
        <v>14</v>
      </c>
      <c r="C270" s="2" t="s">
        <v>15</v>
      </c>
      <c r="D270" s="2" t="s">
        <v>10</v>
      </c>
      <c r="E270" s="2" t="s">
        <v>28</v>
      </c>
      <c r="F270" s="2" t="s">
        <v>186</v>
      </c>
      <c r="G270" s="2" t="s">
        <v>13</v>
      </c>
      <c r="H270" s="2" t="s">
        <v>16</v>
      </c>
      <c r="I270" s="2" t="s">
        <v>12</v>
      </c>
      <c r="J270" t="b">
        <f t="shared" si="37"/>
        <v>1</v>
      </c>
      <c r="K270" s="6" t="s">
        <v>247</v>
      </c>
      <c r="L270" s="7" t="s">
        <v>14</v>
      </c>
      <c r="M270" s="7" t="s">
        <v>15</v>
      </c>
      <c r="N270" s="7" t="s">
        <v>10</v>
      </c>
      <c r="O270" s="7" t="s">
        <v>28</v>
      </c>
      <c r="P270" s="7" t="s">
        <v>186</v>
      </c>
      <c r="Q270" s="7" t="s">
        <v>13</v>
      </c>
      <c r="R270" s="7" t="s">
        <v>16</v>
      </c>
      <c r="S270" s="7" t="s">
        <v>12</v>
      </c>
      <c r="U270" t="b">
        <f t="shared" si="38"/>
        <v>1</v>
      </c>
      <c r="V270" t="b">
        <f t="shared" si="39"/>
        <v>1</v>
      </c>
      <c r="W270" t="b">
        <f t="shared" si="40"/>
        <v>1</v>
      </c>
      <c r="X270" t="b">
        <f t="shared" si="41"/>
        <v>1</v>
      </c>
      <c r="Y270" t="b">
        <f t="shared" si="42"/>
        <v>1</v>
      </c>
      <c r="Z270" t="b">
        <f t="shared" si="43"/>
        <v>1</v>
      </c>
      <c r="AA270" t="b">
        <f t="shared" si="44"/>
        <v>1</v>
      </c>
      <c r="AB270" t="b">
        <f t="shared" si="45"/>
        <v>1</v>
      </c>
    </row>
    <row r="271" spans="1:28" ht="14.4">
      <c r="A271" s="2" t="s">
        <v>246</v>
      </c>
      <c r="B271" s="2" t="s">
        <v>14</v>
      </c>
      <c r="C271" s="2" t="s">
        <v>15</v>
      </c>
      <c r="D271" s="2" t="s">
        <v>11</v>
      </c>
      <c r="E271" s="2" t="s">
        <v>28</v>
      </c>
      <c r="F271" s="2" t="s">
        <v>186</v>
      </c>
      <c r="G271" s="2" t="s">
        <v>13</v>
      </c>
      <c r="H271" s="2" t="s">
        <v>10</v>
      </c>
      <c r="I271" s="2" t="s">
        <v>17</v>
      </c>
      <c r="J271" t="b">
        <f t="shared" si="37"/>
        <v>1</v>
      </c>
      <c r="K271" s="8" t="s">
        <v>246</v>
      </c>
      <c r="L271" s="9" t="s">
        <v>14</v>
      </c>
      <c r="M271" s="9" t="s">
        <v>15</v>
      </c>
      <c r="N271" s="9" t="s">
        <v>11</v>
      </c>
      <c r="O271" s="9" t="s">
        <v>28</v>
      </c>
      <c r="P271" s="9" t="s">
        <v>186</v>
      </c>
      <c r="Q271" s="9" t="s">
        <v>13</v>
      </c>
      <c r="R271" s="9" t="s">
        <v>10</v>
      </c>
      <c r="S271" s="9" t="s">
        <v>17</v>
      </c>
      <c r="U271" t="b">
        <f t="shared" si="38"/>
        <v>1</v>
      </c>
      <c r="V271" t="b">
        <f t="shared" si="39"/>
        <v>1</v>
      </c>
      <c r="W271" t="b">
        <f t="shared" si="40"/>
        <v>1</v>
      </c>
      <c r="X271" t="b">
        <f t="shared" si="41"/>
        <v>1</v>
      </c>
      <c r="Y271" t="b">
        <f t="shared" si="42"/>
        <v>1</v>
      </c>
      <c r="Z271" t="b">
        <f t="shared" si="43"/>
        <v>1</v>
      </c>
      <c r="AA271" t="b">
        <f t="shared" si="44"/>
        <v>1</v>
      </c>
      <c r="AB271" t="b">
        <f t="shared" si="45"/>
        <v>1</v>
      </c>
    </row>
    <row r="272" spans="1:28" ht="14.4">
      <c r="A272" s="2" t="s">
        <v>245</v>
      </c>
      <c r="B272" s="2" t="s">
        <v>14</v>
      </c>
      <c r="C272" s="2" t="s">
        <v>15</v>
      </c>
      <c r="D272" s="2" t="s">
        <v>11</v>
      </c>
      <c r="E272" s="2" t="s">
        <v>28</v>
      </c>
      <c r="F272" s="2" t="s">
        <v>186</v>
      </c>
      <c r="G272" s="2" t="s">
        <v>13</v>
      </c>
      <c r="H272" s="2" t="s">
        <v>16</v>
      </c>
      <c r="I272" s="2" t="s">
        <v>10</v>
      </c>
      <c r="J272" t="b">
        <f t="shared" si="37"/>
        <v>1</v>
      </c>
      <c r="K272" s="6" t="s">
        <v>245</v>
      </c>
      <c r="L272" s="7" t="s">
        <v>14</v>
      </c>
      <c r="M272" s="7" t="s">
        <v>15</v>
      </c>
      <c r="N272" s="7" t="s">
        <v>11</v>
      </c>
      <c r="O272" s="7" t="s">
        <v>28</v>
      </c>
      <c r="P272" s="7" t="s">
        <v>186</v>
      </c>
      <c r="Q272" s="7" t="s">
        <v>13</v>
      </c>
      <c r="R272" s="7" t="s">
        <v>16</v>
      </c>
      <c r="S272" s="7" t="s">
        <v>10</v>
      </c>
      <c r="U272" t="b">
        <f t="shared" si="38"/>
        <v>1</v>
      </c>
      <c r="V272" t="b">
        <f t="shared" si="39"/>
        <v>1</v>
      </c>
      <c r="W272" t="b">
        <f t="shared" si="40"/>
        <v>1</v>
      </c>
      <c r="X272" t="b">
        <f t="shared" si="41"/>
        <v>1</v>
      </c>
      <c r="Y272" t="b">
        <f t="shared" si="42"/>
        <v>1</v>
      </c>
      <c r="Z272" t="b">
        <f t="shared" si="43"/>
        <v>1</v>
      </c>
      <c r="AA272" t="b">
        <f t="shared" si="44"/>
        <v>1</v>
      </c>
      <c r="AB272" t="b">
        <f t="shared" si="45"/>
        <v>1</v>
      </c>
    </row>
    <row r="273" spans="1:28" ht="14.4">
      <c r="A273" s="2" t="s">
        <v>244</v>
      </c>
      <c r="B273" s="2" t="s">
        <v>14</v>
      </c>
      <c r="C273" s="2" t="s">
        <v>15</v>
      </c>
      <c r="D273" s="2" t="s">
        <v>10</v>
      </c>
      <c r="E273" s="2" t="s">
        <v>28</v>
      </c>
      <c r="F273" s="2" t="s">
        <v>186</v>
      </c>
      <c r="G273" s="2" t="s">
        <v>13</v>
      </c>
      <c r="H273" s="2" t="s">
        <v>16</v>
      </c>
      <c r="I273" s="2" t="s">
        <v>17</v>
      </c>
      <c r="J273" t="b">
        <f t="shared" si="37"/>
        <v>1</v>
      </c>
      <c r="K273" s="8" t="s">
        <v>244</v>
      </c>
      <c r="L273" s="9" t="s">
        <v>14</v>
      </c>
      <c r="M273" s="9" t="s">
        <v>15</v>
      </c>
      <c r="N273" s="9" t="s">
        <v>10</v>
      </c>
      <c r="O273" s="9" t="s">
        <v>28</v>
      </c>
      <c r="P273" s="9" t="s">
        <v>186</v>
      </c>
      <c r="Q273" s="9" t="s">
        <v>13</v>
      </c>
      <c r="R273" s="9" t="s">
        <v>16</v>
      </c>
      <c r="S273" s="9" t="s">
        <v>17</v>
      </c>
      <c r="U273" t="b">
        <f t="shared" si="38"/>
        <v>1</v>
      </c>
      <c r="V273" t="b">
        <f t="shared" si="39"/>
        <v>1</v>
      </c>
      <c r="W273" t="b">
        <f t="shared" si="40"/>
        <v>1</v>
      </c>
      <c r="X273" t="b">
        <f t="shared" si="41"/>
        <v>1</v>
      </c>
      <c r="Y273" t="b">
        <f t="shared" si="42"/>
        <v>1</v>
      </c>
      <c r="Z273" t="b">
        <f t="shared" si="43"/>
        <v>1</v>
      </c>
      <c r="AA273" t="b">
        <f t="shared" si="44"/>
        <v>1</v>
      </c>
      <c r="AB273" t="b">
        <f t="shared" si="45"/>
        <v>1</v>
      </c>
    </row>
    <row r="274" spans="1:28" ht="14.4">
      <c r="A274" s="2" t="s">
        <v>243</v>
      </c>
      <c r="B274" s="2" t="s">
        <v>10</v>
      </c>
      <c r="C274" s="2" t="s">
        <v>15</v>
      </c>
      <c r="D274" s="2" t="s">
        <v>11</v>
      </c>
      <c r="E274" s="2" t="s">
        <v>28</v>
      </c>
      <c r="F274" s="2" t="s">
        <v>186</v>
      </c>
      <c r="G274" s="2" t="s">
        <v>13</v>
      </c>
      <c r="H274" s="2" t="s">
        <v>12</v>
      </c>
      <c r="I274" s="2" t="s">
        <v>17</v>
      </c>
      <c r="J274" t="b">
        <f t="shared" si="37"/>
        <v>1</v>
      </c>
      <c r="K274" s="6" t="s">
        <v>243</v>
      </c>
      <c r="L274" s="7" t="s">
        <v>10</v>
      </c>
      <c r="M274" s="7" t="s">
        <v>15</v>
      </c>
      <c r="N274" s="7" t="s">
        <v>11</v>
      </c>
      <c r="O274" s="7" t="s">
        <v>28</v>
      </c>
      <c r="P274" s="7" t="s">
        <v>186</v>
      </c>
      <c r="Q274" s="7" t="s">
        <v>13</v>
      </c>
      <c r="R274" s="7" t="s">
        <v>12</v>
      </c>
      <c r="S274" s="7" t="s">
        <v>17</v>
      </c>
      <c r="U274" t="b">
        <f t="shared" si="38"/>
        <v>1</v>
      </c>
      <c r="V274" t="b">
        <f t="shared" si="39"/>
        <v>1</v>
      </c>
      <c r="W274" t="b">
        <f t="shared" si="40"/>
        <v>1</v>
      </c>
      <c r="X274" t="b">
        <f t="shared" si="41"/>
        <v>1</v>
      </c>
      <c r="Y274" t="b">
        <f t="shared" si="42"/>
        <v>1</v>
      </c>
      <c r="Z274" t="b">
        <f t="shared" si="43"/>
        <v>1</v>
      </c>
      <c r="AA274" t="b">
        <f t="shared" si="44"/>
        <v>1</v>
      </c>
      <c r="AB274" t="b">
        <f t="shared" si="45"/>
        <v>1</v>
      </c>
    </row>
    <row r="275" spans="1:28" ht="14.4">
      <c r="A275" s="2" t="s">
        <v>242</v>
      </c>
      <c r="B275" s="2" t="s">
        <v>10</v>
      </c>
      <c r="C275" s="2" t="s">
        <v>15</v>
      </c>
      <c r="D275" s="2" t="s">
        <v>11</v>
      </c>
      <c r="E275" s="2" t="s">
        <v>28</v>
      </c>
      <c r="F275" s="2" t="s">
        <v>186</v>
      </c>
      <c r="G275" s="2" t="s">
        <v>13</v>
      </c>
      <c r="H275" s="2" t="s">
        <v>16</v>
      </c>
      <c r="I275" s="2" t="s">
        <v>12</v>
      </c>
      <c r="J275" t="b">
        <f t="shared" si="37"/>
        <v>1</v>
      </c>
      <c r="K275" s="8" t="s">
        <v>242</v>
      </c>
      <c r="L275" s="9" t="s">
        <v>10</v>
      </c>
      <c r="M275" s="9" t="s">
        <v>15</v>
      </c>
      <c r="N275" s="9" t="s">
        <v>11</v>
      </c>
      <c r="O275" s="9" t="s">
        <v>28</v>
      </c>
      <c r="P275" s="9" t="s">
        <v>186</v>
      </c>
      <c r="Q275" s="9" t="s">
        <v>13</v>
      </c>
      <c r="R275" s="9" t="s">
        <v>16</v>
      </c>
      <c r="S275" s="9" t="s">
        <v>12</v>
      </c>
      <c r="U275" t="b">
        <f t="shared" si="38"/>
        <v>1</v>
      </c>
      <c r="V275" t="b">
        <f t="shared" si="39"/>
        <v>1</v>
      </c>
      <c r="W275" t="b">
        <f t="shared" si="40"/>
        <v>1</v>
      </c>
      <c r="X275" t="b">
        <f t="shared" si="41"/>
        <v>1</v>
      </c>
      <c r="Y275" t="b">
        <f t="shared" si="42"/>
        <v>1</v>
      </c>
      <c r="Z275" t="b">
        <f t="shared" si="43"/>
        <v>1</v>
      </c>
      <c r="AA275" t="b">
        <f t="shared" si="44"/>
        <v>1</v>
      </c>
      <c r="AB275" t="b">
        <f t="shared" si="45"/>
        <v>1</v>
      </c>
    </row>
    <row r="276" spans="1:28" ht="14.4">
      <c r="A276" s="2" t="s">
        <v>241</v>
      </c>
      <c r="B276" s="2" t="s">
        <v>10</v>
      </c>
      <c r="C276" s="2" t="s">
        <v>15</v>
      </c>
      <c r="D276" s="2" t="s">
        <v>12</v>
      </c>
      <c r="E276" s="2" t="s">
        <v>28</v>
      </c>
      <c r="F276" s="2" t="s">
        <v>186</v>
      </c>
      <c r="G276" s="2" t="s">
        <v>13</v>
      </c>
      <c r="H276" s="2" t="s">
        <v>16</v>
      </c>
      <c r="I276" s="2" t="s">
        <v>17</v>
      </c>
      <c r="J276" t="b">
        <f t="shared" si="37"/>
        <v>1</v>
      </c>
      <c r="K276" s="6" t="s">
        <v>241</v>
      </c>
      <c r="L276" s="7" t="s">
        <v>10</v>
      </c>
      <c r="M276" s="7" t="s">
        <v>15</v>
      </c>
      <c r="N276" s="7" t="s">
        <v>12</v>
      </c>
      <c r="O276" s="7" t="s">
        <v>28</v>
      </c>
      <c r="P276" s="7" t="s">
        <v>186</v>
      </c>
      <c r="Q276" s="7" t="s">
        <v>13</v>
      </c>
      <c r="R276" s="7" t="s">
        <v>16</v>
      </c>
      <c r="S276" s="7" t="s">
        <v>17</v>
      </c>
      <c r="U276" t="b">
        <f t="shared" si="38"/>
        <v>1</v>
      </c>
      <c r="V276" t="b">
        <f t="shared" si="39"/>
        <v>1</v>
      </c>
      <c r="W276" t="b">
        <f t="shared" si="40"/>
        <v>1</v>
      </c>
      <c r="X276" t="b">
        <f t="shared" si="41"/>
        <v>1</v>
      </c>
      <c r="Y276" t="b">
        <f t="shared" si="42"/>
        <v>1</v>
      </c>
      <c r="Z276" t="b">
        <f t="shared" si="43"/>
        <v>1</v>
      </c>
      <c r="AA276" t="b">
        <f t="shared" si="44"/>
        <v>1</v>
      </c>
      <c r="AB276" t="b">
        <f t="shared" si="45"/>
        <v>1</v>
      </c>
    </row>
    <row r="277" spans="1:28" ht="14.4">
      <c r="A277" s="2" t="s">
        <v>240</v>
      </c>
      <c r="B277" s="2" t="s">
        <v>10</v>
      </c>
      <c r="C277" s="2" t="s">
        <v>15</v>
      </c>
      <c r="D277" s="2" t="s">
        <v>11</v>
      </c>
      <c r="E277" s="2" t="s">
        <v>28</v>
      </c>
      <c r="F277" s="2" t="s">
        <v>186</v>
      </c>
      <c r="G277" s="2" t="s">
        <v>13</v>
      </c>
      <c r="H277" s="2" t="s">
        <v>16</v>
      </c>
      <c r="I277" s="2" t="s">
        <v>17</v>
      </c>
      <c r="J277" t="b">
        <f t="shared" si="37"/>
        <v>1</v>
      </c>
      <c r="K277" s="8" t="s">
        <v>240</v>
      </c>
      <c r="L277" s="9" t="s">
        <v>10</v>
      </c>
      <c r="M277" s="9" t="s">
        <v>15</v>
      </c>
      <c r="N277" s="9" t="s">
        <v>11</v>
      </c>
      <c r="O277" s="9" t="s">
        <v>28</v>
      </c>
      <c r="P277" s="9" t="s">
        <v>186</v>
      </c>
      <c r="Q277" s="9" t="s">
        <v>13</v>
      </c>
      <c r="R277" s="9" t="s">
        <v>16</v>
      </c>
      <c r="S277" s="9" t="s">
        <v>17</v>
      </c>
      <c r="U277" t="b">
        <f t="shared" si="38"/>
        <v>1</v>
      </c>
      <c r="V277" t="b">
        <f t="shared" si="39"/>
        <v>1</v>
      </c>
      <c r="W277" t="b">
        <f t="shared" si="40"/>
        <v>1</v>
      </c>
      <c r="X277" t="b">
        <f t="shared" si="41"/>
        <v>1</v>
      </c>
      <c r="Y277" t="b">
        <f t="shared" si="42"/>
        <v>1</v>
      </c>
      <c r="Z277" t="b">
        <f t="shared" si="43"/>
        <v>1</v>
      </c>
      <c r="AA277" t="b">
        <f t="shared" si="44"/>
        <v>1</v>
      </c>
      <c r="AB277" t="b">
        <f t="shared" si="45"/>
        <v>1</v>
      </c>
    </row>
    <row r="278" spans="1:28" ht="14.4">
      <c r="A278" s="2" t="s">
        <v>239</v>
      </c>
      <c r="B278" s="2" t="s">
        <v>14</v>
      </c>
      <c r="C278" s="2" t="s">
        <v>11</v>
      </c>
      <c r="D278" s="2" t="s">
        <v>10</v>
      </c>
      <c r="E278" s="2" t="s">
        <v>28</v>
      </c>
      <c r="F278" s="2" t="s">
        <v>186</v>
      </c>
      <c r="G278" s="2" t="s">
        <v>13</v>
      </c>
      <c r="H278" s="2" t="s">
        <v>12</v>
      </c>
      <c r="I278" s="2" t="s">
        <v>17</v>
      </c>
      <c r="J278" t="b">
        <f t="shared" si="37"/>
        <v>1</v>
      </c>
      <c r="K278" s="6" t="s">
        <v>239</v>
      </c>
      <c r="L278" s="7" t="s">
        <v>14</v>
      </c>
      <c r="M278" s="7" t="s">
        <v>11</v>
      </c>
      <c r="N278" s="7" t="s">
        <v>10</v>
      </c>
      <c r="O278" s="7" t="s">
        <v>28</v>
      </c>
      <c r="P278" s="7" t="s">
        <v>186</v>
      </c>
      <c r="Q278" s="7" t="s">
        <v>13</v>
      </c>
      <c r="R278" s="7" t="s">
        <v>12</v>
      </c>
      <c r="S278" s="7" t="s">
        <v>17</v>
      </c>
      <c r="U278" t="b">
        <f t="shared" si="38"/>
        <v>1</v>
      </c>
      <c r="V278" t="b">
        <f t="shared" si="39"/>
        <v>1</v>
      </c>
      <c r="W278" t="b">
        <f t="shared" si="40"/>
        <v>1</v>
      </c>
      <c r="X278" t="b">
        <f t="shared" si="41"/>
        <v>1</v>
      </c>
      <c r="Y278" t="b">
        <f t="shared" si="42"/>
        <v>1</v>
      </c>
      <c r="Z278" t="b">
        <f t="shared" si="43"/>
        <v>1</v>
      </c>
      <c r="AA278" t="b">
        <f t="shared" si="44"/>
        <v>1</v>
      </c>
      <c r="AB278" t="b">
        <f t="shared" si="45"/>
        <v>1</v>
      </c>
    </row>
    <row r="279" spans="1:28" ht="14.4">
      <c r="A279" s="2" t="s">
        <v>238</v>
      </c>
      <c r="B279" s="2" t="s">
        <v>14</v>
      </c>
      <c r="C279" s="2" t="s">
        <v>11</v>
      </c>
      <c r="D279" s="2" t="s">
        <v>10</v>
      </c>
      <c r="E279" s="2" t="s">
        <v>28</v>
      </c>
      <c r="F279" s="2" t="s">
        <v>186</v>
      </c>
      <c r="G279" s="2" t="s">
        <v>13</v>
      </c>
      <c r="H279" s="2" t="s">
        <v>16</v>
      </c>
      <c r="I279" s="2" t="s">
        <v>12</v>
      </c>
      <c r="J279" t="b">
        <f t="shared" si="37"/>
        <v>1</v>
      </c>
      <c r="K279" s="8" t="s">
        <v>238</v>
      </c>
      <c r="L279" s="9" t="s">
        <v>14</v>
      </c>
      <c r="M279" s="9" t="s">
        <v>11</v>
      </c>
      <c r="N279" s="9" t="s">
        <v>10</v>
      </c>
      <c r="O279" s="9" t="s">
        <v>28</v>
      </c>
      <c r="P279" s="9" t="s">
        <v>186</v>
      </c>
      <c r="Q279" s="9" t="s">
        <v>13</v>
      </c>
      <c r="R279" s="9" t="s">
        <v>16</v>
      </c>
      <c r="S279" s="9" t="s">
        <v>12</v>
      </c>
      <c r="U279" t="b">
        <f t="shared" si="38"/>
        <v>1</v>
      </c>
      <c r="V279" t="b">
        <f t="shared" si="39"/>
        <v>1</v>
      </c>
      <c r="W279" t="b">
        <f t="shared" si="40"/>
        <v>1</v>
      </c>
      <c r="X279" t="b">
        <f t="shared" si="41"/>
        <v>1</v>
      </c>
      <c r="Y279" t="b">
        <f t="shared" si="42"/>
        <v>1</v>
      </c>
      <c r="Z279" t="b">
        <f t="shared" si="43"/>
        <v>1</v>
      </c>
      <c r="AA279" t="b">
        <f t="shared" si="44"/>
        <v>1</v>
      </c>
      <c r="AB279" t="b">
        <f t="shared" si="45"/>
        <v>1</v>
      </c>
    </row>
    <row r="280" spans="1:28" ht="14.4">
      <c r="A280" s="2" t="s">
        <v>237</v>
      </c>
      <c r="B280" s="2" t="s">
        <v>14</v>
      </c>
      <c r="C280" s="2" t="s">
        <v>10</v>
      </c>
      <c r="D280" s="2" t="s">
        <v>12</v>
      </c>
      <c r="E280" s="2" t="s">
        <v>28</v>
      </c>
      <c r="F280" s="2" t="s">
        <v>186</v>
      </c>
      <c r="G280" s="2" t="s">
        <v>13</v>
      </c>
      <c r="H280" s="2" t="s">
        <v>16</v>
      </c>
      <c r="I280" s="2" t="s">
        <v>17</v>
      </c>
      <c r="J280" t="b">
        <f t="shared" si="37"/>
        <v>1</v>
      </c>
      <c r="K280" s="6" t="s">
        <v>237</v>
      </c>
      <c r="L280" s="7" t="s">
        <v>14</v>
      </c>
      <c r="M280" s="7" t="s">
        <v>10</v>
      </c>
      <c r="N280" s="7" t="s">
        <v>12</v>
      </c>
      <c r="O280" s="7" t="s">
        <v>28</v>
      </c>
      <c r="P280" s="7" t="s">
        <v>186</v>
      </c>
      <c r="Q280" s="7" t="s">
        <v>13</v>
      </c>
      <c r="R280" s="7" t="s">
        <v>16</v>
      </c>
      <c r="S280" s="7" t="s">
        <v>17</v>
      </c>
      <c r="U280" t="b">
        <f t="shared" si="38"/>
        <v>1</v>
      </c>
      <c r="V280" t="b">
        <f t="shared" si="39"/>
        <v>1</v>
      </c>
      <c r="W280" t="b">
        <f t="shared" si="40"/>
        <v>1</v>
      </c>
      <c r="X280" t="b">
        <f t="shared" si="41"/>
        <v>1</v>
      </c>
      <c r="Y280" t="b">
        <f t="shared" si="42"/>
        <v>1</v>
      </c>
      <c r="Z280" t="b">
        <f t="shared" si="43"/>
        <v>1</v>
      </c>
      <c r="AA280" t="b">
        <f t="shared" si="44"/>
        <v>1</v>
      </c>
      <c r="AB280" t="b">
        <f t="shared" si="45"/>
        <v>1</v>
      </c>
    </row>
    <row r="281" spans="1:28" ht="14.4">
      <c r="A281" s="2" t="s">
        <v>236</v>
      </c>
      <c r="B281" s="2" t="s">
        <v>14</v>
      </c>
      <c r="C281" s="2" t="s">
        <v>11</v>
      </c>
      <c r="D281" s="2" t="s">
        <v>10</v>
      </c>
      <c r="E281" s="2" t="s">
        <v>28</v>
      </c>
      <c r="F281" s="2" t="s">
        <v>186</v>
      </c>
      <c r="G281" s="2" t="s">
        <v>13</v>
      </c>
      <c r="H281" s="2" t="s">
        <v>16</v>
      </c>
      <c r="I281" s="2" t="s">
        <v>17</v>
      </c>
      <c r="J281" t="b">
        <f t="shared" si="37"/>
        <v>1</v>
      </c>
      <c r="K281" s="8" t="s">
        <v>236</v>
      </c>
      <c r="L281" s="9" t="s">
        <v>14</v>
      </c>
      <c r="M281" s="9" t="s">
        <v>11</v>
      </c>
      <c r="N281" s="9" t="s">
        <v>10</v>
      </c>
      <c r="O281" s="9" t="s">
        <v>28</v>
      </c>
      <c r="P281" s="9" t="s">
        <v>186</v>
      </c>
      <c r="Q281" s="9" t="s">
        <v>13</v>
      </c>
      <c r="R281" s="9" t="s">
        <v>16</v>
      </c>
      <c r="S281" s="9" t="s">
        <v>17</v>
      </c>
      <c r="U281" t="b">
        <f t="shared" si="38"/>
        <v>1</v>
      </c>
      <c r="V281" t="b">
        <f t="shared" si="39"/>
        <v>1</v>
      </c>
      <c r="W281" t="b">
        <f t="shared" si="40"/>
        <v>1</v>
      </c>
      <c r="X281" t="b">
        <f t="shared" si="41"/>
        <v>1</v>
      </c>
      <c r="Y281" t="b">
        <f t="shared" si="42"/>
        <v>1</v>
      </c>
      <c r="Z281" t="b">
        <f t="shared" si="43"/>
        <v>1</v>
      </c>
      <c r="AA281" t="b">
        <f t="shared" si="44"/>
        <v>1</v>
      </c>
      <c r="AB281" t="b">
        <f t="shared" si="45"/>
        <v>1</v>
      </c>
    </row>
    <row r="282" spans="1:28" ht="14.4">
      <c r="A282" s="2" t="s">
        <v>235</v>
      </c>
      <c r="B282" s="2" t="s">
        <v>10</v>
      </c>
      <c r="C282" s="2" t="s">
        <v>11</v>
      </c>
      <c r="D282" s="2" t="s">
        <v>12</v>
      </c>
      <c r="E282" s="2" t="s">
        <v>28</v>
      </c>
      <c r="F282" s="2" t="s">
        <v>186</v>
      </c>
      <c r="G282" s="2" t="s">
        <v>13</v>
      </c>
      <c r="H282" s="2" t="s">
        <v>16</v>
      </c>
      <c r="I282" s="2" t="s">
        <v>17</v>
      </c>
      <c r="J282" t="b">
        <f t="shared" si="37"/>
        <v>1</v>
      </c>
      <c r="K282" s="6" t="s">
        <v>235</v>
      </c>
      <c r="L282" s="7" t="s">
        <v>10</v>
      </c>
      <c r="M282" s="7" t="s">
        <v>11</v>
      </c>
      <c r="N282" s="7" t="s">
        <v>12</v>
      </c>
      <c r="O282" s="7" t="s">
        <v>28</v>
      </c>
      <c r="P282" s="7" t="s">
        <v>186</v>
      </c>
      <c r="Q282" s="7" t="s">
        <v>13</v>
      </c>
      <c r="R282" s="7" t="s">
        <v>16</v>
      </c>
      <c r="S282" s="7" t="s">
        <v>17</v>
      </c>
      <c r="U282" t="b">
        <f t="shared" si="38"/>
        <v>1</v>
      </c>
      <c r="V282" t="b">
        <f t="shared" si="39"/>
        <v>1</v>
      </c>
      <c r="W282" t="b">
        <f t="shared" si="40"/>
        <v>1</v>
      </c>
      <c r="X282" t="b">
        <f t="shared" si="41"/>
        <v>1</v>
      </c>
      <c r="Y282" t="b">
        <f t="shared" si="42"/>
        <v>1</v>
      </c>
      <c r="Z282" t="b">
        <f t="shared" si="43"/>
        <v>1</v>
      </c>
      <c r="AA282" t="b">
        <f t="shared" si="44"/>
        <v>1</v>
      </c>
      <c r="AB282" t="b">
        <f t="shared" si="45"/>
        <v>1</v>
      </c>
    </row>
    <row r="283" spans="1:28" ht="14.4">
      <c r="A283" s="2" t="s">
        <v>234</v>
      </c>
      <c r="B283" s="2" t="s">
        <v>10</v>
      </c>
      <c r="C283" s="2" t="s">
        <v>15</v>
      </c>
      <c r="D283" s="2" t="s">
        <v>11</v>
      </c>
      <c r="E283" s="2" t="s">
        <v>28</v>
      </c>
      <c r="F283" s="2" t="s">
        <v>186</v>
      </c>
      <c r="G283" s="2" t="s">
        <v>14</v>
      </c>
      <c r="H283" s="2" t="s">
        <v>12</v>
      </c>
      <c r="I283" s="2" t="s">
        <v>17</v>
      </c>
      <c r="J283" t="b">
        <f t="shared" si="37"/>
        <v>1</v>
      </c>
      <c r="K283" s="8" t="s">
        <v>234</v>
      </c>
      <c r="L283" s="9" t="s">
        <v>10</v>
      </c>
      <c r="M283" s="9" t="s">
        <v>15</v>
      </c>
      <c r="N283" s="9" t="s">
        <v>11</v>
      </c>
      <c r="O283" s="9" t="s">
        <v>28</v>
      </c>
      <c r="P283" s="9" t="s">
        <v>186</v>
      </c>
      <c r="Q283" s="9" t="s">
        <v>14</v>
      </c>
      <c r="R283" s="9" t="s">
        <v>12</v>
      </c>
      <c r="S283" s="9" t="s">
        <v>17</v>
      </c>
      <c r="U283" t="b">
        <f t="shared" si="38"/>
        <v>1</v>
      </c>
      <c r="V283" t="b">
        <f t="shared" si="39"/>
        <v>1</v>
      </c>
      <c r="W283" t="b">
        <f t="shared" si="40"/>
        <v>1</v>
      </c>
      <c r="X283" t="b">
        <f t="shared" si="41"/>
        <v>1</v>
      </c>
      <c r="Y283" t="b">
        <f t="shared" si="42"/>
        <v>1</v>
      </c>
      <c r="Z283" t="b">
        <f t="shared" si="43"/>
        <v>1</v>
      </c>
      <c r="AA283" t="b">
        <f t="shared" si="44"/>
        <v>1</v>
      </c>
      <c r="AB283" t="b">
        <f t="shared" si="45"/>
        <v>1</v>
      </c>
    </row>
    <row r="284" spans="1:28" ht="14.4" hidden="1">
      <c r="A284" s="2" t="s">
        <v>233</v>
      </c>
      <c r="B284" s="2" t="s">
        <v>10</v>
      </c>
      <c r="C284" s="2" t="s">
        <v>15</v>
      </c>
      <c r="D284" s="2" t="s">
        <v>11</v>
      </c>
      <c r="E284" s="2" t="s">
        <v>28</v>
      </c>
      <c r="F284" s="2" t="s">
        <v>186</v>
      </c>
      <c r="G284" s="2" t="s">
        <v>14</v>
      </c>
      <c r="H284" s="2" t="s">
        <v>16</v>
      </c>
      <c r="I284" s="2" t="s">
        <v>12</v>
      </c>
      <c r="J284" t="b">
        <f t="shared" si="37"/>
        <v>1</v>
      </c>
      <c r="K284" s="6" t="s">
        <v>233</v>
      </c>
      <c r="L284" s="7" t="s">
        <v>10</v>
      </c>
      <c r="M284" s="7" t="s">
        <v>11</v>
      </c>
      <c r="N284" s="7" t="s">
        <v>12</v>
      </c>
      <c r="O284" s="7" t="s">
        <v>28</v>
      </c>
      <c r="P284" s="7" t="s">
        <v>186</v>
      </c>
      <c r="Q284" s="7" t="s">
        <v>15</v>
      </c>
      <c r="R284" s="7" t="s">
        <v>16</v>
      </c>
      <c r="S284" s="7" t="s">
        <v>17</v>
      </c>
      <c r="U284" t="b">
        <f t="shared" si="38"/>
        <v>1</v>
      </c>
      <c r="V284" t="b">
        <f t="shared" si="39"/>
        <v>0</v>
      </c>
      <c r="W284" t="b">
        <f t="shared" si="40"/>
        <v>0</v>
      </c>
      <c r="X284" t="b">
        <f t="shared" si="41"/>
        <v>1</v>
      </c>
      <c r="Y284" t="b">
        <f t="shared" si="42"/>
        <v>1</v>
      </c>
      <c r="Z284" t="b">
        <f t="shared" si="43"/>
        <v>0</v>
      </c>
      <c r="AA284" t="b">
        <f t="shared" si="44"/>
        <v>1</v>
      </c>
      <c r="AB284" t="b">
        <f t="shared" si="45"/>
        <v>0</v>
      </c>
    </row>
    <row r="285" spans="1:28" ht="14.4">
      <c r="A285" s="2" t="s">
        <v>232</v>
      </c>
      <c r="B285" s="2" t="s">
        <v>10</v>
      </c>
      <c r="C285" s="2" t="s">
        <v>15</v>
      </c>
      <c r="D285" s="2" t="s">
        <v>12</v>
      </c>
      <c r="E285" s="2" t="s">
        <v>28</v>
      </c>
      <c r="F285" s="2" t="s">
        <v>186</v>
      </c>
      <c r="G285" s="2" t="s">
        <v>14</v>
      </c>
      <c r="H285" s="2" t="s">
        <v>16</v>
      </c>
      <c r="I285" s="2" t="s">
        <v>17</v>
      </c>
      <c r="J285" t="b">
        <f t="shared" si="37"/>
        <v>1</v>
      </c>
      <c r="K285" s="8" t="s">
        <v>232</v>
      </c>
      <c r="L285" s="9" t="s">
        <v>10</v>
      </c>
      <c r="M285" s="9" t="s">
        <v>15</v>
      </c>
      <c r="N285" s="9" t="s">
        <v>12</v>
      </c>
      <c r="O285" s="9" t="s">
        <v>28</v>
      </c>
      <c r="P285" s="9" t="s">
        <v>186</v>
      </c>
      <c r="Q285" s="9" t="s">
        <v>14</v>
      </c>
      <c r="R285" s="9" t="s">
        <v>16</v>
      </c>
      <c r="S285" s="9" t="s">
        <v>17</v>
      </c>
      <c r="U285" t="b">
        <f t="shared" si="38"/>
        <v>1</v>
      </c>
      <c r="V285" t="b">
        <f t="shared" si="39"/>
        <v>1</v>
      </c>
      <c r="W285" t="b">
        <f t="shared" si="40"/>
        <v>1</v>
      </c>
      <c r="X285" t="b">
        <f t="shared" si="41"/>
        <v>1</v>
      </c>
      <c r="Y285" t="b">
        <f t="shared" si="42"/>
        <v>1</v>
      </c>
      <c r="Z285" t="b">
        <f t="shared" si="43"/>
        <v>1</v>
      </c>
      <c r="AA285" t="b">
        <f t="shared" si="44"/>
        <v>1</v>
      </c>
      <c r="AB285" t="b">
        <f t="shared" si="45"/>
        <v>1</v>
      </c>
    </row>
    <row r="286" spans="1:28" ht="14.4">
      <c r="A286" s="2" t="s">
        <v>231</v>
      </c>
      <c r="B286" s="2" t="s">
        <v>10</v>
      </c>
      <c r="C286" s="2" t="s">
        <v>15</v>
      </c>
      <c r="D286" s="2" t="s">
        <v>11</v>
      </c>
      <c r="E286" s="2" t="s">
        <v>28</v>
      </c>
      <c r="F286" s="2" t="s">
        <v>186</v>
      </c>
      <c r="G286" s="2" t="s">
        <v>14</v>
      </c>
      <c r="H286" s="2" t="s">
        <v>16</v>
      </c>
      <c r="I286" s="2" t="s">
        <v>17</v>
      </c>
      <c r="J286" t="b">
        <f t="shared" si="37"/>
        <v>1</v>
      </c>
      <c r="K286" s="6" t="s">
        <v>231</v>
      </c>
      <c r="L286" s="7" t="s">
        <v>10</v>
      </c>
      <c r="M286" s="7" t="s">
        <v>15</v>
      </c>
      <c r="N286" s="7" t="s">
        <v>11</v>
      </c>
      <c r="O286" s="7" t="s">
        <v>28</v>
      </c>
      <c r="P286" s="7" t="s">
        <v>186</v>
      </c>
      <c r="Q286" s="7" t="s">
        <v>14</v>
      </c>
      <c r="R286" s="7" t="s">
        <v>16</v>
      </c>
      <c r="S286" s="7" t="s">
        <v>17</v>
      </c>
      <c r="U286" t="b">
        <f t="shared" si="38"/>
        <v>1</v>
      </c>
      <c r="V286" t="b">
        <f t="shared" si="39"/>
        <v>1</v>
      </c>
      <c r="W286" t="b">
        <f t="shared" si="40"/>
        <v>1</v>
      </c>
      <c r="X286" t="b">
        <f t="shared" si="41"/>
        <v>1</v>
      </c>
      <c r="Y286" t="b">
        <f t="shared" si="42"/>
        <v>1</v>
      </c>
      <c r="Z286" t="b">
        <f t="shared" si="43"/>
        <v>1</v>
      </c>
      <c r="AA286" t="b">
        <f t="shared" si="44"/>
        <v>1</v>
      </c>
      <c r="AB286" t="b">
        <f t="shared" si="45"/>
        <v>1</v>
      </c>
    </row>
    <row r="287" spans="1:28" ht="14.4" hidden="1">
      <c r="A287" s="2" t="s">
        <v>230</v>
      </c>
      <c r="B287" s="2" t="s">
        <v>10</v>
      </c>
      <c r="C287" s="2" t="s">
        <v>11</v>
      </c>
      <c r="D287" s="2" t="s">
        <v>12</v>
      </c>
      <c r="E287" s="2" t="s">
        <v>28</v>
      </c>
      <c r="F287" s="2" t="s">
        <v>186</v>
      </c>
      <c r="G287" s="2" t="s">
        <v>15</v>
      </c>
      <c r="H287" s="2" t="s">
        <v>16</v>
      </c>
      <c r="I287" s="2" t="s">
        <v>17</v>
      </c>
      <c r="J287" t="b">
        <f t="shared" si="37"/>
        <v>1</v>
      </c>
      <c r="K287" s="8" t="s">
        <v>230</v>
      </c>
      <c r="L287" s="9" t="s">
        <v>14</v>
      </c>
      <c r="M287" s="9" t="s">
        <v>15</v>
      </c>
      <c r="N287" s="9" t="s">
        <v>65</v>
      </c>
      <c r="O287" s="9" t="s">
        <v>28</v>
      </c>
      <c r="P287" s="9" t="s">
        <v>186</v>
      </c>
      <c r="Q287" s="9" t="s">
        <v>13</v>
      </c>
      <c r="R287" s="9" t="s">
        <v>19</v>
      </c>
      <c r="S287" s="9" t="s">
        <v>10</v>
      </c>
      <c r="U287" t="b">
        <f t="shared" si="38"/>
        <v>0</v>
      </c>
      <c r="V287" t="b">
        <f t="shared" si="39"/>
        <v>0</v>
      </c>
      <c r="W287" t="b">
        <f t="shared" si="40"/>
        <v>0</v>
      </c>
      <c r="X287" t="b">
        <f t="shared" si="41"/>
        <v>1</v>
      </c>
      <c r="Y287" t="b">
        <f t="shared" si="42"/>
        <v>1</v>
      </c>
      <c r="Z287" t="b">
        <f t="shared" si="43"/>
        <v>0</v>
      </c>
      <c r="AA287" t="b">
        <f t="shared" si="44"/>
        <v>0</v>
      </c>
      <c r="AB287" t="b">
        <f t="shared" si="45"/>
        <v>0</v>
      </c>
    </row>
    <row r="288" spans="1:28" ht="14.4">
      <c r="A288" s="2" t="s">
        <v>229</v>
      </c>
      <c r="B288" s="2" t="s">
        <v>10</v>
      </c>
      <c r="C288" s="2" t="s">
        <v>11</v>
      </c>
      <c r="D288" s="2" t="s">
        <v>12</v>
      </c>
      <c r="E288" s="2" t="s">
        <v>28</v>
      </c>
      <c r="F288" s="2" t="s">
        <v>186</v>
      </c>
      <c r="G288" s="2" t="s">
        <v>14</v>
      </c>
      <c r="H288" s="2" t="s">
        <v>16</v>
      </c>
      <c r="I288" s="2" t="s">
        <v>17</v>
      </c>
      <c r="J288" t="b">
        <f t="shared" si="37"/>
        <v>1</v>
      </c>
      <c r="K288" s="6" t="s">
        <v>229</v>
      </c>
      <c r="L288" s="7" t="s">
        <v>10</v>
      </c>
      <c r="M288" s="7" t="s">
        <v>11</v>
      </c>
      <c r="N288" s="7" t="s">
        <v>12</v>
      </c>
      <c r="O288" s="7" t="s">
        <v>28</v>
      </c>
      <c r="P288" s="7" t="s">
        <v>186</v>
      </c>
      <c r="Q288" s="7" t="s">
        <v>14</v>
      </c>
      <c r="R288" s="7" t="s">
        <v>16</v>
      </c>
      <c r="S288" s="7" t="s">
        <v>17</v>
      </c>
      <c r="U288" t="b">
        <f t="shared" si="38"/>
        <v>1</v>
      </c>
      <c r="V288" t="b">
        <f t="shared" si="39"/>
        <v>1</v>
      </c>
      <c r="W288" t="b">
        <f t="shared" si="40"/>
        <v>1</v>
      </c>
      <c r="X288" t="b">
        <f t="shared" si="41"/>
        <v>1</v>
      </c>
      <c r="Y288" t="b">
        <f t="shared" si="42"/>
        <v>1</v>
      </c>
      <c r="Z288" t="b">
        <f t="shared" si="43"/>
        <v>1</v>
      </c>
      <c r="AA288" t="b">
        <f t="shared" si="44"/>
        <v>1</v>
      </c>
      <c r="AB288" t="b">
        <f t="shared" si="45"/>
        <v>1</v>
      </c>
    </row>
    <row r="289" spans="1:28" ht="14.4">
      <c r="A289" s="2" t="s">
        <v>228</v>
      </c>
      <c r="B289" s="2" t="s">
        <v>14</v>
      </c>
      <c r="C289" s="2" t="s">
        <v>15</v>
      </c>
      <c r="D289" s="2" t="s">
        <v>11</v>
      </c>
      <c r="E289" s="2" t="s">
        <v>28</v>
      </c>
      <c r="F289" s="2" t="s">
        <v>186</v>
      </c>
      <c r="G289" s="2" t="s">
        <v>13</v>
      </c>
      <c r="H289" s="2" t="s">
        <v>12</v>
      </c>
      <c r="I289" s="2" t="s">
        <v>17</v>
      </c>
      <c r="J289" t="b">
        <f t="shared" si="37"/>
        <v>1</v>
      </c>
      <c r="K289" s="8" t="s">
        <v>228</v>
      </c>
      <c r="L289" s="9" t="s">
        <v>14</v>
      </c>
      <c r="M289" s="9" t="s">
        <v>15</v>
      </c>
      <c r="N289" s="9" t="s">
        <v>11</v>
      </c>
      <c r="O289" s="9" t="s">
        <v>28</v>
      </c>
      <c r="P289" s="9" t="s">
        <v>186</v>
      </c>
      <c r="Q289" s="9" t="s">
        <v>13</v>
      </c>
      <c r="R289" s="9" t="s">
        <v>12</v>
      </c>
      <c r="S289" s="9" t="s">
        <v>17</v>
      </c>
      <c r="U289" t="b">
        <f t="shared" si="38"/>
        <v>1</v>
      </c>
      <c r="V289" t="b">
        <f t="shared" si="39"/>
        <v>1</v>
      </c>
      <c r="W289" t="b">
        <f t="shared" si="40"/>
        <v>1</v>
      </c>
      <c r="X289" t="b">
        <f t="shared" si="41"/>
        <v>1</v>
      </c>
      <c r="Y289" t="b">
        <f t="shared" si="42"/>
        <v>1</v>
      </c>
      <c r="Z289" t="b">
        <f t="shared" si="43"/>
        <v>1</v>
      </c>
      <c r="AA289" t="b">
        <f t="shared" si="44"/>
        <v>1</v>
      </c>
      <c r="AB289" t="b">
        <f t="shared" si="45"/>
        <v>1</v>
      </c>
    </row>
    <row r="290" spans="1:28" ht="14.4">
      <c r="A290" s="2" t="s">
        <v>227</v>
      </c>
      <c r="B290" s="2" t="s">
        <v>14</v>
      </c>
      <c r="C290" s="2" t="s">
        <v>15</v>
      </c>
      <c r="D290" s="2" t="s">
        <v>11</v>
      </c>
      <c r="E290" s="2" t="s">
        <v>28</v>
      </c>
      <c r="F290" s="2" t="s">
        <v>186</v>
      </c>
      <c r="G290" s="2" t="s">
        <v>13</v>
      </c>
      <c r="H290" s="2" t="s">
        <v>16</v>
      </c>
      <c r="I290" s="2" t="s">
        <v>12</v>
      </c>
      <c r="J290" t="b">
        <f t="shared" si="37"/>
        <v>1</v>
      </c>
      <c r="K290" s="6" t="s">
        <v>227</v>
      </c>
      <c r="L290" s="7" t="s">
        <v>14</v>
      </c>
      <c r="M290" s="7" t="s">
        <v>15</v>
      </c>
      <c r="N290" s="7" t="s">
        <v>11</v>
      </c>
      <c r="O290" s="7" t="s">
        <v>28</v>
      </c>
      <c r="P290" s="7" t="s">
        <v>186</v>
      </c>
      <c r="Q290" s="7" t="s">
        <v>13</v>
      </c>
      <c r="R290" s="7" t="s">
        <v>16</v>
      </c>
      <c r="S290" s="7" t="s">
        <v>12</v>
      </c>
      <c r="U290" t="b">
        <f t="shared" si="38"/>
        <v>1</v>
      </c>
      <c r="V290" t="b">
        <f t="shared" si="39"/>
        <v>1</v>
      </c>
      <c r="W290" t="b">
        <f t="shared" si="40"/>
        <v>1</v>
      </c>
      <c r="X290" t="b">
        <f t="shared" si="41"/>
        <v>1</v>
      </c>
      <c r="Y290" t="b">
        <f t="shared" si="42"/>
        <v>1</v>
      </c>
      <c r="Z290" t="b">
        <f t="shared" si="43"/>
        <v>1</v>
      </c>
      <c r="AA290" t="b">
        <f t="shared" si="44"/>
        <v>1</v>
      </c>
      <c r="AB290" t="b">
        <f t="shared" si="45"/>
        <v>1</v>
      </c>
    </row>
    <row r="291" spans="1:28" ht="14.4">
      <c r="A291" s="2" t="s">
        <v>226</v>
      </c>
      <c r="B291" s="2" t="s">
        <v>14</v>
      </c>
      <c r="C291" s="2" t="s">
        <v>15</v>
      </c>
      <c r="D291" s="2" t="s">
        <v>12</v>
      </c>
      <c r="E291" s="2" t="s">
        <v>28</v>
      </c>
      <c r="F291" s="2" t="s">
        <v>186</v>
      </c>
      <c r="G291" s="2" t="s">
        <v>13</v>
      </c>
      <c r="H291" s="2" t="s">
        <v>16</v>
      </c>
      <c r="I291" s="2" t="s">
        <v>17</v>
      </c>
      <c r="J291" t="b">
        <f t="shared" si="37"/>
        <v>1</v>
      </c>
      <c r="K291" s="8" t="s">
        <v>226</v>
      </c>
      <c r="L291" s="9" t="s">
        <v>14</v>
      </c>
      <c r="M291" s="9" t="s">
        <v>15</v>
      </c>
      <c r="N291" s="9" t="s">
        <v>12</v>
      </c>
      <c r="O291" s="9" t="s">
        <v>28</v>
      </c>
      <c r="P291" s="9" t="s">
        <v>186</v>
      </c>
      <c r="Q291" s="9" t="s">
        <v>13</v>
      </c>
      <c r="R291" s="9" t="s">
        <v>16</v>
      </c>
      <c r="S291" s="9" t="s">
        <v>17</v>
      </c>
      <c r="U291" t="b">
        <f t="shared" si="38"/>
        <v>1</v>
      </c>
      <c r="V291" t="b">
        <f t="shared" si="39"/>
        <v>1</v>
      </c>
      <c r="W291" t="b">
        <f t="shared" si="40"/>
        <v>1</v>
      </c>
      <c r="X291" t="b">
        <f t="shared" si="41"/>
        <v>1</v>
      </c>
      <c r="Y291" t="b">
        <f t="shared" si="42"/>
        <v>1</v>
      </c>
      <c r="Z291" t="b">
        <f t="shared" si="43"/>
        <v>1</v>
      </c>
      <c r="AA291" t="b">
        <f t="shared" si="44"/>
        <v>1</v>
      </c>
      <c r="AB291" t="b">
        <f t="shared" si="45"/>
        <v>1</v>
      </c>
    </row>
    <row r="292" spans="1:28" ht="14.4">
      <c r="A292" s="2" t="s">
        <v>225</v>
      </c>
      <c r="B292" s="2" t="s">
        <v>14</v>
      </c>
      <c r="C292" s="2" t="s">
        <v>15</v>
      </c>
      <c r="D292" s="2" t="s">
        <v>11</v>
      </c>
      <c r="E292" s="2" t="s">
        <v>28</v>
      </c>
      <c r="F292" s="2" t="s">
        <v>186</v>
      </c>
      <c r="G292" s="2" t="s">
        <v>13</v>
      </c>
      <c r="H292" s="2" t="s">
        <v>16</v>
      </c>
      <c r="I292" s="2" t="s">
        <v>17</v>
      </c>
      <c r="J292" t="b">
        <f t="shared" si="37"/>
        <v>1</v>
      </c>
      <c r="K292" s="6" t="s">
        <v>225</v>
      </c>
      <c r="L292" s="7" t="s">
        <v>14</v>
      </c>
      <c r="M292" s="7" t="s">
        <v>15</v>
      </c>
      <c r="N292" s="7" t="s">
        <v>11</v>
      </c>
      <c r="O292" s="7" t="s">
        <v>28</v>
      </c>
      <c r="P292" s="7" t="s">
        <v>186</v>
      </c>
      <c r="Q292" s="7" t="s">
        <v>13</v>
      </c>
      <c r="R292" s="7" t="s">
        <v>16</v>
      </c>
      <c r="S292" s="7" t="s">
        <v>17</v>
      </c>
      <c r="U292" t="b">
        <f t="shared" si="38"/>
        <v>1</v>
      </c>
      <c r="V292" t="b">
        <f t="shared" si="39"/>
        <v>1</v>
      </c>
      <c r="W292" t="b">
        <f t="shared" si="40"/>
        <v>1</v>
      </c>
      <c r="X292" t="b">
        <f t="shared" si="41"/>
        <v>1</v>
      </c>
      <c r="Y292" t="b">
        <f t="shared" si="42"/>
        <v>1</v>
      </c>
      <c r="Z292" t="b">
        <f t="shared" si="43"/>
        <v>1</v>
      </c>
      <c r="AA292" t="b">
        <f t="shared" si="44"/>
        <v>1</v>
      </c>
      <c r="AB292" t="b">
        <f t="shared" si="45"/>
        <v>1</v>
      </c>
    </row>
    <row r="293" spans="1:28" ht="14.4">
      <c r="A293" s="2" t="s">
        <v>224</v>
      </c>
      <c r="B293" s="2" t="s">
        <v>12</v>
      </c>
      <c r="C293" s="2" t="s">
        <v>15</v>
      </c>
      <c r="D293" s="2" t="s">
        <v>11</v>
      </c>
      <c r="E293" s="2" t="s">
        <v>28</v>
      </c>
      <c r="F293" s="2" t="s">
        <v>186</v>
      </c>
      <c r="G293" s="2" t="s">
        <v>13</v>
      </c>
      <c r="H293" s="2" t="s">
        <v>16</v>
      </c>
      <c r="I293" s="2" t="s">
        <v>17</v>
      </c>
      <c r="J293" t="b">
        <f t="shared" si="37"/>
        <v>1</v>
      </c>
      <c r="K293" s="8" t="s">
        <v>224</v>
      </c>
      <c r="L293" s="9" t="s">
        <v>12</v>
      </c>
      <c r="M293" s="9" t="s">
        <v>15</v>
      </c>
      <c r="N293" s="9" t="s">
        <v>11</v>
      </c>
      <c r="O293" s="9" t="s">
        <v>28</v>
      </c>
      <c r="P293" s="9" t="s">
        <v>186</v>
      </c>
      <c r="Q293" s="9" t="s">
        <v>13</v>
      </c>
      <c r="R293" s="9" t="s">
        <v>16</v>
      </c>
      <c r="S293" s="9" t="s">
        <v>17</v>
      </c>
      <c r="U293" t="b">
        <f t="shared" si="38"/>
        <v>1</v>
      </c>
      <c r="V293" t="b">
        <f t="shared" si="39"/>
        <v>1</v>
      </c>
      <c r="W293" t="b">
        <f t="shared" si="40"/>
        <v>1</v>
      </c>
      <c r="X293" t="b">
        <f t="shared" si="41"/>
        <v>1</v>
      </c>
      <c r="Y293" t="b">
        <f t="shared" si="42"/>
        <v>1</v>
      </c>
      <c r="Z293" t="b">
        <f t="shared" si="43"/>
        <v>1</v>
      </c>
      <c r="AA293" t="b">
        <f t="shared" si="44"/>
        <v>1</v>
      </c>
      <c r="AB293" t="b">
        <f t="shared" si="45"/>
        <v>1</v>
      </c>
    </row>
    <row r="294" spans="1:28" ht="14.4">
      <c r="A294" s="2" t="s">
        <v>223</v>
      </c>
      <c r="B294" s="2" t="s">
        <v>14</v>
      </c>
      <c r="C294" s="2" t="s">
        <v>11</v>
      </c>
      <c r="D294" s="2" t="s">
        <v>12</v>
      </c>
      <c r="E294" s="2" t="s">
        <v>28</v>
      </c>
      <c r="F294" s="2" t="s">
        <v>186</v>
      </c>
      <c r="G294" s="2" t="s">
        <v>13</v>
      </c>
      <c r="H294" s="2" t="s">
        <v>16</v>
      </c>
      <c r="I294" s="2" t="s">
        <v>17</v>
      </c>
      <c r="J294" t="b">
        <f t="shared" si="37"/>
        <v>1</v>
      </c>
      <c r="K294" s="6" t="s">
        <v>223</v>
      </c>
      <c r="L294" s="7" t="s">
        <v>14</v>
      </c>
      <c r="M294" s="7" t="s">
        <v>11</v>
      </c>
      <c r="N294" s="7" t="s">
        <v>12</v>
      </c>
      <c r="O294" s="7" t="s">
        <v>28</v>
      </c>
      <c r="P294" s="7" t="s">
        <v>186</v>
      </c>
      <c r="Q294" s="7" t="s">
        <v>13</v>
      </c>
      <c r="R294" s="7" t="s">
        <v>16</v>
      </c>
      <c r="S294" s="7" t="s">
        <v>17</v>
      </c>
      <c r="U294" t="b">
        <f t="shared" si="38"/>
        <v>1</v>
      </c>
      <c r="V294" t="b">
        <f t="shared" si="39"/>
        <v>1</v>
      </c>
      <c r="W294" t="b">
        <f t="shared" si="40"/>
        <v>1</v>
      </c>
      <c r="X294" t="b">
        <f t="shared" si="41"/>
        <v>1</v>
      </c>
      <c r="Y294" t="b">
        <f t="shared" si="42"/>
        <v>1</v>
      </c>
      <c r="Z294" t="b">
        <f t="shared" si="43"/>
        <v>1</v>
      </c>
      <c r="AA294" t="b">
        <f t="shared" si="44"/>
        <v>1</v>
      </c>
      <c r="AB294" t="b">
        <f t="shared" si="45"/>
        <v>1</v>
      </c>
    </row>
    <row r="295" spans="1:28" ht="14.4">
      <c r="A295" s="2" t="s">
        <v>222</v>
      </c>
      <c r="B295" s="2" t="s">
        <v>14</v>
      </c>
      <c r="C295" s="2" t="s">
        <v>11</v>
      </c>
      <c r="D295" s="2" t="s">
        <v>12</v>
      </c>
      <c r="E295" s="2" t="s">
        <v>28</v>
      </c>
      <c r="F295" s="2" t="s">
        <v>186</v>
      </c>
      <c r="G295" s="2" t="s">
        <v>15</v>
      </c>
      <c r="H295" s="2" t="s">
        <v>16</v>
      </c>
      <c r="I295" s="2" t="s">
        <v>17</v>
      </c>
      <c r="J295" t="b">
        <f t="shared" si="37"/>
        <v>1</v>
      </c>
      <c r="K295" s="8" t="s">
        <v>222</v>
      </c>
      <c r="L295" s="9" t="s">
        <v>14</v>
      </c>
      <c r="M295" s="9" t="s">
        <v>11</v>
      </c>
      <c r="N295" s="9" t="s">
        <v>12</v>
      </c>
      <c r="O295" s="9" t="s">
        <v>28</v>
      </c>
      <c r="P295" s="9" t="s">
        <v>186</v>
      </c>
      <c r="Q295" s="9" t="s">
        <v>15</v>
      </c>
      <c r="R295" s="9" t="s">
        <v>16</v>
      </c>
      <c r="S295" s="9" t="s">
        <v>17</v>
      </c>
      <c r="U295" t="b">
        <f t="shared" si="38"/>
        <v>1</v>
      </c>
      <c r="V295" t="b">
        <f t="shared" si="39"/>
        <v>1</v>
      </c>
      <c r="W295" t="b">
        <f t="shared" si="40"/>
        <v>1</v>
      </c>
      <c r="X295" t="b">
        <f t="shared" si="41"/>
        <v>1</v>
      </c>
      <c r="Y295" t="b">
        <f t="shared" si="42"/>
        <v>1</v>
      </c>
      <c r="Z295" t="b">
        <f t="shared" si="43"/>
        <v>1</v>
      </c>
      <c r="AA295" t="b">
        <f t="shared" si="44"/>
        <v>1</v>
      </c>
      <c r="AB295" t="b">
        <f t="shared" si="45"/>
        <v>1</v>
      </c>
    </row>
    <row r="296" spans="1:28" ht="14.4">
      <c r="A296" s="2" t="s">
        <v>221</v>
      </c>
      <c r="B296" s="2" t="s">
        <v>14</v>
      </c>
      <c r="C296" s="2" t="s">
        <v>15</v>
      </c>
      <c r="D296" s="2" t="s">
        <v>11</v>
      </c>
      <c r="E296" s="2" t="s">
        <v>19</v>
      </c>
      <c r="F296" s="2" t="s">
        <v>186</v>
      </c>
      <c r="G296" s="2" t="s">
        <v>13</v>
      </c>
      <c r="H296" s="2" t="s">
        <v>10</v>
      </c>
      <c r="I296" s="2" t="s">
        <v>12</v>
      </c>
      <c r="J296" t="b">
        <f t="shared" si="37"/>
        <v>1</v>
      </c>
      <c r="K296" s="6" t="s">
        <v>221</v>
      </c>
      <c r="L296" s="7" t="s">
        <v>14</v>
      </c>
      <c r="M296" s="7" t="s">
        <v>15</v>
      </c>
      <c r="N296" s="7" t="s">
        <v>11</v>
      </c>
      <c r="O296" s="7" t="s">
        <v>19</v>
      </c>
      <c r="P296" s="7" t="s">
        <v>186</v>
      </c>
      <c r="Q296" s="7" t="s">
        <v>13</v>
      </c>
      <c r="R296" s="7" t="s">
        <v>10</v>
      </c>
      <c r="S296" s="7" t="s">
        <v>12</v>
      </c>
      <c r="U296" t="b">
        <f t="shared" si="38"/>
        <v>1</v>
      </c>
      <c r="V296" t="b">
        <f t="shared" si="39"/>
        <v>1</v>
      </c>
      <c r="W296" t="b">
        <f t="shared" si="40"/>
        <v>1</v>
      </c>
      <c r="X296" t="b">
        <f t="shared" si="41"/>
        <v>1</v>
      </c>
      <c r="Y296" t="b">
        <f t="shared" si="42"/>
        <v>1</v>
      </c>
      <c r="Z296" t="b">
        <f t="shared" si="43"/>
        <v>1</v>
      </c>
      <c r="AA296" t="b">
        <f t="shared" si="44"/>
        <v>1</v>
      </c>
      <c r="AB296" t="b">
        <f t="shared" si="45"/>
        <v>1</v>
      </c>
    </row>
    <row r="297" spans="1:28" ht="14.4">
      <c r="A297" s="2" t="s">
        <v>220</v>
      </c>
      <c r="B297" s="2" t="s">
        <v>14</v>
      </c>
      <c r="C297" s="2" t="s">
        <v>15</v>
      </c>
      <c r="D297" s="2" t="s">
        <v>10</v>
      </c>
      <c r="E297" s="2" t="s">
        <v>19</v>
      </c>
      <c r="F297" s="2" t="s">
        <v>186</v>
      </c>
      <c r="G297" s="2" t="s">
        <v>13</v>
      </c>
      <c r="H297" s="2" t="s">
        <v>12</v>
      </c>
      <c r="I297" s="2" t="s">
        <v>17</v>
      </c>
      <c r="J297" t="b">
        <f t="shared" si="37"/>
        <v>1</v>
      </c>
      <c r="K297" s="8" t="s">
        <v>220</v>
      </c>
      <c r="L297" s="9" t="s">
        <v>14</v>
      </c>
      <c r="M297" s="9" t="s">
        <v>15</v>
      </c>
      <c r="N297" s="9" t="s">
        <v>10</v>
      </c>
      <c r="O297" s="9" t="s">
        <v>19</v>
      </c>
      <c r="P297" s="9" t="s">
        <v>186</v>
      </c>
      <c r="Q297" s="9" t="s">
        <v>13</v>
      </c>
      <c r="R297" s="9" t="s">
        <v>12</v>
      </c>
      <c r="S297" s="9" t="s">
        <v>17</v>
      </c>
      <c r="U297" t="b">
        <f t="shared" si="38"/>
        <v>1</v>
      </c>
      <c r="V297" t="b">
        <f t="shared" si="39"/>
        <v>1</v>
      </c>
      <c r="W297" t="b">
        <f t="shared" si="40"/>
        <v>1</v>
      </c>
      <c r="X297" t="b">
        <f t="shared" si="41"/>
        <v>1</v>
      </c>
      <c r="Y297" t="b">
        <f t="shared" si="42"/>
        <v>1</v>
      </c>
      <c r="Z297" t="b">
        <f t="shared" si="43"/>
        <v>1</v>
      </c>
      <c r="AA297" t="b">
        <f t="shared" si="44"/>
        <v>1</v>
      </c>
      <c r="AB297" t="b">
        <f t="shared" si="45"/>
        <v>1</v>
      </c>
    </row>
    <row r="298" spans="1:28" ht="14.4">
      <c r="A298" s="2" t="s">
        <v>219</v>
      </c>
      <c r="B298" s="2" t="s">
        <v>14</v>
      </c>
      <c r="C298" s="2" t="s">
        <v>15</v>
      </c>
      <c r="D298" s="2" t="s">
        <v>10</v>
      </c>
      <c r="E298" s="2" t="s">
        <v>19</v>
      </c>
      <c r="F298" s="2" t="s">
        <v>186</v>
      </c>
      <c r="G298" s="2" t="s">
        <v>13</v>
      </c>
      <c r="H298" s="2" t="s">
        <v>16</v>
      </c>
      <c r="I298" s="2" t="s">
        <v>12</v>
      </c>
      <c r="J298" t="b">
        <f t="shared" si="37"/>
        <v>1</v>
      </c>
      <c r="K298" s="6" t="s">
        <v>219</v>
      </c>
      <c r="L298" s="7" t="s">
        <v>14</v>
      </c>
      <c r="M298" s="7" t="s">
        <v>15</v>
      </c>
      <c r="N298" s="7" t="s">
        <v>10</v>
      </c>
      <c r="O298" s="7" t="s">
        <v>19</v>
      </c>
      <c r="P298" s="7" t="s">
        <v>186</v>
      </c>
      <c r="Q298" s="7" t="s">
        <v>13</v>
      </c>
      <c r="R298" s="7" t="s">
        <v>16</v>
      </c>
      <c r="S298" s="7" t="s">
        <v>12</v>
      </c>
      <c r="U298" t="b">
        <f t="shared" si="38"/>
        <v>1</v>
      </c>
      <c r="V298" t="b">
        <f t="shared" si="39"/>
        <v>1</v>
      </c>
      <c r="W298" t="b">
        <f t="shared" si="40"/>
        <v>1</v>
      </c>
      <c r="X298" t="b">
        <f t="shared" si="41"/>
        <v>1</v>
      </c>
      <c r="Y298" t="b">
        <f t="shared" si="42"/>
        <v>1</v>
      </c>
      <c r="Z298" t="b">
        <f t="shared" si="43"/>
        <v>1</v>
      </c>
      <c r="AA298" t="b">
        <f t="shared" si="44"/>
        <v>1</v>
      </c>
      <c r="AB298" t="b">
        <f t="shared" si="45"/>
        <v>1</v>
      </c>
    </row>
    <row r="299" spans="1:28" ht="14.4">
      <c r="A299" s="2" t="s">
        <v>218</v>
      </c>
      <c r="B299" s="2" t="s">
        <v>14</v>
      </c>
      <c r="C299" s="2" t="s">
        <v>15</v>
      </c>
      <c r="D299" s="2" t="s">
        <v>11</v>
      </c>
      <c r="E299" s="2" t="s">
        <v>19</v>
      </c>
      <c r="F299" s="2" t="s">
        <v>186</v>
      </c>
      <c r="G299" s="2" t="s">
        <v>13</v>
      </c>
      <c r="H299" s="2" t="s">
        <v>10</v>
      </c>
      <c r="I299" s="2" t="s">
        <v>17</v>
      </c>
      <c r="J299" t="b">
        <f t="shared" si="37"/>
        <v>1</v>
      </c>
      <c r="K299" s="8" t="s">
        <v>218</v>
      </c>
      <c r="L299" s="9" t="s">
        <v>14</v>
      </c>
      <c r="M299" s="9" t="s">
        <v>15</v>
      </c>
      <c r="N299" s="9" t="s">
        <v>11</v>
      </c>
      <c r="O299" s="9" t="s">
        <v>19</v>
      </c>
      <c r="P299" s="9" t="s">
        <v>186</v>
      </c>
      <c r="Q299" s="9" t="s">
        <v>13</v>
      </c>
      <c r="R299" s="9" t="s">
        <v>10</v>
      </c>
      <c r="S299" s="9" t="s">
        <v>17</v>
      </c>
      <c r="U299" t="b">
        <f t="shared" si="38"/>
        <v>1</v>
      </c>
      <c r="V299" t="b">
        <f t="shared" si="39"/>
        <v>1</v>
      </c>
      <c r="W299" t="b">
        <f t="shared" si="40"/>
        <v>1</v>
      </c>
      <c r="X299" t="b">
        <f t="shared" si="41"/>
        <v>1</v>
      </c>
      <c r="Y299" t="b">
        <f t="shared" si="42"/>
        <v>1</v>
      </c>
      <c r="Z299" t="b">
        <f t="shared" si="43"/>
        <v>1</v>
      </c>
      <c r="AA299" t="b">
        <f t="shared" si="44"/>
        <v>1</v>
      </c>
      <c r="AB299" t="b">
        <f t="shared" si="45"/>
        <v>1</v>
      </c>
    </row>
    <row r="300" spans="1:28" ht="14.4">
      <c r="A300" s="2" t="s">
        <v>217</v>
      </c>
      <c r="B300" s="2" t="s">
        <v>14</v>
      </c>
      <c r="C300" s="2" t="s">
        <v>15</v>
      </c>
      <c r="D300" s="2" t="s">
        <v>11</v>
      </c>
      <c r="E300" s="2" t="s">
        <v>19</v>
      </c>
      <c r="F300" s="2" t="s">
        <v>186</v>
      </c>
      <c r="G300" s="2" t="s">
        <v>13</v>
      </c>
      <c r="H300" s="2" t="s">
        <v>16</v>
      </c>
      <c r="I300" s="2" t="s">
        <v>10</v>
      </c>
      <c r="J300" t="b">
        <f t="shared" si="37"/>
        <v>1</v>
      </c>
      <c r="K300" s="6" t="s">
        <v>217</v>
      </c>
      <c r="L300" s="7" t="s">
        <v>14</v>
      </c>
      <c r="M300" s="7" t="s">
        <v>15</v>
      </c>
      <c r="N300" s="7" t="s">
        <v>11</v>
      </c>
      <c r="O300" s="7" t="s">
        <v>19</v>
      </c>
      <c r="P300" s="7" t="s">
        <v>186</v>
      </c>
      <c r="Q300" s="7" t="s">
        <v>13</v>
      </c>
      <c r="R300" s="7" t="s">
        <v>16</v>
      </c>
      <c r="S300" s="7" t="s">
        <v>10</v>
      </c>
      <c r="U300" t="b">
        <f t="shared" si="38"/>
        <v>1</v>
      </c>
      <c r="V300" t="b">
        <f t="shared" si="39"/>
        <v>1</v>
      </c>
      <c r="W300" t="b">
        <f t="shared" si="40"/>
        <v>1</v>
      </c>
      <c r="X300" t="b">
        <f t="shared" si="41"/>
        <v>1</v>
      </c>
      <c r="Y300" t="b">
        <f t="shared" si="42"/>
        <v>1</v>
      </c>
      <c r="Z300" t="b">
        <f t="shared" si="43"/>
        <v>1</v>
      </c>
      <c r="AA300" t="b">
        <f t="shared" si="44"/>
        <v>1</v>
      </c>
      <c r="AB300" t="b">
        <f t="shared" si="45"/>
        <v>1</v>
      </c>
    </row>
    <row r="301" spans="1:28" ht="14.4">
      <c r="A301" s="2" t="s">
        <v>216</v>
      </c>
      <c r="B301" s="2" t="s">
        <v>14</v>
      </c>
      <c r="C301" s="2" t="s">
        <v>15</v>
      </c>
      <c r="D301" s="2" t="s">
        <v>10</v>
      </c>
      <c r="E301" s="2" t="s">
        <v>19</v>
      </c>
      <c r="F301" s="2" t="s">
        <v>186</v>
      </c>
      <c r="G301" s="2" t="s">
        <v>13</v>
      </c>
      <c r="H301" s="2" t="s">
        <v>16</v>
      </c>
      <c r="I301" s="2" t="s">
        <v>17</v>
      </c>
      <c r="J301" t="b">
        <f t="shared" si="37"/>
        <v>1</v>
      </c>
      <c r="K301" s="8" t="s">
        <v>216</v>
      </c>
      <c r="L301" s="9" t="s">
        <v>14</v>
      </c>
      <c r="M301" s="9" t="s">
        <v>15</v>
      </c>
      <c r="N301" s="9" t="s">
        <v>10</v>
      </c>
      <c r="O301" s="9" t="s">
        <v>19</v>
      </c>
      <c r="P301" s="9" t="s">
        <v>186</v>
      </c>
      <c r="Q301" s="9" t="s">
        <v>13</v>
      </c>
      <c r="R301" s="9" t="s">
        <v>16</v>
      </c>
      <c r="S301" s="9" t="s">
        <v>17</v>
      </c>
      <c r="U301" t="b">
        <f t="shared" si="38"/>
        <v>1</v>
      </c>
      <c r="V301" t="b">
        <f t="shared" si="39"/>
        <v>1</v>
      </c>
      <c r="W301" t="b">
        <f t="shared" si="40"/>
        <v>1</v>
      </c>
      <c r="X301" t="b">
        <f t="shared" si="41"/>
        <v>1</v>
      </c>
      <c r="Y301" t="b">
        <f t="shared" si="42"/>
        <v>1</v>
      </c>
      <c r="Z301" t="b">
        <f t="shared" si="43"/>
        <v>1</v>
      </c>
      <c r="AA301" t="b">
        <f t="shared" si="44"/>
        <v>1</v>
      </c>
      <c r="AB301" t="b">
        <f t="shared" si="45"/>
        <v>1</v>
      </c>
    </row>
    <row r="302" spans="1:28" ht="14.4">
      <c r="A302" s="2" t="s">
        <v>215</v>
      </c>
      <c r="B302" s="2" t="s">
        <v>10</v>
      </c>
      <c r="C302" s="2" t="s">
        <v>15</v>
      </c>
      <c r="D302" s="2" t="s">
        <v>11</v>
      </c>
      <c r="E302" s="2" t="s">
        <v>19</v>
      </c>
      <c r="F302" s="2" t="s">
        <v>186</v>
      </c>
      <c r="G302" s="2" t="s">
        <v>13</v>
      </c>
      <c r="H302" s="2" t="s">
        <v>12</v>
      </c>
      <c r="I302" s="2" t="s">
        <v>17</v>
      </c>
      <c r="J302" t="b">
        <f t="shared" si="37"/>
        <v>1</v>
      </c>
      <c r="K302" s="6" t="s">
        <v>215</v>
      </c>
      <c r="L302" s="7" t="s">
        <v>10</v>
      </c>
      <c r="M302" s="7" t="s">
        <v>15</v>
      </c>
      <c r="N302" s="7" t="s">
        <v>11</v>
      </c>
      <c r="O302" s="7" t="s">
        <v>19</v>
      </c>
      <c r="P302" s="7" t="s">
        <v>186</v>
      </c>
      <c r="Q302" s="7" t="s">
        <v>13</v>
      </c>
      <c r="R302" s="7" t="s">
        <v>12</v>
      </c>
      <c r="S302" s="7" t="s">
        <v>17</v>
      </c>
      <c r="U302" t="b">
        <f t="shared" si="38"/>
        <v>1</v>
      </c>
      <c r="V302" t="b">
        <f t="shared" si="39"/>
        <v>1</v>
      </c>
      <c r="W302" t="b">
        <f t="shared" si="40"/>
        <v>1</v>
      </c>
      <c r="X302" t="b">
        <f t="shared" si="41"/>
        <v>1</v>
      </c>
      <c r="Y302" t="b">
        <f t="shared" si="42"/>
        <v>1</v>
      </c>
      <c r="Z302" t="b">
        <f t="shared" si="43"/>
        <v>1</v>
      </c>
      <c r="AA302" t="b">
        <f t="shared" si="44"/>
        <v>1</v>
      </c>
      <c r="AB302" t="b">
        <f t="shared" si="45"/>
        <v>1</v>
      </c>
    </row>
    <row r="303" spans="1:28" ht="14.4">
      <c r="A303" s="2" t="s">
        <v>214</v>
      </c>
      <c r="B303" s="2" t="s">
        <v>10</v>
      </c>
      <c r="C303" s="2" t="s">
        <v>15</v>
      </c>
      <c r="D303" s="2" t="s">
        <v>11</v>
      </c>
      <c r="E303" s="2" t="s">
        <v>19</v>
      </c>
      <c r="F303" s="2" t="s">
        <v>186</v>
      </c>
      <c r="G303" s="2" t="s">
        <v>13</v>
      </c>
      <c r="H303" s="2" t="s">
        <v>16</v>
      </c>
      <c r="I303" s="2" t="s">
        <v>12</v>
      </c>
      <c r="J303" t="b">
        <f t="shared" si="37"/>
        <v>1</v>
      </c>
      <c r="K303" s="8" t="s">
        <v>214</v>
      </c>
      <c r="L303" s="9" t="s">
        <v>10</v>
      </c>
      <c r="M303" s="9" t="s">
        <v>15</v>
      </c>
      <c r="N303" s="9" t="s">
        <v>11</v>
      </c>
      <c r="O303" s="9" t="s">
        <v>19</v>
      </c>
      <c r="P303" s="9" t="s">
        <v>186</v>
      </c>
      <c r="Q303" s="9" t="s">
        <v>13</v>
      </c>
      <c r="R303" s="9" t="s">
        <v>16</v>
      </c>
      <c r="S303" s="9" t="s">
        <v>12</v>
      </c>
      <c r="U303" t="b">
        <f t="shared" si="38"/>
        <v>1</v>
      </c>
      <c r="V303" t="b">
        <f t="shared" si="39"/>
        <v>1</v>
      </c>
      <c r="W303" t="b">
        <f t="shared" si="40"/>
        <v>1</v>
      </c>
      <c r="X303" t="b">
        <f t="shared" si="41"/>
        <v>1</v>
      </c>
      <c r="Y303" t="b">
        <f t="shared" si="42"/>
        <v>1</v>
      </c>
      <c r="Z303" t="b">
        <f t="shared" si="43"/>
        <v>1</v>
      </c>
      <c r="AA303" t="b">
        <f t="shared" si="44"/>
        <v>1</v>
      </c>
      <c r="AB303" t="b">
        <f t="shared" si="45"/>
        <v>1</v>
      </c>
    </row>
    <row r="304" spans="1:28" ht="14.4">
      <c r="A304" s="2" t="s">
        <v>213</v>
      </c>
      <c r="B304" s="2" t="s">
        <v>10</v>
      </c>
      <c r="C304" s="2" t="s">
        <v>15</v>
      </c>
      <c r="D304" s="2" t="s">
        <v>12</v>
      </c>
      <c r="E304" s="2" t="s">
        <v>19</v>
      </c>
      <c r="F304" s="2" t="s">
        <v>186</v>
      </c>
      <c r="G304" s="2" t="s">
        <v>13</v>
      </c>
      <c r="H304" s="2" t="s">
        <v>16</v>
      </c>
      <c r="I304" s="2" t="s">
        <v>17</v>
      </c>
      <c r="J304" t="b">
        <f t="shared" si="37"/>
        <v>1</v>
      </c>
      <c r="K304" s="6" t="s">
        <v>213</v>
      </c>
      <c r="L304" s="7" t="s">
        <v>10</v>
      </c>
      <c r="M304" s="7" t="s">
        <v>15</v>
      </c>
      <c r="N304" s="7" t="s">
        <v>12</v>
      </c>
      <c r="O304" s="7" t="s">
        <v>19</v>
      </c>
      <c r="P304" s="7" t="s">
        <v>186</v>
      </c>
      <c r="Q304" s="7" t="s">
        <v>13</v>
      </c>
      <c r="R304" s="7" t="s">
        <v>16</v>
      </c>
      <c r="S304" s="7" t="s">
        <v>17</v>
      </c>
      <c r="U304" t="b">
        <f t="shared" si="38"/>
        <v>1</v>
      </c>
      <c r="V304" t="b">
        <f t="shared" si="39"/>
        <v>1</v>
      </c>
      <c r="W304" t="b">
        <f t="shared" si="40"/>
        <v>1</v>
      </c>
      <c r="X304" t="b">
        <f t="shared" si="41"/>
        <v>1</v>
      </c>
      <c r="Y304" t="b">
        <f t="shared" si="42"/>
        <v>1</v>
      </c>
      <c r="Z304" t="b">
        <f t="shared" si="43"/>
        <v>1</v>
      </c>
      <c r="AA304" t="b">
        <f t="shared" si="44"/>
        <v>1</v>
      </c>
      <c r="AB304" t="b">
        <f t="shared" si="45"/>
        <v>1</v>
      </c>
    </row>
    <row r="305" spans="1:28" ht="14.4">
      <c r="A305" s="2" t="s">
        <v>212</v>
      </c>
      <c r="B305" s="2" t="s">
        <v>10</v>
      </c>
      <c r="C305" s="2" t="s">
        <v>15</v>
      </c>
      <c r="D305" s="2" t="s">
        <v>11</v>
      </c>
      <c r="E305" s="2" t="s">
        <v>19</v>
      </c>
      <c r="F305" s="2" t="s">
        <v>186</v>
      </c>
      <c r="G305" s="2" t="s">
        <v>13</v>
      </c>
      <c r="H305" s="2" t="s">
        <v>16</v>
      </c>
      <c r="I305" s="2" t="s">
        <v>17</v>
      </c>
      <c r="J305" t="b">
        <f t="shared" si="37"/>
        <v>1</v>
      </c>
      <c r="K305" s="8" t="s">
        <v>212</v>
      </c>
      <c r="L305" s="9" t="s">
        <v>10</v>
      </c>
      <c r="M305" s="9" t="s">
        <v>15</v>
      </c>
      <c r="N305" s="9" t="s">
        <v>11</v>
      </c>
      <c r="O305" s="9" t="s">
        <v>19</v>
      </c>
      <c r="P305" s="9" t="s">
        <v>186</v>
      </c>
      <c r="Q305" s="9" t="s">
        <v>13</v>
      </c>
      <c r="R305" s="9" t="s">
        <v>16</v>
      </c>
      <c r="S305" s="9" t="s">
        <v>17</v>
      </c>
      <c r="U305" t="b">
        <f t="shared" si="38"/>
        <v>1</v>
      </c>
      <c r="V305" t="b">
        <f t="shared" si="39"/>
        <v>1</v>
      </c>
      <c r="W305" t="b">
        <f t="shared" si="40"/>
        <v>1</v>
      </c>
      <c r="X305" t="b">
        <f t="shared" si="41"/>
        <v>1</v>
      </c>
      <c r="Y305" t="b">
        <f t="shared" si="42"/>
        <v>1</v>
      </c>
      <c r="Z305" t="b">
        <f t="shared" si="43"/>
        <v>1</v>
      </c>
      <c r="AA305" t="b">
        <f t="shared" si="44"/>
        <v>1</v>
      </c>
      <c r="AB305" t="b">
        <f t="shared" si="45"/>
        <v>1</v>
      </c>
    </row>
    <row r="306" spans="1:28" ht="14.4">
      <c r="A306" s="2" t="s">
        <v>211</v>
      </c>
      <c r="B306" s="2" t="s">
        <v>14</v>
      </c>
      <c r="C306" s="2" t="s">
        <v>11</v>
      </c>
      <c r="D306" s="2" t="s">
        <v>10</v>
      </c>
      <c r="E306" s="2" t="s">
        <v>19</v>
      </c>
      <c r="F306" s="2" t="s">
        <v>186</v>
      </c>
      <c r="G306" s="2" t="s">
        <v>13</v>
      </c>
      <c r="H306" s="2" t="s">
        <v>12</v>
      </c>
      <c r="I306" s="2" t="s">
        <v>17</v>
      </c>
      <c r="J306" t="b">
        <f t="shared" si="37"/>
        <v>1</v>
      </c>
      <c r="K306" s="6" t="s">
        <v>211</v>
      </c>
      <c r="L306" s="7" t="s">
        <v>14</v>
      </c>
      <c r="M306" s="7" t="s">
        <v>11</v>
      </c>
      <c r="N306" s="7" t="s">
        <v>10</v>
      </c>
      <c r="O306" s="7" t="s">
        <v>19</v>
      </c>
      <c r="P306" s="7" t="s">
        <v>186</v>
      </c>
      <c r="Q306" s="7" t="s">
        <v>13</v>
      </c>
      <c r="R306" s="7" t="s">
        <v>12</v>
      </c>
      <c r="S306" s="7" t="s">
        <v>17</v>
      </c>
      <c r="U306" t="b">
        <f t="shared" si="38"/>
        <v>1</v>
      </c>
      <c r="V306" t="b">
        <f t="shared" si="39"/>
        <v>1</v>
      </c>
      <c r="W306" t="b">
        <f t="shared" si="40"/>
        <v>1</v>
      </c>
      <c r="X306" t="b">
        <f t="shared" si="41"/>
        <v>1</v>
      </c>
      <c r="Y306" t="b">
        <f t="shared" si="42"/>
        <v>1</v>
      </c>
      <c r="Z306" t="b">
        <f t="shared" si="43"/>
        <v>1</v>
      </c>
      <c r="AA306" t="b">
        <f t="shared" si="44"/>
        <v>1</v>
      </c>
      <c r="AB306" t="b">
        <f t="shared" si="45"/>
        <v>1</v>
      </c>
    </row>
    <row r="307" spans="1:28" ht="14.4">
      <c r="A307" s="2" t="s">
        <v>210</v>
      </c>
      <c r="B307" s="2" t="s">
        <v>14</v>
      </c>
      <c r="C307" s="2" t="s">
        <v>11</v>
      </c>
      <c r="D307" s="2" t="s">
        <v>10</v>
      </c>
      <c r="E307" s="2" t="s">
        <v>19</v>
      </c>
      <c r="F307" s="2" t="s">
        <v>186</v>
      </c>
      <c r="G307" s="2" t="s">
        <v>13</v>
      </c>
      <c r="H307" s="2" t="s">
        <v>16</v>
      </c>
      <c r="I307" s="2" t="s">
        <v>12</v>
      </c>
      <c r="J307" t="b">
        <f t="shared" si="37"/>
        <v>1</v>
      </c>
      <c r="K307" s="8" t="s">
        <v>210</v>
      </c>
      <c r="L307" s="9" t="s">
        <v>14</v>
      </c>
      <c r="M307" s="9" t="s">
        <v>11</v>
      </c>
      <c r="N307" s="9" t="s">
        <v>10</v>
      </c>
      <c r="O307" s="9" t="s">
        <v>19</v>
      </c>
      <c r="P307" s="9" t="s">
        <v>186</v>
      </c>
      <c r="Q307" s="9" t="s">
        <v>13</v>
      </c>
      <c r="R307" s="9" t="s">
        <v>16</v>
      </c>
      <c r="S307" s="9" t="s">
        <v>12</v>
      </c>
      <c r="U307" t="b">
        <f t="shared" si="38"/>
        <v>1</v>
      </c>
      <c r="V307" t="b">
        <f t="shared" si="39"/>
        <v>1</v>
      </c>
      <c r="W307" t="b">
        <f t="shared" si="40"/>
        <v>1</v>
      </c>
      <c r="X307" t="b">
        <f t="shared" si="41"/>
        <v>1</v>
      </c>
      <c r="Y307" t="b">
        <f t="shared" si="42"/>
        <v>1</v>
      </c>
      <c r="Z307" t="b">
        <f t="shared" si="43"/>
        <v>1</v>
      </c>
      <c r="AA307" t="b">
        <f t="shared" si="44"/>
        <v>1</v>
      </c>
      <c r="AB307" t="b">
        <f t="shared" si="45"/>
        <v>1</v>
      </c>
    </row>
    <row r="308" spans="1:28" ht="14.4">
      <c r="A308" s="2" t="s">
        <v>209</v>
      </c>
      <c r="B308" s="2" t="s">
        <v>14</v>
      </c>
      <c r="C308" s="2" t="s">
        <v>10</v>
      </c>
      <c r="D308" s="2" t="s">
        <v>12</v>
      </c>
      <c r="E308" s="2" t="s">
        <v>19</v>
      </c>
      <c r="F308" s="2" t="s">
        <v>186</v>
      </c>
      <c r="G308" s="2" t="s">
        <v>13</v>
      </c>
      <c r="H308" s="2" t="s">
        <v>16</v>
      </c>
      <c r="I308" s="2" t="s">
        <v>17</v>
      </c>
      <c r="J308" t="b">
        <f t="shared" si="37"/>
        <v>1</v>
      </c>
      <c r="K308" s="6" t="s">
        <v>209</v>
      </c>
      <c r="L308" s="7" t="s">
        <v>14</v>
      </c>
      <c r="M308" s="7" t="s">
        <v>10</v>
      </c>
      <c r="N308" s="7" t="s">
        <v>12</v>
      </c>
      <c r="O308" s="7" t="s">
        <v>19</v>
      </c>
      <c r="P308" s="7" t="s">
        <v>186</v>
      </c>
      <c r="Q308" s="7" t="s">
        <v>13</v>
      </c>
      <c r="R308" s="7" t="s">
        <v>16</v>
      </c>
      <c r="S308" s="7" t="s">
        <v>17</v>
      </c>
      <c r="U308" t="b">
        <f t="shared" si="38"/>
        <v>1</v>
      </c>
      <c r="V308" t="b">
        <f t="shared" si="39"/>
        <v>1</v>
      </c>
      <c r="W308" t="b">
        <f t="shared" si="40"/>
        <v>1</v>
      </c>
      <c r="X308" t="b">
        <f t="shared" si="41"/>
        <v>1</v>
      </c>
      <c r="Y308" t="b">
        <f t="shared" si="42"/>
        <v>1</v>
      </c>
      <c r="Z308" t="b">
        <f t="shared" si="43"/>
        <v>1</v>
      </c>
      <c r="AA308" t="b">
        <f t="shared" si="44"/>
        <v>1</v>
      </c>
      <c r="AB308" t="b">
        <f t="shared" si="45"/>
        <v>1</v>
      </c>
    </row>
    <row r="309" spans="1:28" ht="14.4">
      <c r="A309" s="2" t="s">
        <v>208</v>
      </c>
      <c r="B309" s="2" t="s">
        <v>14</v>
      </c>
      <c r="C309" s="2" t="s">
        <v>11</v>
      </c>
      <c r="D309" s="2" t="s">
        <v>10</v>
      </c>
      <c r="E309" s="2" t="s">
        <v>19</v>
      </c>
      <c r="F309" s="2" t="s">
        <v>186</v>
      </c>
      <c r="G309" s="2" t="s">
        <v>13</v>
      </c>
      <c r="H309" s="2" t="s">
        <v>16</v>
      </c>
      <c r="I309" s="2" t="s">
        <v>17</v>
      </c>
      <c r="J309" t="b">
        <f t="shared" si="37"/>
        <v>1</v>
      </c>
      <c r="K309" s="8" t="s">
        <v>208</v>
      </c>
      <c r="L309" s="9" t="s">
        <v>14</v>
      </c>
      <c r="M309" s="9" t="s">
        <v>11</v>
      </c>
      <c r="N309" s="9" t="s">
        <v>10</v>
      </c>
      <c r="O309" s="9" t="s">
        <v>19</v>
      </c>
      <c r="P309" s="9" t="s">
        <v>186</v>
      </c>
      <c r="Q309" s="9" t="s">
        <v>13</v>
      </c>
      <c r="R309" s="9" t="s">
        <v>16</v>
      </c>
      <c r="S309" s="9" t="s">
        <v>17</v>
      </c>
      <c r="U309" t="b">
        <f t="shared" si="38"/>
        <v>1</v>
      </c>
      <c r="V309" t="b">
        <f t="shared" si="39"/>
        <v>1</v>
      </c>
      <c r="W309" t="b">
        <f t="shared" si="40"/>
        <v>1</v>
      </c>
      <c r="X309" t="b">
        <f t="shared" si="41"/>
        <v>1</v>
      </c>
      <c r="Y309" t="b">
        <f t="shared" si="42"/>
        <v>1</v>
      </c>
      <c r="Z309" t="b">
        <f t="shared" si="43"/>
        <v>1</v>
      </c>
      <c r="AA309" t="b">
        <f t="shared" si="44"/>
        <v>1</v>
      </c>
      <c r="AB309" t="b">
        <f t="shared" si="45"/>
        <v>1</v>
      </c>
    </row>
    <row r="310" spans="1:28" ht="14.4">
      <c r="A310" s="2" t="s">
        <v>207</v>
      </c>
      <c r="B310" s="2" t="s">
        <v>10</v>
      </c>
      <c r="C310" s="2" t="s">
        <v>11</v>
      </c>
      <c r="D310" s="2" t="s">
        <v>12</v>
      </c>
      <c r="E310" s="2" t="s">
        <v>19</v>
      </c>
      <c r="F310" s="2" t="s">
        <v>186</v>
      </c>
      <c r="G310" s="2" t="s">
        <v>13</v>
      </c>
      <c r="H310" s="2" t="s">
        <v>16</v>
      </c>
      <c r="I310" s="2" t="s">
        <v>17</v>
      </c>
      <c r="J310" t="b">
        <f t="shared" si="37"/>
        <v>1</v>
      </c>
      <c r="K310" s="6" t="s">
        <v>207</v>
      </c>
      <c r="L310" s="7" t="s">
        <v>10</v>
      </c>
      <c r="M310" s="7" t="s">
        <v>11</v>
      </c>
      <c r="N310" s="7" t="s">
        <v>12</v>
      </c>
      <c r="O310" s="7" t="s">
        <v>19</v>
      </c>
      <c r="P310" s="7" t="s">
        <v>186</v>
      </c>
      <c r="Q310" s="7" t="s">
        <v>13</v>
      </c>
      <c r="R310" s="7" t="s">
        <v>16</v>
      </c>
      <c r="S310" s="7" t="s">
        <v>17</v>
      </c>
      <c r="U310" t="b">
        <f t="shared" si="38"/>
        <v>1</v>
      </c>
      <c r="V310" t="b">
        <f t="shared" si="39"/>
        <v>1</v>
      </c>
      <c r="W310" t="b">
        <f t="shared" si="40"/>
        <v>1</v>
      </c>
      <c r="X310" t="b">
        <f t="shared" si="41"/>
        <v>1</v>
      </c>
      <c r="Y310" t="b">
        <f t="shared" si="42"/>
        <v>1</v>
      </c>
      <c r="Z310" t="b">
        <f t="shared" si="43"/>
        <v>1</v>
      </c>
      <c r="AA310" t="b">
        <f t="shared" si="44"/>
        <v>1</v>
      </c>
      <c r="AB310" t="b">
        <f t="shared" si="45"/>
        <v>1</v>
      </c>
    </row>
    <row r="311" spans="1:28" ht="14.4">
      <c r="A311" s="2" t="s">
        <v>206</v>
      </c>
      <c r="B311" s="2" t="s">
        <v>10</v>
      </c>
      <c r="C311" s="2" t="s">
        <v>15</v>
      </c>
      <c r="D311" s="2" t="s">
        <v>11</v>
      </c>
      <c r="E311" s="2" t="s">
        <v>19</v>
      </c>
      <c r="F311" s="2" t="s">
        <v>186</v>
      </c>
      <c r="G311" s="2" t="s">
        <v>14</v>
      </c>
      <c r="H311" s="2" t="s">
        <v>12</v>
      </c>
      <c r="I311" s="2" t="s">
        <v>17</v>
      </c>
      <c r="J311" t="b">
        <f t="shared" si="37"/>
        <v>1</v>
      </c>
      <c r="K311" s="8" t="s">
        <v>206</v>
      </c>
      <c r="L311" s="9" t="s">
        <v>10</v>
      </c>
      <c r="M311" s="9" t="s">
        <v>15</v>
      </c>
      <c r="N311" s="9" t="s">
        <v>11</v>
      </c>
      <c r="O311" s="9" t="s">
        <v>19</v>
      </c>
      <c r="P311" s="9" t="s">
        <v>186</v>
      </c>
      <c r="Q311" s="9" t="s">
        <v>14</v>
      </c>
      <c r="R311" s="9" t="s">
        <v>12</v>
      </c>
      <c r="S311" s="9" t="s">
        <v>17</v>
      </c>
      <c r="U311" t="b">
        <f t="shared" si="38"/>
        <v>1</v>
      </c>
      <c r="V311" t="b">
        <f t="shared" si="39"/>
        <v>1</v>
      </c>
      <c r="W311" t="b">
        <f t="shared" si="40"/>
        <v>1</v>
      </c>
      <c r="X311" t="b">
        <f t="shared" si="41"/>
        <v>1</v>
      </c>
      <c r="Y311" t="b">
        <f t="shared" si="42"/>
        <v>1</v>
      </c>
      <c r="Z311" t="b">
        <f t="shared" si="43"/>
        <v>1</v>
      </c>
      <c r="AA311" t="b">
        <f t="shared" si="44"/>
        <v>1</v>
      </c>
      <c r="AB311" t="b">
        <f t="shared" si="45"/>
        <v>1</v>
      </c>
    </row>
    <row r="312" spans="1:28" ht="14.4" hidden="1">
      <c r="A312" s="2" t="s">
        <v>205</v>
      </c>
      <c r="B312" s="2" t="s">
        <v>10</v>
      </c>
      <c r="C312" s="2" t="s">
        <v>15</v>
      </c>
      <c r="D312" s="2" t="s">
        <v>11</v>
      </c>
      <c r="E312" s="2" t="s">
        <v>19</v>
      </c>
      <c r="F312" s="2" t="s">
        <v>186</v>
      </c>
      <c r="G312" s="2" t="s">
        <v>14</v>
      </c>
      <c r="H312" s="2" t="s">
        <v>16</v>
      </c>
      <c r="I312" s="2" t="s">
        <v>12</v>
      </c>
      <c r="J312" t="b">
        <f t="shared" si="37"/>
        <v>1</v>
      </c>
      <c r="K312" s="6" t="s">
        <v>205</v>
      </c>
      <c r="L312" s="7" t="s">
        <v>10</v>
      </c>
      <c r="M312" s="7" t="s">
        <v>11</v>
      </c>
      <c r="N312" s="7" t="s">
        <v>12</v>
      </c>
      <c r="O312" s="7" t="s">
        <v>19</v>
      </c>
      <c r="P312" s="7" t="s">
        <v>186</v>
      </c>
      <c r="Q312" s="7" t="s">
        <v>15</v>
      </c>
      <c r="R312" s="7" t="s">
        <v>16</v>
      </c>
      <c r="S312" s="7" t="s">
        <v>17</v>
      </c>
      <c r="U312" t="b">
        <f t="shared" si="38"/>
        <v>1</v>
      </c>
      <c r="V312" t="b">
        <f t="shared" si="39"/>
        <v>0</v>
      </c>
      <c r="W312" t="b">
        <f t="shared" si="40"/>
        <v>0</v>
      </c>
      <c r="X312" t="b">
        <f t="shared" si="41"/>
        <v>1</v>
      </c>
      <c r="Y312" t="b">
        <f t="shared" si="42"/>
        <v>1</v>
      </c>
      <c r="Z312" t="b">
        <f t="shared" si="43"/>
        <v>0</v>
      </c>
      <c r="AA312" t="b">
        <f t="shared" si="44"/>
        <v>1</v>
      </c>
      <c r="AB312" t="b">
        <f t="shared" si="45"/>
        <v>0</v>
      </c>
    </row>
    <row r="313" spans="1:28" ht="14.4">
      <c r="A313" s="2" t="s">
        <v>204</v>
      </c>
      <c r="B313" s="2" t="s">
        <v>10</v>
      </c>
      <c r="C313" s="2" t="s">
        <v>15</v>
      </c>
      <c r="D313" s="2" t="s">
        <v>12</v>
      </c>
      <c r="E313" s="2" t="s">
        <v>19</v>
      </c>
      <c r="F313" s="2" t="s">
        <v>186</v>
      </c>
      <c r="G313" s="2" t="s">
        <v>14</v>
      </c>
      <c r="H313" s="2" t="s">
        <v>16</v>
      </c>
      <c r="I313" s="2" t="s">
        <v>17</v>
      </c>
      <c r="J313" t="b">
        <f t="shared" si="37"/>
        <v>1</v>
      </c>
      <c r="K313" s="8" t="s">
        <v>204</v>
      </c>
      <c r="L313" s="9" t="s">
        <v>10</v>
      </c>
      <c r="M313" s="9" t="s">
        <v>15</v>
      </c>
      <c r="N313" s="9" t="s">
        <v>12</v>
      </c>
      <c r="O313" s="9" t="s">
        <v>19</v>
      </c>
      <c r="P313" s="9" t="s">
        <v>186</v>
      </c>
      <c r="Q313" s="9" t="s">
        <v>14</v>
      </c>
      <c r="R313" s="9" t="s">
        <v>16</v>
      </c>
      <c r="S313" s="9" t="s">
        <v>17</v>
      </c>
      <c r="U313" t="b">
        <f t="shared" si="38"/>
        <v>1</v>
      </c>
      <c r="V313" t="b">
        <f t="shared" si="39"/>
        <v>1</v>
      </c>
      <c r="W313" t="b">
        <f t="shared" si="40"/>
        <v>1</v>
      </c>
      <c r="X313" t="b">
        <f t="shared" si="41"/>
        <v>1</v>
      </c>
      <c r="Y313" t="b">
        <f t="shared" si="42"/>
        <v>1</v>
      </c>
      <c r="Z313" t="b">
        <f t="shared" si="43"/>
        <v>1</v>
      </c>
      <c r="AA313" t="b">
        <f t="shared" si="44"/>
        <v>1</v>
      </c>
      <c r="AB313" t="b">
        <f t="shared" si="45"/>
        <v>1</v>
      </c>
    </row>
    <row r="314" spans="1:28" ht="14.4">
      <c r="A314" s="2" t="s">
        <v>203</v>
      </c>
      <c r="B314" s="2" t="s">
        <v>10</v>
      </c>
      <c r="C314" s="2" t="s">
        <v>15</v>
      </c>
      <c r="D314" s="2" t="s">
        <v>11</v>
      </c>
      <c r="E314" s="2" t="s">
        <v>19</v>
      </c>
      <c r="F314" s="2" t="s">
        <v>186</v>
      </c>
      <c r="G314" s="2" t="s">
        <v>14</v>
      </c>
      <c r="H314" s="2" t="s">
        <v>16</v>
      </c>
      <c r="I314" s="2" t="s">
        <v>17</v>
      </c>
      <c r="J314" t="b">
        <f t="shared" si="37"/>
        <v>1</v>
      </c>
      <c r="K314" s="6" t="s">
        <v>203</v>
      </c>
      <c r="L314" s="7" t="s">
        <v>10</v>
      </c>
      <c r="M314" s="7" t="s">
        <v>15</v>
      </c>
      <c r="N314" s="7" t="s">
        <v>11</v>
      </c>
      <c r="O314" s="7" t="s">
        <v>19</v>
      </c>
      <c r="P314" s="7" t="s">
        <v>186</v>
      </c>
      <c r="Q314" s="7" t="s">
        <v>14</v>
      </c>
      <c r="R314" s="7" t="s">
        <v>16</v>
      </c>
      <c r="S314" s="7" t="s">
        <v>17</v>
      </c>
      <c r="U314" t="b">
        <f t="shared" si="38"/>
        <v>1</v>
      </c>
      <c r="V314" t="b">
        <f t="shared" si="39"/>
        <v>1</v>
      </c>
      <c r="W314" t="b">
        <f t="shared" si="40"/>
        <v>1</v>
      </c>
      <c r="X314" t="b">
        <f t="shared" si="41"/>
        <v>1</v>
      </c>
      <c r="Y314" t="b">
        <f t="shared" si="42"/>
        <v>1</v>
      </c>
      <c r="Z314" t="b">
        <f t="shared" si="43"/>
        <v>1</v>
      </c>
      <c r="AA314" t="b">
        <f t="shared" si="44"/>
        <v>1</v>
      </c>
      <c r="AB314" t="b">
        <f t="shared" si="45"/>
        <v>1</v>
      </c>
    </row>
    <row r="315" spans="1:28" ht="14.4" hidden="1">
      <c r="A315" s="2" t="s">
        <v>202</v>
      </c>
      <c r="B315" s="2" t="s">
        <v>10</v>
      </c>
      <c r="C315" s="2" t="s">
        <v>11</v>
      </c>
      <c r="D315" s="2" t="s">
        <v>12</v>
      </c>
      <c r="E315" s="2" t="s">
        <v>19</v>
      </c>
      <c r="F315" s="2" t="s">
        <v>186</v>
      </c>
      <c r="G315" s="2" t="s">
        <v>15</v>
      </c>
      <c r="H315" s="2" t="s">
        <v>16</v>
      </c>
      <c r="I315" s="2" t="s">
        <v>17</v>
      </c>
      <c r="J315" t="b">
        <f t="shared" si="37"/>
        <v>1</v>
      </c>
      <c r="K315" s="8" t="s">
        <v>202</v>
      </c>
      <c r="L315" s="9" t="s">
        <v>14</v>
      </c>
      <c r="M315" s="9" t="s">
        <v>15</v>
      </c>
      <c r="N315" s="9" t="s">
        <v>65</v>
      </c>
      <c r="O315" s="9" t="s">
        <v>28</v>
      </c>
      <c r="P315" s="9" t="s">
        <v>186</v>
      </c>
      <c r="Q315" s="9" t="s">
        <v>13</v>
      </c>
      <c r="R315" s="9" t="s">
        <v>19</v>
      </c>
      <c r="S315" s="9" t="s">
        <v>10</v>
      </c>
      <c r="U315" t="b">
        <f t="shared" si="38"/>
        <v>0</v>
      </c>
      <c r="V315" t="b">
        <f t="shared" si="39"/>
        <v>0</v>
      </c>
      <c r="W315" t="b">
        <f t="shared" si="40"/>
        <v>0</v>
      </c>
      <c r="X315" t="b">
        <f t="shared" si="41"/>
        <v>0</v>
      </c>
      <c r="Y315" t="b">
        <f t="shared" si="42"/>
        <v>1</v>
      </c>
      <c r="Z315" t="b">
        <f t="shared" si="43"/>
        <v>0</v>
      </c>
      <c r="AA315" t="b">
        <f t="shared" si="44"/>
        <v>0</v>
      </c>
      <c r="AB315" t="b">
        <f t="shared" si="45"/>
        <v>0</v>
      </c>
    </row>
    <row r="316" spans="1:28" ht="14.4">
      <c r="A316" s="2" t="s">
        <v>201</v>
      </c>
      <c r="B316" s="2" t="s">
        <v>10</v>
      </c>
      <c r="C316" s="2" t="s">
        <v>11</v>
      </c>
      <c r="D316" s="2" t="s">
        <v>12</v>
      </c>
      <c r="E316" s="2" t="s">
        <v>19</v>
      </c>
      <c r="F316" s="2" t="s">
        <v>186</v>
      </c>
      <c r="G316" s="2" t="s">
        <v>14</v>
      </c>
      <c r="H316" s="2" t="s">
        <v>16</v>
      </c>
      <c r="I316" s="2" t="s">
        <v>17</v>
      </c>
      <c r="J316" t="b">
        <f t="shared" si="37"/>
        <v>1</v>
      </c>
      <c r="K316" s="6" t="s">
        <v>201</v>
      </c>
      <c r="L316" s="7" t="s">
        <v>10</v>
      </c>
      <c r="M316" s="7" t="s">
        <v>11</v>
      </c>
      <c r="N316" s="7" t="s">
        <v>12</v>
      </c>
      <c r="O316" s="7" t="s">
        <v>19</v>
      </c>
      <c r="P316" s="7" t="s">
        <v>186</v>
      </c>
      <c r="Q316" s="7" t="s">
        <v>14</v>
      </c>
      <c r="R316" s="7" t="s">
        <v>16</v>
      </c>
      <c r="S316" s="7" t="s">
        <v>17</v>
      </c>
      <c r="U316" t="b">
        <f t="shared" si="38"/>
        <v>1</v>
      </c>
      <c r="V316" t="b">
        <f t="shared" si="39"/>
        <v>1</v>
      </c>
      <c r="W316" t="b">
        <f t="shared" si="40"/>
        <v>1</v>
      </c>
      <c r="X316" t="b">
        <f t="shared" si="41"/>
        <v>1</v>
      </c>
      <c r="Y316" t="b">
        <f t="shared" si="42"/>
        <v>1</v>
      </c>
      <c r="Z316" t="b">
        <f t="shared" si="43"/>
        <v>1</v>
      </c>
      <c r="AA316" t="b">
        <f t="shared" si="44"/>
        <v>1</v>
      </c>
      <c r="AB316" t="b">
        <f t="shared" si="45"/>
        <v>1</v>
      </c>
    </row>
    <row r="317" spans="1:28" ht="14.4">
      <c r="A317" s="2" t="s">
        <v>200</v>
      </c>
      <c r="B317" s="2" t="s">
        <v>14</v>
      </c>
      <c r="C317" s="2" t="s">
        <v>15</v>
      </c>
      <c r="D317" s="2" t="s">
        <v>11</v>
      </c>
      <c r="E317" s="2" t="s">
        <v>19</v>
      </c>
      <c r="F317" s="2" t="s">
        <v>186</v>
      </c>
      <c r="G317" s="2" t="s">
        <v>13</v>
      </c>
      <c r="H317" s="2" t="s">
        <v>12</v>
      </c>
      <c r="I317" s="2" t="s">
        <v>17</v>
      </c>
      <c r="J317" t="b">
        <f t="shared" si="37"/>
        <v>1</v>
      </c>
      <c r="K317" s="8" t="s">
        <v>200</v>
      </c>
      <c r="L317" s="9" t="s">
        <v>14</v>
      </c>
      <c r="M317" s="9" t="s">
        <v>15</v>
      </c>
      <c r="N317" s="9" t="s">
        <v>11</v>
      </c>
      <c r="O317" s="9" t="s">
        <v>19</v>
      </c>
      <c r="P317" s="9" t="s">
        <v>186</v>
      </c>
      <c r="Q317" s="9" t="s">
        <v>13</v>
      </c>
      <c r="R317" s="9" t="s">
        <v>12</v>
      </c>
      <c r="S317" s="9" t="s">
        <v>17</v>
      </c>
      <c r="U317" t="b">
        <f t="shared" si="38"/>
        <v>1</v>
      </c>
      <c r="V317" t="b">
        <f t="shared" si="39"/>
        <v>1</v>
      </c>
      <c r="W317" t="b">
        <f t="shared" si="40"/>
        <v>1</v>
      </c>
      <c r="X317" t="b">
        <f t="shared" si="41"/>
        <v>1</v>
      </c>
      <c r="Y317" t="b">
        <f t="shared" si="42"/>
        <v>1</v>
      </c>
      <c r="Z317" t="b">
        <f t="shared" si="43"/>
        <v>1</v>
      </c>
      <c r="AA317" t="b">
        <f t="shared" si="44"/>
        <v>1</v>
      </c>
      <c r="AB317" t="b">
        <f t="shared" si="45"/>
        <v>1</v>
      </c>
    </row>
    <row r="318" spans="1:28" ht="14.4">
      <c r="A318" s="2" t="s">
        <v>199</v>
      </c>
      <c r="B318" s="2" t="s">
        <v>14</v>
      </c>
      <c r="C318" s="2" t="s">
        <v>15</v>
      </c>
      <c r="D318" s="2" t="s">
        <v>11</v>
      </c>
      <c r="E318" s="2" t="s">
        <v>19</v>
      </c>
      <c r="F318" s="2" t="s">
        <v>186</v>
      </c>
      <c r="G318" s="2" t="s">
        <v>13</v>
      </c>
      <c r="H318" s="2" t="s">
        <v>16</v>
      </c>
      <c r="I318" s="2" t="s">
        <v>12</v>
      </c>
      <c r="J318" t="b">
        <f t="shared" si="37"/>
        <v>1</v>
      </c>
      <c r="K318" s="6" t="s">
        <v>199</v>
      </c>
      <c r="L318" s="7" t="s">
        <v>14</v>
      </c>
      <c r="M318" s="7" t="s">
        <v>15</v>
      </c>
      <c r="N318" s="7" t="s">
        <v>11</v>
      </c>
      <c r="O318" s="7" t="s">
        <v>19</v>
      </c>
      <c r="P318" s="7" t="s">
        <v>186</v>
      </c>
      <c r="Q318" s="7" t="s">
        <v>13</v>
      </c>
      <c r="R318" s="7" t="s">
        <v>16</v>
      </c>
      <c r="S318" s="7" t="s">
        <v>12</v>
      </c>
      <c r="U318" t="b">
        <f t="shared" si="38"/>
        <v>1</v>
      </c>
      <c r="V318" t="b">
        <f t="shared" si="39"/>
        <v>1</v>
      </c>
      <c r="W318" t="b">
        <f t="shared" si="40"/>
        <v>1</v>
      </c>
      <c r="X318" t="b">
        <f t="shared" si="41"/>
        <v>1</v>
      </c>
      <c r="Y318" t="b">
        <f t="shared" si="42"/>
        <v>1</v>
      </c>
      <c r="Z318" t="b">
        <f t="shared" si="43"/>
        <v>1</v>
      </c>
      <c r="AA318" t="b">
        <f t="shared" si="44"/>
        <v>1</v>
      </c>
      <c r="AB318" t="b">
        <f t="shared" si="45"/>
        <v>1</v>
      </c>
    </row>
    <row r="319" spans="1:28" ht="14.4">
      <c r="A319" s="2" t="s">
        <v>198</v>
      </c>
      <c r="B319" s="2" t="s">
        <v>14</v>
      </c>
      <c r="C319" s="2" t="s">
        <v>15</v>
      </c>
      <c r="D319" s="2" t="s">
        <v>12</v>
      </c>
      <c r="E319" s="2" t="s">
        <v>19</v>
      </c>
      <c r="F319" s="2" t="s">
        <v>186</v>
      </c>
      <c r="G319" s="2" t="s">
        <v>13</v>
      </c>
      <c r="H319" s="2" t="s">
        <v>16</v>
      </c>
      <c r="I319" s="2" t="s">
        <v>17</v>
      </c>
      <c r="J319" t="b">
        <f t="shared" si="37"/>
        <v>1</v>
      </c>
      <c r="K319" s="8" t="s">
        <v>198</v>
      </c>
      <c r="L319" s="9" t="s">
        <v>14</v>
      </c>
      <c r="M319" s="9" t="s">
        <v>15</v>
      </c>
      <c r="N319" s="9" t="s">
        <v>12</v>
      </c>
      <c r="O319" s="9" t="s">
        <v>19</v>
      </c>
      <c r="P319" s="9" t="s">
        <v>186</v>
      </c>
      <c r="Q319" s="9" t="s">
        <v>13</v>
      </c>
      <c r="R319" s="9" t="s">
        <v>16</v>
      </c>
      <c r="S319" s="9" t="s">
        <v>17</v>
      </c>
      <c r="U319" t="b">
        <f t="shared" si="38"/>
        <v>1</v>
      </c>
      <c r="V319" t="b">
        <f t="shared" si="39"/>
        <v>1</v>
      </c>
      <c r="W319" t="b">
        <f t="shared" si="40"/>
        <v>1</v>
      </c>
      <c r="X319" t="b">
        <f t="shared" si="41"/>
        <v>1</v>
      </c>
      <c r="Y319" t="b">
        <f t="shared" si="42"/>
        <v>1</v>
      </c>
      <c r="Z319" t="b">
        <f t="shared" si="43"/>
        <v>1</v>
      </c>
      <c r="AA319" t="b">
        <f t="shared" si="44"/>
        <v>1</v>
      </c>
      <c r="AB319" t="b">
        <f t="shared" si="45"/>
        <v>1</v>
      </c>
    </row>
    <row r="320" spans="1:28" ht="14.4">
      <c r="A320" s="2" t="s">
        <v>197</v>
      </c>
      <c r="B320" s="2" t="s">
        <v>14</v>
      </c>
      <c r="C320" s="2" t="s">
        <v>15</v>
      </c>
      <c r="D320" s="2" t="s">
        <v>11</v>
      </c>
      <c r="E320" s="2" t="s">
        <v>19</v>
      </c>
      <c r="F320" s="2" t="s">
        <v>186</v>
      </c>
      <c r="G320" s="2" t="s">
        <v>13</v>
      </c>
      <c r="H320" s="2" t="s">
        <v>16</v>
      </c>
      <c r="I320" s="2" t="s">
        <v>17</v>
      </c>
      <c r="J320" t="b">
        <f t="shared" si="37"/>
        <v>1</v>
      </c>
      <c r="K320" s="6" t="s">
        <v>197</v>
      </c>
      <c r="L320" s="7" t="s">
        <v>14</v>
      </c>
      <c r="M320" s="7" t="s">
        <v>15</v>
      </c>
      <c r="N320" s="7" t="s">
        <v>11</v>
      </c>
      <c r="O320" s="7" t="s">
        <v>19</v>
      </c>
      <c r="P320" s="7" t="s">
        <v>186</v>
      </c>
      <c r="Q320" s="7" t="s">
        <v>13</v>
      </c>
      <c r="R320" s="7" t="s">
        <v>16</v>
      </c>
      <c r="S320" s="7" t="s">
        <v>17</v>
      </c>
      <c r="U320" t="b">
        <f t="shared" si="38"/>
        <v>1</v>
      </c>
      <c r="V320" t="b">
        <f t="shared" si="39"/>
        <v>1</v>
      </c>
      <c r="W320" t="b">
        <f t="shared" si="40"/>
        <v>1</v>
      </c>
      <c r="X320" t="b">
        <f t="shared" si="41"/>
        <v>1</v>
      </c>
      <c r="Y320" t="b">
        <f t="shared" si="42"/>
        <v>1</v>
      </c>
      <c r="Z320" t="b">
        <f t="shared" si="43"/>
        <v>1</v>
      </c>
      <c r="AA320" t="b">
        <f t="shared" si="44"/>
        <v>1</v>
      </c>
      <c r="AB320" t="b">
        <f t="shared" si="45"/>
        <v>1</v>
      </c>
    </row>
    <row r="321" spans="1:28" ht="14.4">
      <c r="A321" s="2" t="s">
        <v>196</v>
      </c>
      <c r="B321" s="2" t="s">
        <v>12</v>
      </c>
      <c r="C321" s="2" t="s">
        <v>15</v>
      </c>
      <c r="D321" s="2" t="s">
        <v>11</v>
      </c>
      <c r="E321" s="2" t="s">
        <v>19</v>
      </c>
      <c r="F321" s="2" t="s">
        <v>186</v>
      </c>
      <c r="G321" s="2" t="s">
        <v>13</v>
      </c>
      <c r="H321" s="2" t="s">
        <v>16</v>
      </c>
      <c r="I321" s="2" t="s">
        <v>17</v>
      </c>
      <c r="J321" t="b">
        <f t="shared" si="37"/>
        <v>1</v>
      </c>
      <c r="K321" s="8" t="s">
        <v>196</v>
      </c>
      <c r="L321" s="9" t="s">
        <v>12</v>
      </c>
      <c r="M321" s="9" t="s">
        <v>15</v>
      </c>
      <c r="N321" s="9" t="s">
        <v>11</v>
      </c>
      <c r="O321" s="9" t="s">
        <v>19</v>
      </c>
      <c r="P321" s="9" t="s">
        <v>186</v>
      </c>
      <c r="Q321" s="9" t="s">
        <v>13</v>
      </c>
      <c r="R321" s="9" t="s">
        <v>16</v>
      </c>
      <c r="S321" s="9" t="s">
        <v>17</v>
      </c>
      <c r="U321" t="b">
        <f t="shared" si="38"/>
        <v>1</v>
      </c>
      <c r="V321" t="b">
        <f t="shared" si="39"/>
        <v>1</v>
      </c>
      <c r="W321" t="b">
        <f t="shared" si="40"/>
        <v>1</v>
      </c>
      <c r="X321" t="b">
        <f t="shared" si="41"/>
        <v>1</v>
      </c>
      <c r="Y321" t="b">
        <f t="shared" si="42"/>
        <v>1</v>
      </c>
      <c r="Z321" t="b">
        <f t="shared" si="43"/>
        <v>1</v>
      </c>
      <c r="AA321" t="b">
        <f t="shared" si="44"/>
        <v>1</v>
      </c>
      <c r="AB321" t="b">
        <f t="shared" si="45"/>
        <v>1</v>
      </c>
    </row>
    <row r="322" spans="1:28" ht="14.4">
      <c r="A322" s="2" t="s">
        <v>195</v>
      </c>
      <c r="B322" s="2" t="s">
        <v>14</v>
      </c>
      <c r="C322" s="2" t="s">
        <v>11</v>
      </c>
      <c r="D322" s="2" t="s">
        <v>12</v>
      </c>
      <c r="E322" s="2" t="s">
        <v>19</v>
      </c>
      <c r="F322" s="2" t="s">
        <v>186</v>
      </c>
      <c r="G322" s="2" t="s">
        <v>13</v>
      </c>
      <c r="H322" s="2" t="s">
        <v>16</v>
      </c>
      <c r="I322" s="2" t="s">
        <v>17</v>
      </c>
      <c r="J322" t="b">
        <f t="shared" si="37"/>
        <v>1</v>
      </c>
      <c r="K322" s="6" t="s">
        <v>195</v>
      </c>
      <c r="L322" s="7" t="s">
        <v>14</v>
      </c>
      <c r="M322" s="7" t="s">
        <v>11</v>
      </c>
      <c r="N322" s="7" t="s">
        <v>12</v>
      </c>
      <c r="O322" s="7" t="s">
        <v>19</v>
      </c>
      <c r="P322" s="7" t="s">
        <v>186</v>
      </c>
      <c r="Q322" s="7" t="s">
        <v>13</v>
      </c>
      <c r="R322" s="7" t="s">
        <v>16</v>
      </c>
      <c r="S322" s="7" t="s">
        <v>17</v>
      </c>
      <c r="U322" t="b">
        <f t="shared" si="38"/>
        <v>1</v>
      </c>
      <c r="V322" t="b">
        <f t="shared" si="39"/>
        <v>1</v>
      </c>
      <c r="W322" t="b">
        <f t="shared" si="40"/>
        <v>1</v>
      </c>
      <c r="X322" t="b">
        <f t="shared" si="41"/>
        <v>1</v>
      </c>
      <c r="Y322" t="b">
        <f t="shared" si="42"/>
        <v>1</v>
      </c>
      <c r="Z322" t="b">
        <f t="shared" si="43"/>
        <v>1</v>
      </c>
      <c r="AA322" t="b">
        <f t="shared" si="44"/>
        <v>1</v>
      </c>
      <c r="AB322" t="b">
        <f t="shared" si="45"/>
        <v>1</v>
      </c>
    </row>
    <row r="323" spans="1:28" ht="14.4">
      <c r="A323" s="2" t="s">
        <v>194</v>
      </c>
      <c r="B323" s="2" t="s">
        <v>14</v>
      </c>
      <c r="C323" s="2" t="s">
        <v>11</v>
      </c>
      <c r="D323" s="2" t="s">
        <v>12</v>
      </c>
      <c r="E323" s="2" t="s">
        <v>19</v>
      </c>
      <c r="F323" s="2" t="s">
        <v>186</v>
      </c>
      <c r="G323" s="2" t="s">
        <v>15</v>
      </c>
      <c r="H323" s="2" t="s">
        <v>16</v>
      </c>
      <c r="I323" s="2" t="s">
        <v>17</v>
      </c>
      <c r="J323" t="b">
        <f t="shared" ref="J323:J386" si="46">K323=A323</f>
        <v>1</v>
      </c>
      <c r="K323" s="8" t="s">
        <v>194</v>
      </c>
      <c r="L323" s="9" t="s">
        <v>14</v>
      </c>
      <c r="M323" s="9" t="s">
        <v>11</v>
      </c>
      <c r="N323" s="9" t="s">
        <v>12</v>
      </c>
      <c r="O323" s="9" t="s">
        <v>19</v>
      </c>
      <c r="P323" s="9" t="s">
        <v>186</v>
      </c>
      <c r="Q323" s="9" t="s">
        <v>15</v>
      </c>
      <c r="R323" s="9" t="s">
        <v>16</v>
      </c>
      <c r="S323" s="9" t="s">
        <v>17</v>
      </c>
      <c r="U323" t="b">
        <f t="shared" ref="U323:U386" si="47">B323=L323</f>
        <v>1</v>
      </c>
      <c r="V323" t="b">
        <f t="shared" ref="V323:V386" si="48">C323=M323</f>
        <v>1</v>
      </c>
      <c r="W323" t="b">
        <f t="shared" ref="W323:W386" si="49">D323=N323</f>
        <v>1</v>
      </c>
      <c r="X323" t="b">
        <f t="shared" ref="X323:X386" si="50">E323=O323</f>
        <v>1</v>
      </c>
      <c r="Y323" t="b">
        <f t="shared" ref="Y323:Y386" si="51">F323=P323</f>
        <v>1</v>
      </c>
      <c r="Z323" t="b">
        <f t="shared" ref="Z323:Z386" si="52">G323=Q323</f>
        <v>1</v>
      </c>
      <c r="AA323" t="b">
        <f t="shared" ref="AA323:AA386" si="53">H323=R323</f>
        <v>1</v>
      </c>
      <c r="AB323" t="b">
        <f t="shared" ref="AB323:AB386" si="54">I323=S323</f>
        <v>1</v>
      </c>
    </row>
    <row r="324" spans="1:28" ht="14.4">
      <c r="A324" s="2" t="s">
        <v>193</v>
      </c>
      <c r="B324" s="2" t="s">
        <v>10</v>
      </c>
      <c r="C324" s="2" t="s">
        <v>15</v>
      </c>
      <c r="D324" s="2" t="s">
        <v>11</v>
      </c>
      <c r="E324" s="2" t="s">
        <v>13</v>
      </c>
      <c r="F324" s="2" t="s">
        <v>186</v>
      </c>
      <c r="G324" s="2" t="s">
        <v>14</v>
      </c>
      <c r="H324" s="2" t="s">
        <v>12</v>
      </c>
      <c r="I324" s="2" t="s">
        <v>17</v>
      </c>
      <c r="J324" t="b">
        <f t="shared" si="46"/>
        <v>1</v>
      </c>
      <c r="K324" s="6" t="s">
        <v>193</v>
      </c>
      <c r="L324" s="7" t="s">
        <v>10</v>
      </c>
      <c r="M324" s="7" t="s">
        <v>15</v>
      </c>
      <c r="N324" s="7" t="s">
        <v>11</v>
      </c>
      <c r="O324" s="7" t="s">
        <v>13</v>
      </c>
      <c r="P324" s="7" t="s">
        <v>186</v>
      </c>
      <c r="Q324" s="7" t="s">
        <v>14</v>
      </c>
      <c r="R324" s="7" t="s">
        <v>12</v>
      </c>
      <c r="S324" s="7" t="s">
        <v>17</v>
      </c>
      <c r="U324" t="b">
        <f t="shared" si="47"/>
        <v>1</v>
      </c>
      <c r="V324" t="b">
        <f t="shared" si="48"/>
        <v>1</v>
      </c>
      <c r="W324" t="b">
        <f t="shared" si="49"/>
        <v>1</v>
      </c>
      <c r="X324" t="b">
        <f t="shared" si="50"/>
        <v>1</v>
      </c>
      <c r="Y324" t="b">
        <f t="shared" si="51"/>
        <v>1</v>
      </c>
      <c r="Z324" t="b">
        <f t="shared" si="52"/>
        <v>1</v>
      </c>
      <c r="AA324" t="b">
        <f t="shared" si="53"/>
        <v>1</v>
      </c>
      <c r="AB324" t="b">
        <f t="shared" si="54"/>
        <v>1</v>
      </c>
    </row>
    <row r="325" spans="1:28" ht="14.4">
      <c r="A325" s="2" t="s">
        <v>192</v>
      </c>
      <c r="B325" s="2" t="s">
        <v>10</v>
      </c>
      <c r="C325" s="2" t="s">
        <v>15</v>
      </c>
      <c r="D325" s="2" t="s">
        <v>11</v>
      </c>
      <c r="E325" s="2" t="s">
        <v>13</v>
      </c>
      <c r="F325" s="2" t="s">
        <v>186</v>
      </c>
      <c r="G325" s="2" t="s">
        <v>14</v>
      </c>
      <c r="H325" s="2" t="s">
        <v>16</v>
      </c>
      <c r="I325" s="2" t="s">
        <v>12</v>
      </c>
      <c r="J325" t="b">
        <f t="shared" si="46"/>
        <v>1</v>
      </c>
      <c r="K325" s="8" t="s">
        <v>192</v>
      </c>
      <c r="L325" s="9" t="s">
        <v>10</v>
      </c>
      <c r="M325" s="9" t="s">
        <v>15</v>
      </c>
      <c r="N325" s="9" t="s">
        <v>11</v>
      </c>
      <c r="O325" s="9" t="s">
        <v>13</v>
      </c>
      <c r="P325" s="9" t="s">
        <v>186</v>
      </c>
      <c r="Q325" s="9" t="s">
        <v>14</v>
      </c>
      <c r="R325" s="9" t="s">
        <v>16</v>
      </c>
      <c r="S325" s="9" t="s">
        <v>12</v>
      </c>
      <c r="U325" t="b">
        <f t="shared" si="47"/>
        <v>1</v>
      </c>
      <c r="V325" t="b">
        <f t="shared" si="48"/>
        <v>1</v>
      </c>
      <c r="W325" t="b">
        <f t="shared" si="49"/>
        <v>1</v>
      </c>
      <c r="X325" t="b">
        <f t="shared" si="50"/>
        <v>1</v>
      </c>
      <c r="Y325" t="b">
        <f t="shared" si="51"/>
        <v>1</v>
      </c>
      <c r="Z325" t="b">
        <f t="shared" si="52"/>
        <v>1</v>
      </c>
      <c r="AA325" t="b">
        <f t="shared" si="53"/>
        <v>1</v>
      </c>
      <c r="AB325" t="b">
        <f t="shared" si="54"/>
        <v>1</v>
      </c>
    </row>
    <row r="326" spans="1:28" ht="14.4">
      <c r="A326" s="2" t="s">
        <v>191</v>
      </c>
      <c r="B326" s="2" t="s">
        <v>10</v>
      </c>
      <c r="C326" s="2" t="s">
        <v>15</v>
      </c>
      <c r="D326" s="2" t="s">
        <v>12</v>
      </c>
      <c r="E326" s="2" t="s">
        <v>13</v>
      </c>
      <c r="F326" s="2" t="s">
        <v>186</v>
      </c>
      <c r="G326" s="2" t="s">
        <v>14</v>
      </c>
      <c r="H326" s="2" t="s">
        <v>16</v>
      </c>
      <c r="I326" s="2" t="s">
        <v>17</v>
      </c>
      <c r="J326" t="b">
        <f t="shared" si="46"/>
        <v>1</v>
      </c>
      <c r="K326" s="6" t="s">
        <v>191</v>
      </c>
      <c r="L326" s="7" t="s">
        <v>10</v>
      </c>
      <c r="M326" s="7" t="s">
        <v>15</v>
      </c>
      <c r="N326" s="7" t="s">
        <v>12</v>
      </c>
      <c r="O326" s="7" t="s">
        <v>13</v>
      </c>
      <c r="P326" s="7" t="s">
        <v>186</v>
      </c>
      <c r="Q326" s="7" t="s">
        <v>14</v>
      </c>
      <c r="R326" s="7" t="s">
        <v>16</v>
      </c>
      <c r="S326" s="7" t="s">
        <v>17</v>
      </c>
      <c r="U326" t="b">
        <f t="shared" si="47"/>
        <v>1</v>
      </c>
      <c r="V326" t="b">
        <f t="shared" si="48"/>
        <v>1</v>
      </c>
      <c r="W326" t="b">
        <f t="shared" si="49"/>
        <v>1</v>
      </c>
      <c r="X326" t="b">
        <f t="shared" si="50"/>
        <v>1</v>
      </c>
      <c r="Y326" t="b">
        <f t="shared" si="51"/>
        <v>1</v>
      </c>
      <c r="Z326" t="b">
        <f t="shared" si="52"/>
        <v>1</v>
      </c>
      <c r="AA326" t="b">
        <f t="shared" si="53"/>
        <v>1</v>
      </c>
      <c r="AB326" t="b">
        <f t="shared" si="54"/>
        <v>1</v>
      </c>
    </row>
    <row r="327" spans="1:28" ht="14.4">
      <c r="A327" s="2" t="s">
        <v>190</v>
      </c>
      <c r="B327" s="2" t="s">
        <v>10</v>
      </c>
      <c r="C327" s="2" t="s">
        <v>15</v>
      </c>
      <c r="D327" s="2" t="s">
        <v>11</v>
      </c>
      <c r="E327" s="2" t="s">
        <v>13</v>
      </c>
      <c r="F327" s="2" t="s">
        <v>186</v>
      </c>
      <c r="G327" s="2" t="s">
        <v>14</v>
      </c>
      <c r="H327" s="2" t="s">
        <v>16</v>
      </c>
      <c r="I327" s="2" t="s">
        <v>17</v>
      </c>
      <c r="J327" t="b">
        <f t="shared" si="46"/>
        <v>1</v>
      </c>
      <c r="K327" s="8" t="s">
        <v>190</v>
      </c>
      <c r="L327" s="9" t="s">
        <v>10</v>
      </c>
      <c r="M327" s="9" t="s">
        <v>15</v>
      </c>
      <c r="N327" s="9" t="s">
        <v>11</v>
      </c>
      <c r="O327" s="9" t="s">
        <v>13</v>
      </c>
      <c r="P327" s="9" t="s">
        <v>186</v>
      </c>
      <c r="Q327" s="9" t="s">
        <v>14</v>
      </c>
      <c r="R327" s="9" t="s">
        <v>16</v>
      </c>
      <c r="S327" s="9" t="s">
        <v>17</v>
      </c>
      <c r="U327" t="b">
        <f t="shared" si="47"/>
        <v>1</v>
      </c>
      <c r="V327" t="b">
        <f t="shared" si="48"/>
        <v>1</v>
      </c>
      <c r="W327" t="b">
        <f t="shared" si="49"/>
        <v>1</v>
      </c>
      <c r="X327" t="b">
        <f t="shared" si="50"/>
        <v>1</v>
      </c>
      <c r="Y327" t="b">
        <f t="shared" si="51"/>
        <v>1</v>
      </c>
      <c r="Z327" t="b">
        <f t="shared" si="52"/>
        <v>1</v>
      </c>
      <c r="AA327" t="b">
        <f t="shared" si="53"/>
        <v>1</v>
      </c>
      <c r="AB327" t="b">
        <f t="shared" si="54"/>
        <v>1</v>
      </c>
    </row>
    <row r="328" spans="1:28" ht="14.4">
      <c r="A328" s="2" t="s">
        <v>189</v>
      </c>
      <c r="B328" s="2" t="s">
        <v>10</v>
      </c>
      <c r="C328" s="2" t="s">
        <v>11</v>
      </c>
      <c r="D328" s="2" t="s">
        <v>12</v>
      </c>
      <c r="E328" s="2" t="s">
        <v>13</v>
      </c>
      <c r="F328" s="2" t="s">
        <v>186</v>
      </c>
      <c r="G328" s="2" t="s">
        <v>15</v>
      </c>
      <c r="H328" s="2" t="s">
        <v>16</v>
      </c>
      <c r="I328" s="2" t="s">
        <v>17</v>
      </c>
      <c r="J328" t="b">
        <f t="shared" si="46"/>
        <v>1</v>
      </c>
      <c r="K328" s="6" t="s">
        <v>189</v>
      </c>
      <c r="L328" s="7" t="s">
        <v>10</v>
      </c>
      <c r="M328" s="7" t="s">
        <v>11</v>
      </c>
      <c r="N328" s="7" t="s">
        <v>12</v>
      </c>
      <c r="O328" s="7" t="s">
        <v>13</v>
      </c>
      <c r="P328" s="7" t="s">
        <v>186</v>
      </c>
      <c r="Q328" s="7" t="s">
        <v>15</v>
      </c>
      <c r="R328" s="7" t="s">
        <v>16</v>
      </c>
      <c r="S328" s="7" t="s">
        <v>17</v>
      </c>
      <c r="U328" t="b">
        <f t="shared" si="47"/>
        <v>1</v>
      </c>
      <c r="V328" t="b">
        <f t="shared" si="48"/>
        <v>1</v>
      </c>
      <c r="W328" t="b">
        <f t="shared" si="49"/>
        <v>1</v>
      </c>
      <c r="X328" t="b">
        <f t="shared" si="50"/>
        <v>1</v>
      </c>
      <c r="Y328" t="b">
        <f t="shared" si="51"/>
        <v>1</v>
      </c>
      <c r="Z328" t="b">
        <f t="shared" si="52"/>
        <v>1</v>
      </c>
      <c r="AA328" t="b">
        <f t="shared" si="53"/>
        <v>1</v>
      </c>
      <c r="AB328" t="b">
        <f t="shared" si="54"/>
        <v>1</v>
      </c>
    </row>
    <row r="329" spans="1:28" ht="14.4">
      <c r="A329" s="2" t="s">
        <v>188</v>
      </c>
      <c r="B329" s="2" t="s">
        <v>10</v>
      </c>
      <c r="C329" s="2" t="s">
        <v>11</v>
      </c>
      <c r="D329" s="2" t="s">
        <v>12</v>
      </c>
      <c r="E329" s="2" t="s">
        <v>13</v>
      </c>
      <c r="F329" s="2" t="s">
        <v>186</v>
      </c>
      <c r="G329" s="2" t="s">
        <v>14</v>
      </c>
      <c r="H329" s="2" t="s">
        <v>16</v>
      </c>
      <c r="I329" s="2" t="s">
        <v>17</v>
      </c>
      <c r="J329" t="b">
        <f t="shared" si="46"/>
        <v>1</v>
      </c>
      <c r="K329" s="8" t="s">
        <v>188</v>
      </c>
      <c r="L329" s="9" t="s">
        <v>10</v>
      </c>
      <c r="M329" s="9" t="s">
        <v>11</v>
      </c>
      <c r="N329" s="9" t="s">
        <v>12</v>
      </c>
      <c r="O329" s="9" t="s">
        <v>13</v>
      </c>
      <c r="P329" s="9" t="s">
        <v>186</v>
      </c>
      <c r="Q329" s="9" t="s">
        <v>14</v>
      </c>
      <c r="R329" s="9" t="s">
        <v>16</v>
      </c>
      <c r="S329" s="9" t="s">
        <v>17</v>
      </c>
      <c r="U329" t="b">
        <f t="shared" si="47"/>
        <v>1</v>
      </c>
      <c r="V329" t="b">
        <f t="shared" si="48"/>
        <v>1</v>
      </c>
      <c r="W329" t="b">
        <f t="shared" si="49"/>
        <v>1</v>
      </c>
      <c r="X329" t="b">
        <f t="shared" si="50"/>
        <v>1</v>
      </c>
      <c r="Y329" t="b">
        <f t="shared" si="51"/>
        <v>1</v>
      </c>
      <c r="Z329" t="b">
        <f t="shared" si="52"/>
        <v>1</v>
      </c>
      <c r="AA329" t="b">
        <f t="shared" si="53"/>
        <v>1</v>
      </c>
      <c r="AB329" t="b">
        <f t="shared" si="54"/>
        <v>1</v>
      </c>
    </row>
    <row r="330" spans="1:28" ht="14.4">
      <c r="A330" s="2" t="s">
        <v>187</v>
      </c>
      <c r="B330" s="2" t="s">
        <v>10</v>
      </c>
      <c r="C330" s="2" t="s">
        <v>11</v>
      </c>
      <c r="D330" s="2" t="s">
        <v>12</v>
      </c>
      <c r="E330" s="2" t="s">
        <v>186</v>
      </c>
      <c r="F330" s="2" t="s">
        <v>14</v>
      </c>
      <c r="G330" s="2" t="s">
        <v>15</v>
      </c>
      <c r="H330" s="2" t="s">
        <v>16</v>
      </c>
      <c r="I330" s="2" t="s">
        <v>17</v>
      </c>
      <c r="J330" t="b">
        <f t="shared" si="46"/>
        <v>1</v>
      </c>
      <c r="K330" s="6" t="s">
        <v>187</v>
      </c>
      <c r="L330" s="7" t="s">
        <v>10</v>
      </c>
      <c r="M330" s="7" t="s">
        <v>11</v>
      </c>
      <c r="N330" s="7" t="s">
        <v>12</v>
      </c>
      <c r="O330" s="7" t="s">
        <v>186</v>
      </c>
      <c r="P330" s="7" t="s">
        <v>14</v>
      </c>
      <c r="Q330" s="7" t="s">
        <v>15</v>
      </c>
      <c r="R330" s="7" t="s">
        <v>16</v>
      </c>
      <c r="S330" s="7" t="s">
        <v>17</v>
      </c>
      <c r="U330" t="b">
        <f t="shared" si="47"/>
        <v>1</v>
      </c>
      <c r="V330" t="b">
        <f t="shared" si="48"/>
        <v>1</v>
      </c>
      <c r="W330" t="b">
        <f t="shared" si="49"/>
        <v>1</v>
      </c>
      <c r="X330" t="b">
        <f t="shared" si="50"/>
        <v>1</v>
      </c>
      <c r="Y330" t="b">
        <f t="shared" si="51"/>
        <v>1</v>
      </c>
      <c r="Z330" t="b">
        <f t="shared" si="52"/>
        <v>1</v>
      </c>
      <c r="AA330" t="b">
        <f t="shared" si="53"/>
        <v>1</v>
      </c>
      <c r="AB330" t="b">
        <f t="shared" si="54"/>
        <v>1</v>
      </c>
    </row>
    <row r="331" spans="1:28" ht="14.4">
      <c r="A331" s="2" t="s">
        <v>185</v>
      </c>
      <c r="B331" s="2" t="s">
        <v>14</v>
      </c>
      <c r="C331" s="2" t="s">
        <v>11</v>
      </c>
      <c r="D331" s="2" t="s">
        <v>12</v>
      </c>
      <c r="E331" s="2" t="s">
        <v>13</v>
      </c>
      <c r="F331" s="2" t="s">
        <v>186</v>
      </c>
      <c r="G331" s="2" t="s">
        <v>15</v>
      </c>
      <c r="H331" s="2" t="s">
        <v>16</v>
      </c>
      <c r="I331" s="2" t="s">
        <v>17</v>
      </c>
      <c r="J331" t="b">
        <f t="shared" si="46"/>
        <v>1</v>
      </c>
      <c r="K331" s="8" t="s">
        <v>185</v>
      </c>
      <c r="L331" s="9" t="s">
        <v>14</v>
      </c>
      <c r="M331" s="9" t="s">
        <v>11</v>
      </c>
      <c r="N331" s="9" t="s">
        <v>12</v>
      </c>
      <c r="O331" s="9" t="s">
        <v>13</v>
      </c>
      <c r="P331" s="9" t="s">
        <v>186</v>
      </c>
      <c r="Q331" s="9" t="s">
        <v>15</v>
      </c>
      <c r="R331" s="9" t="s">
        <v>16</v>
      </c>
      <c r="S331" s="9" t="s">
        <v>17</v>
      </c>
      <c r="U331" t="b">
        <f t="shared" si="47"/>
        <v>1</v>
      </c>
      <c r="V331" t="b">
        <f t="shared" si="48"/>
        <v>1</v>
      </c>
      <c r="W331" t="b">
        <f t="shared" si="49"/>
        <v>1</v>
      </c>
      <c r="X331" t="b">
        <f t="shared" si="50"/>
        <v>1</v>
      </c>
      <c r="Y331" t="b">
        <f t="shared" si="51"/>
        <v>1</v>
      </c>
      <c r="Z331" t="b">
        <f t="shared" si="52"/>
        <v>1</v>
      </c>
      <c r="AA331" t="b">
        <f t="shared" si="53"/>
        <v>1</v>
      </c>
      <c r="AB331" t="b">
        <f t="shared" si="54"/>
        <v>1</v>
      </c>
    </row>
    <row r="332" spans="1:28" ht="14.4" hidden="1">
      <c r="A332" s="2" t="s">
        <v>184</v>
      </c>
      <c r="B332" s="2" t="s">
        <v>28</v>
      </c>
      <c r="C332" s="2" t="s">
        <v>15</v>
      </c>
      <c r="D332" s="2" t="s">
        <v>65</v>
      </c>
      <c r="E332" s="2" t="s">
        <v>19</v>
      </c>
      <c r="F332" s="2" t="s">
        <v>14</v>
      </c>
      <c r="G332" s="2" t="s">
        <v>13</v>
      </c>
      <c r="H332" s="2" t="s">
        <v>10</v>
      </c>
      <c r="I332" s="2" t="s">
        <v>12</v>
      </c>
      <c r="J332" t="b">
        <f t="shared" si="46"/>
        <v>1</v>
      </c>
      <c r="K332" s="6" t="s">
        <v>184</v>
      </c>
      <c r="L332" s="7" t="s">
        <v>14</v>
      </c>
      <c r="M332" s="7" t="s">
        <v>15</v>
      </c>
      <c r="N332" s="7" t="s">
        <v>65</v>
      </c>
      <c r="O332" s="7" t="s">
        <v>28</v>
      </c>
      <c r="P332" s="7" t="s">
        <v>12</v>
      </c>
      <c r="Q332" s="7" t="s">
        <v>13</v>
      </c>
      <c r="R332" s="7" t="s">
        <v>19</v>
      </c>
      <c r="S332" s="7" t="s">
        <v>10</v>
      </c>
      <c r="U332" t="b">
        <f t="shared" si="47"/>
        <v>0</v>
      </c>
      <c r="V332" t="b">
        <f t="shared" si="48"/>
        <v>1</v>
      </c>
      <c r="W332" t="b">
        <f t="shared" si="49"/>
        <v>1</v>
      </c>
      <c r="X332" t="b">
        <f t="shared" si="50"/>
        <v>0</v>
      </c>
      <c r="Y332" t="b">
        <f t="shared" si="51"/>
        <v>0</v>
      </c>
      <c r="Z332" t="b">
        <f t="shared" si="52"/>
        <v>1</v>
      </c>
      <c r="AA332" t="b">
        <f t="shared" si="53"/>
        <v>0</v>
      </c>
      <c r="AB332" t="b">
        <f t="shared" si="54"/>
        <v>0</v>
      </c>
    </row>
    <row r="333" spans="1:28" ht="14.4">
      <c r="A333" s="2" t="s">
        <v>183</v>
      </c>
      <c r="B333" s="2" t="s">
        <v>14</v>
      </c>
      <c r="C333" s="2" t="s">
        <v>15</v>
      </c>
      <c r="D333" s="2" t="s">
        <v>65</v>
      </c>
      <c r="E333" s="2" t="s">
        <v>28</v>
      </c>
      <c r="F333" s="2" t="s">
        <v>11</v>
      </c>
      <c r="G333" s="2" t="s">
        <v>13</v>
      </c>
      <c r="H333" s="2" t="s">
        <v>19</v>
      </c>
      <c r="I333" s="2" t="s">
        <v>10</v>
      </c>
      <c r="J333" t="b">
        <f t="shared" si="46"/>
        <v>1</v>
      </c>
      <c r="K333" s="8" t="s">
        <v>183</v>
      </c>
      <c r="L333" s="9" t="s">
        <v>14</v>
      </c>
      <c r="M333" s="9" t="s">
        <v>15</v>
      </c>
      <c r="N333" s="9" t="s">
        <v>65</v>
      </c>
      <c r="O333" s="9" t="s">
        <v>28</v>
      </c>
      <c r="P333" s="9" t="s">
        <v>11</v>
      </c>
      <c r="Q333" s="9" t="s">
        <v>13</v>
      </c>
      <c r="R333" s="9" t="s">
        <v>19</v>
      </c>
      <c r="S333" s="9" t="s">
        <v>10</v>
      </c>
      <c r="U333" t="b">
        <f t="shared" si="47"/>
        <v>1</v>
      </c>
      <c r="V333" t="b">
        <f t="shared" si="48"/>
        <v>1</v>
      </c>
      <c r="W333" t="b">
        <f t="shared" si="49"/>
        <v>1</v>
      </c>
      <c r="X333" t="b">
        <f t="shared" si="50"/>
        <v>1</v>
      </c>
      <c r="Y333" t="b">
        <f t="shared" si="51"/>
        <v>1</v>
      </c>
      <c r="Z333" t="b">
        <f t="shared" si="52"/>
        <v>1</v>
      </c>
      <c r="AA333" t="b">
        <f t="shared" si="53"/>
        <v>1</v>
      </c>
      <c r="AB333" t="b">
        <f t="shared" si="54"/>
        <v>1</v>
      </c>
    </row>
    <row r="334" spans="1:28" ht="14.4">
      <c r="A334" s="2" t="s">
        <v>182</v>
      </c>
      <c r="B334" s="2" t="s">
        <v>28</v>
      </c>
      <c r="C334" s="2" t="s">
        <v>15</v>
      </c>
      <c r="D334" s="2" t="s">
        <v>65</v>
      </c>
      <c r="E334" s="2" t="s">
        <v>19</v>
      </c>
      <c r="F334" s="2" t="s">
        <v>14</v>
      </c>
      <c r="G334" s="2" t="s">
        <v>13</v>
      </c>
      <c r="H334" s="2" t="s">
        <v>10</v>
      </c>
      <c r="I334" s="2" t="s">
        <v>17</v>
      </c>
      <c r="J334" t="b">
        <f t="shared" si="46"/>
        <v>1</v>
      </c>
      <c r="K334" s="6" t="s">
        <v>182</v>
      </c>
      <c r="L334" s="7" t="s">
        <v>28</v>
      </c>
      <c r="M334" s="7" t="s">
        <v>15</v>
      </c>
      <c r="N334" s="7" t="s">
        <v>65</v>
      </c>
      <c r="O334" s="7" t="s">
        <v>19</v>
      </c>
      <c r="P334" s="7" t="s">
        <v>14</v>
      </c>
      <c r="Q334" s="7" t="s">
        <v>13</v>
      </c>
      <c r="R334" s="7" t="s">
        <v>10</v>
      </c>
      <c r="S334" s="7" t="s">
        <v>17</v>
      </c>
      <c r="U334" t="b">
        <f t="shared" si="47"/>
        <v>1</v>
      </c>
      <c r="V334" t="b">
        <f t="shared" si="48"/>
        <v>1</v>
      </c>
      <c r="W334" t="b">
        <f t="shared" si="49"/>
        <v>1</v>
      </c>
      <c r="X334" t="b">
        <f t="shared" si="50"/>
        <v>1</v>
      </c>
      <c r="Y334" t="b">
        <f t="shared" si="51"/>
        <v>1</v>
      </c>
      <c r="Z334" t="b">
        <f t="shared" si="52"/>
        <v>1</v>
      </c>
      <c r="AA334" t="b">
        <f t="shared" si="53"/>
        <v>1</v>
      </c>
      <c r="AB334" t="b">
        <f t="shared" si="54"/>
        <v>1</v>
      </c>
    </row>
    <row r="335" spans="1:28" ht="14.4">
      <c r="A335" s="2" t="s">
        <v>181</v>
      </c>
      <c r="B335" s="2" t="s">
        <v>28</v>
      </c>
      <c r="C335" s="2" t="s">
        <v>15</v>
      </c>
      <c r="D335" s="2" t="s">
        <v>65</v>
      </c>
      <c r="E335" s="2" t="s">
        <v>19</v>
      </c>
      <c r="F335" s="2" t="s">
        <v>14</v>
      </c>
      <c r="G335" s="2" t="s">
        <v>13</v>
      </c>
      <c r="H335" s="2" t="s">
        <v>16</v>
      </c>
      <c r="I335" s="2" t="s">
        <v>10</v>
      </c>
      <c r="J335" t="b">
        <f t="shared" si="46"/>
        <v>1</v>
      </c>
      <c r="K335" s="8" t="s">
        <v>181</v>
      </c>
      <c r="L335" s="9" t="s">
        <v>28</v>
      </c>
      <c r="M335" s="9" t="s">
        <v>15</v>
      </c>
      <c r="N335" s="9" t="s">
        <v>65</v>
      </c>
      <c r="O335" s="9" t="s">
        <v>19</v>
      </c>
      <c r="P335" s="9" t="s">
        <v>14</v>
      </c>
      <c r="Q335" s="9" t="s">
        <v>13</v>
      </c>
      <c r="R335" s="9" t="s">
        <v>16</v>
      </c>
      <c r="S335" s="9" t="s">
        <v>10</v>
      </c>
      <c r="U335" t="b">
        <f t="shared" si="47"/>
        <v>1</v>
      </c>
      <c r="V335" t="b">
        <f t="shared" si="48"/>
        <v>1</v>
      </c>
      <c r="W335" t="b">
        <f t="shared" si="49"/>
        <v>1</v>
      </c>
      <c r="X335" t="b">
        <f t="shared" si="50"/>
        <v>1</v>
      </c>
      <c r="Y335" t="b">
        <f t="shared" si="51"/>
        <v>1</v>
      </c>
      <c r="Z335" t="b">
        <f t="shared" si="52"/>
        <v>1</v>
      </c>
      <c r="AA335" t="b">
        <f t="shared" si="53"/>
        <v>1</v>
      </c>
      <c r="AB335" t="b">
        <f t="shared" si="54"/>
        <v>1</v>
      </c>
    </row>
    <row r="336" spans="1:28" ht="14.4">
      <c r="A336" s="2" t="s">
        <v>180</v>
      </c>
      <c r="B336" s="2" t="s">
        <v>28</v>
      </c>
      <c r="C336" s="2" t="s">
        <v>15</v>
      </c>
      <c r="D336" s="2" t="s">
        <v>65</v>
      </c>
      <c r="E336" s="2" t="s">
        <v>19</v>
      </c>
      <c r="F336" s="2" t="s">
        <v>11</v>
      </c>
      <c r="G336" s="2" t="s">
        <v>13</v>
      </c>
      <c r="H336" s="2" t="s">
        <v>10</v>
      </c>
      <c r="I336" s="2" t="s">
        <v>12</v>
      </c>
      <c r="J336" t="b">
        <f t="shared" si="46"/>
        <v>1</v>
      </c>
      <c r="K336" s="6" t="s">
        <v>180</v>
      </c>
      <c r="L336" s="7" t="s">
        <v>28</v>
      </c>
      <c r="M336" s="7" t="s">
        <v>15</v>
      </c>
      <c r="N336" s="7" t="s">
        <v>65</v>
      </c>
      <c r="O336" s="7" t="s">
        <v>19</v>
      </c>
      <c r="P336" s="7" t="s">
        <v>11</v>
      </c>
      <c r="Q336" s="7" t="s">
        <v>13</v>
      </c>
      <c r="R336" s="7" t="s">
        <v>10</v>
      </c>
      <c r="S336" s="7" t="s">
        <v>12</v>
      </c>
      <c r="U336" t="b">
        <f t="shared" si="47"/>
        <v>1</v>
      </c>
      <c r="V336" t="b">
        <f t="shared" si="48"/>
        <v>1</v>
      </c>
      <c r="W336" t="b">
        <f t="shared" si="49"/>
        <v>1</v>
      </c>
      <c r="X336" t="b">
        <f t="shared" si="50"/>
        <v>1</v>
      </c>
      <c r="Y336" t="b">
        <f t="shared" si="51"/>
        <v>1</v>
      </c>
      <c r="Z336" t="b">
        <f t="shared" si="52"/>
        <v>1</v>
      </c>
      <c r="AA336" t="b">
        <f t="shared" si="53"/>
        <v>1</v>
      </c>
      <c r="AB336" t="b">
        <f t="shared" si="54"/>
        <v>1</v>
      </c>
    </row>
    <row r="337" spans="1:28" ht="14.4">
      <c r="A337" s="2" t="s">
        <v>179</v>
      </c>
      <c r="B337" s="2" t="s">
        <v>28</v>
      </c>
      <c r="C337" s="2" t="s">
        <v>15</v>
      </c>
      <c r="D337" s="2" t="s">
        <v>65</v>
      </c>
      <c r="E337" s="2" t="s">
        <v>19</v>
      </c>
      <c r="F337" s="2" t="s">
        <v>10</v>
      </c>
      <c r="G337" s="2" t="s">
        <v>13</v>
      </c>
      <c r="H337" s="2" t="s">
        <v>12</v>
      </c>
      <c r="I337" s="2" t="s">
        <v>17</v>
      </c>
      <c r="J337" t="b">
        <f t="shared" si="46"/>
        <v>1</v>
      </c>
      <c r="K337" s="8" t="s">
        <v>179</v>
      </c>
      <c r="L337" s="9" t="s">
        <v>28</v>
      </c>
      <c r="M337" s="9" t="s">
        <v>15</v>
      </c>
      <c r="N337" s="9" t="s">
        <v>65</v>
      </c>
      <c r="O337" s="9" t="s">
        <v>19</v>
      </c>
      <c r="P337" s="9" t="s">
        <v>10</v>
      </c>
      <c r="Q337" s="9" t="s">
        <v>13</v>
      </c>
      <c r="R337" s="9" t="s">
        <v>12</v>
      </c>
      <c r="S337" s="9" t="s">
        <v>17</v>
      </c>
      <c r="U337" t="b">
        <f t="shared" si="47"/>
        <v>1</v>
      </c>
      <c r="V337" t="b">
        <f t="shared" si="48"/>
        <v>1</v>
      </c>
      <c r="W337" t="b">
        <f t="shared" si="49"/>
        <v>1</v>
      </c>
      <c r="X337" t="b">
        <f t="shared" si="50"/>
        <v>1</v>
      </c>
      <c r="Y337" t="b">
        <f t="shared" si="51"/>
        <v>1</v>
      </c>
      <c r="Z337" t="b">
        <f t="shared" si="52"/>
        <v>1</v>
      </c>
      <c r="AA337" t="b">
        <f t="shared" si="53"/>
        <v>1</v>
      </c>
      <c r="AB337" t="b">
        <f t="shared" si="54"/>
        <v>1</v>
      </c>
    </row>
    <row r="338" spans="1:28" ht="14.4">
      <c r="A338" s="2" t="s">
        <v>178</v>
      </c>
      <c r="B338" s="2" t="s">
        <v>28</v>
      </c>
      <c r="C338" s="2" t="s">
        <v>15</v>
      </c>
      <c r="D338" s="2" t="s">
        <v>65</v>
      </c>
      <c r="E338" s="2" t="s">
        <v>19</v>
      </c>
      <c r="F338" s="2" t="s">
        <v>10</v>
      </c>
      <c r="G338" s="2" t="s">
        <v>13</v>
      </c>
      <c r="H338" s="2" t="s">
        <v>16</v>
      </c>
      <c r="I338" s="2" t="s">
        <v>12</v>
      </c>
      <c r="J338" t="b">
        <f t="shared" si="46"/>
        <v>1</v>
      </c>
      <c r="K338" s="6" t="s">
        <v>178</v>
      </c>
      <c r="L338" s="7" t="s">
        <v>28</v>
      </c>
      <c r="M338" s="7" t="s">
        <v>15</v>
      </c>
      <c r="N338" s="7" t="s">
        <v>65</v>
      </c>
      <c r="O338" s="7" t="s">
        <v>19</v>
      </c>
      <c r="P338" s="7" t="s">
        <v>10</v>
      </c>
      <c r="Q338" s="7" t="s">
        <v>13</v>
      </c>
      <c r="R338" s="7" t="s">
        <v>16</v>
      </c>
      <c r="S338" s="7" t="s">
        <v>12</v>
      </c>
      <c r="U338" t="b">
        <f t="shared" si="47"/>
        <v>1</v>
      </c>
      <c r="V338" t="b">
        <f t="shared" si="48"/>
        <v>1</v>
      </c>
      <c r="W338" t="b">
        <f t="shared" si="49"/>
        <v>1</v>
      </c>
      <c r="X338" t="b">
        <f t="shared" si="50"/>
        <v>1</v>
      </c>
      <c r="Y338" t="b">
        <f t="shared" si="51"/>
        <v>1</v>
      </c>
      <c r="Z338" t="b">
        <f t="shared" si="52"/>
        <v>1</v>
      </c>
      <c r="AA338" t="b">
        <f t="shared" si="53"/>
        <v>1</v>
      </c>
      <c r="AB338" t="b">
        <f t="shared" si="54"/>
        <v>1</v>
      </c>
    </row>
    <row r="339" spans="1:28" ht="14.4">
      <c r="A339" s="2" t="s">
        <v>177</v>
      </c>
      <c r="B339" s="2" t="s">
        <v>28</v>
      </c>
      <c r="C339" s="2" t="s">
        <v>15</v>
      </c>
      <c r="D339" s="2" t="s">
        <v>65</v>
      </c>
      <c r="E339" s="2" t="s">
        <v>19</v>
      </c>
      <c r="F339" s="2" t="s">
        <v>11</v>
      </c>
      <c r="G339" s="2" t="s">
        <v>13</v>
      </c>
      <c r="H339" s="2" t="s">
        <v>10</v>
      </c>
      <c r="I339" s="2" t="s">
        <v>17</v>
      </c>
      <c r="J339" t="b">
        <f t="shared" si="46"/>
        <v>1</v>
      </c>
      <c r="K339" s="8" t="s">
        <v>177</v>
      </c>
      <c r="L339" s="9" t="s">
        <v>28</v>
      </c>
      <c r="M339" s="9" t="s">
        <v>15</v>
      </c>
      <c r="N339" s="9" t="s">
        <v>65</v>
      </c>
      <c r="O339" s="9" t="s">
        <v>19</v>
      </c>
      <c r="P339" s="9" t="s">
        <v>11</v>
      </c>
      <c r="Q339" s="9" t="s">
        <v>13</v>
      </c>
      <c r="R339" s="9" t="s">
        <v>10</v>
      </c>
      <c r="S339" s="9" t="s">
        <v>17</v>
      </c>
      <c r="U339" t="b">
        <f t="shared" si="47"/>
        <v>1</v>
      </c>
      <c r="V339" t="b">
        <f t="shared" si="48"/>
        <v>1</v>
      </c>
      <c r="W339" t="b">
        <f t="shared" si="49"/>
        <v>1</v>
      </c>
      <c r="X339" t="b">
        <f t="shared" si="50"/>
        <v>1</v>
      </c>
      <c r="Y339" t="b">
        <f t="shared" si="51"/>
        <v>1</v>
      </c>
      <c r="Z339" t="b">
        <f t="shared" si="52"/>
        <v>1</v>
      </c>
      <c r="AA339" t="b">
        <f t="shared" si="53"/>
        <v>1</v>
      </c>
      <c r="AB339" t="b">
        <f t="shared" si="54"/>
        <v>1</v>
      </c>
    </row>
    <row r="340" spans="1:28" ht="14.4">
      <c r="A340" s="2" t="s">
        <v>176</v>
      </c>
      <c r="B340" s="2" t="s">
        <v>28</v>
      </c>
      <c r="C340" s="2" t="s">
        <v>15</v>
      </c>
      <c r="D340" s="2" t="s">
        <v>65</v>
      </c>
      <c r="E340" s="2" t="s">
        <v>19</v>
      </c>
      <c r="F340" s="2" t="s">
        <v>11</v>
      </c>
      <c r="G340" s="2" t="s">
        <v>13</v>
      </c>
      <c r="H340" s="2" t="s">
        <v>16</v>
      </c>
      <c r="I340" s="2" t="s">
        <v>10</v>
      </c>
      <c r="J340" t="b">
        <f t="shared" si="46"/>
        <v>1</v>
      </c>
      <c r="K340" s="6" t="s">
        <v>176</v>
      </c>
      <c r="L340" s="7" t="s">
        <v>28</v>
      </c>
      <c r="M340" s="7" t="s">
        <v>15</v>
      </c>
      <c r="N340" s="7" t="s">
        <v>65</v>
      </c>
      <c r="O340" s="7" t="s">
        <v>19</v>
      </c>
      <c r="P340" s="7" t="s">
        <v>11</v>
      </c>
      <c r="Q340" s="7" t="s">
        <v>13</v>
      </c>
      <c r="R340" s="7" t="s">
        <v>16</v>
      </c>
      <c r="S340" s="7" t="s">
        <v>10</v>
      </c>
      <c r="U340" t="b">
        <f t="shared" si="47"/>
        <v>1</v>
      </c>
      <c r="V340" t="b">
        <f t="shared" si="48"/>
        <v>1</v>
      </c>
      <c r="W340" t="b">
        <f t="shared" si="49"/>
        <v>1</v>
      </c>
      <c r="X340" t="b">
        <f t="shared" si="50"/>
        <v>1</v>
      </c>
      <c r="Y340" t="b">
        <f t="shared" si="51"/>
        <v>1</v>
      </c>
      <c r="Z340" t="b">
        <f t="shared" si="52"/>
        <v>1</v>
      </c>
      <c r="AA340" t="b">
        <f t="shared" si="53"/>
        <v>1</v>
      </c>
      <c r="AB340" t="b">
        <f t="shared" si="54"/>
        <v>1</v>
      </c>
    </row>
    <row r="341" spans="1:28" ht="14.4">
      <c r="A341" s="2" t="s">
        <v>175</v>
      </c>
      <c r="B341" s="2" t="s">
        <v>28</v>
      </c>
      <c r="C341" s="2" t="s">
        <v>15</v>
      </c>
      <c r="D341" s="2" t="s">
        <v>65</v>
      </c>
      <c r="E341" s="2" t="s">
        <v>19</v>
      </c>
      <c r="F341" s="2" t="s">
        <v>10</v>
      </c>
      <c r="G341" s="2" t="s">
        <v>13</v>
      </c>
      <c r="H341" s="2" t="s">
        <v>16</v>
      </c>
      <c r="I341" s="2" t="s">
        <v>17</v>
      </c>
      <c r="J341" t="b">
        <f t="shared" si="46"/>
        <v>1</v>
      </c>
      <c r="K341" s="8" t="s">
        <v>175</v>
      </c>
      <c r="L341" s="9" t="s">
        <v>28</v>
      </c>
      <c r="M341" s="9" t="s">
        <v>15</v>
      </c>
      <c r="N341" s="9" t="s">
        <v>65</v>
      </c>
      <c r="O341" s="9" t="s">
        <v>19</v>
      </c>
      <c r="P341" s="9" t="s">
        <v>10</v>
      </c>
      <c r="Q341" s="9" t="s">
        <v>13</v>
      </c>
      <c r="R341" s="9" t="s">
        <v>16</v>
      </c>
      <c r="S341" s="9" t="s">
        <v>17</v>
      </c>
      <c r="U341" t="b">
        <f t="shared" si="47"/>
        <v>1</v>
      </c>
      <c r="V341" t="b">
        <f t="shared" si="48"/>
        <v>1</v>
      </c>
      <c r="W341" t="b">
        <f t="shared" si="49"/>
        <v>1</v>
      </c>
      <c r="X341" t="b">
        <f t="shared" si="50"/>
        <v>1</v>
      </c>
      <c r="Y341" t="b">
        <f t="shared" si="51"/>
        <v>1</v>
      </c>
      <c r="Z341" t="b">
        <f t="shared" si="52"/>
        <v>1</v>
      </c>
      <c r="AA341" t="b">
        <f t="shared" si="53"/>
        <v>1</v>
      </c>
      <c r="AB341" t="b">
        <f t="shared" si="54"/>
        <v>1</v>
      </c>
    </row>
    <row r="342" spans="1:28" ht="14.4">
      <c r="A342" s="2" t="s">
        <v>174</v>
      </c>
      <c r="B342" s="2" t="s">
        <v>28</v>
      </c>
      <c r="C342" s="2" t="s">
        <v>11</v>
      </c>
      <c r="D342" s="2" t="s">
        <v>65</v>
      </c>
      <c r="E342" s="2" t="s">
        <v>19</v>
      </c>
      <c r="F342" s="2" t="s">
        <v>14</v>
      </c>
      <c r="G342" s="2" t="s">
        <v>13</v>
      </c>
      <c r="H342" s="2" t="s">
        <v>10</v>
      </c>
      <c r="I342" s="2" t="s">
        <v>12</v>
      </c>
      <c r="J342" t="b">
        <f t="shared" si="46"/>
        <v>1</v>
      </c>
      <c r="K342" s="6" t="s">
        <v>174</v>
      </c>
      <c r="L342" s="7" t="s">
        <v>28</v>
      </c>
      <c r="M342" s="7" t="s">
        <v>11</v>
      </c>
      <c r="N342" s="7" t="s">
        <v>65</v>
      </c>
      <c r="O342" s="7" t="s">
        <v>19</v>
      </c>
      <c r="P342" s="7" t="s">
        <v>14</v>
      </c>
      <c r="Q342" s="7" t="s">
        <v>13</v>
      </c>
      <c r="R342" s="7" t="s">
        <v>10</v>
      </c>
      <c r="S342" s="7" t="s">
        <v>12</v>
      </c>
      <c r="U342" t="b">
        <f t="shared" si="47"/>
        <v>1</v>
      </c>
      <c r="V342" t="b">
        <f t="shared" si="48"/>
        <v>1</v>
      </c>
      <c r="W342" t="b">
        <f t="shared" si="49"/>
        <v>1</v>
      </c>
      <c r="X342" t="b">
        <f t="shared" si="50"/>
        <v>1</v>
      </c>
      <c r="Y342" t="b">
        <f t="shared" si="51"/>
        <v>1</v>
      </c>
      <c r="Z342" t="b">
        <f t="shared" si="52"/>
        <v>1</v>
      </c>
      <c r="AA342" t="b">
        <f t="shared" si="53"/>
        <v>1</v>
      </c>
      <c r="AB342" t="b">
        <f t="shared" si="54"/>
        <v>1</v>
      </c>
    </row>
    <row r="343" spans="1:28" ht="14.4">
      <c r="A343" s="2" t="s">
        <v>173</v>
      </c>
      <c r="B343" s="2" t="s">
        <v>28</v>
      </c>
      <c r="C343" s="2" t="s">
        <v>10</v>
      </c>
      <c r="D343" s="2" t="s">
        <v>65</v>
      </c>
      <c r="E343" s="2" t="s">
        <v>19</v>
      </c>
      <c r="F343" s="2" t="s">
        <v>14</v>
      </c>
      <c r="G343" s="2" t="s">
        <v>13</v>
      </c>
      <c r="H343" s="2" t="s">
        <v>12</v>
      </c>
      <c r="I343" s="2" t="s">
        <v>17</v>
      </c>
      <c r="J343" t="b">
        <f t="shared" si="46"/>
        <v>1</v>
      </c>
      <c r="K343" s="8" t="s">
        <v>173</v>
      </c>
      <c r="L343" s="9" t="s">
        <v>28</v>
      </c>
      <c r="M343" s="9" t="s">
        <v>10</v>
      </c>
      <c r="N343" s="9" t="s">
        <v>65</v>
      </c>
      <c r="O343" s="9" t="s">
        <v>19</v>
      </c>
      <c r="P343" s="9" t="s">
        <v>14</v>
      </c>
      <c r="Q343" s="9" t="s">
        <v>13</v>
      </c>
      <c r="R343" s="9" t="s">
        <v>12</v>
      </c>
      <c r="S343" s="9" t="s">
        <v>17</v>
      </c>
      <c r="U343" t="b">
        <f t="shared" si="47"/>
        <v>1</v>
      </c>
      <c r="V343" t="b">
        <f t="shared" si="48"/>
        <v>1</v>
      </c>
      <c r="W343" t="b">
        <f t="shared" si="49"/>
        <v>1</v>
      </c>
      <c r="X343" t="b">
        <f t="shared" si="50"/>
        <v>1</v>
      </c>
      <c r="Y343" t="b">
        <f t="shared" si="51"/>
        <v>1</v>
      </c>
      <c r="Z343" t="b">
        <f t="shared" si="52"/>
        <v>1</v>
      </c>
      <c r="AA343" t="b">
        <f t="shared" si="53"/>
        <v>1</v>
      </c>
      <c r="AB343" t="b">
        <f t="shared" si="54"/>
        <v>1</v>
      </c>
    </row>
    <row r="344" spans="1:28" ht="14.4">
      <c r="A344" s="2" t="s">
        <v>172</v>
      </c>
      <c r="B344" s="2" t="s">
        <v>28</v>
      </c>
      <c r="C344" s="2" t="s">
        <v>10</v>
      </c>
      <c r="D344" s="2" t="s">
        <v>65</v>
      </c>
      <c r="E344" s="2" t="s">
        <v>19</v>
      </c>
      <c r="F344" s="2" t="s">
        <v>14</v>
      </c>
      <c r="G344" s="2" t="s">
        <v>13</v>
      </c>
      <c r="H344" s="2" t="s">
        <v>16</v>
      </c>
      <c r="I344" s="2" t="s">
        <v>12</v>
      </c>
      <c r="J344" t="b">
        <f t="shared" si="46"/>
        <v>1</v>
      </c>
      <c r="K344" s="6" t="s">
        <v>172</v>
      </c>
      <c r="L344" s="7" t="s">
        <v>28</v>
      </c>
      <c r="M344" s="7" t="s">
        <v>10</v>
      </c>
      <c r="N344" s="7" t="s">
        <v>65</v>
      </c>
      <c r="O344" s="7" t="s">
        <v>19</v>
      </c>
      <c r="P344" s="7" t="s">
        <v>14</v>
      </c>
      <c r="Q344" s="7" t="s">
        <v>13</v>
      </c>
      <c r="R344" s="7" t="s">
        <v>16</v>
      </c>
      <c r="S344" s="7" t="s">
        <v>12</v>
      </c>
      <c r="U344" t="b">
        <f t="shared" si="47"/>
        <v>1</v>
      </c>
      <c r="V344" t="b">
        <f t="shared" si="48"/>
        <v>1</v>
      </c>
      <c r="W344" t="b">
        <f t="shared" si="49"/>
        <v>1</v>
      </c>
      <c r="X344" t="b">
        <f t="shared" si="50"/>
        <v>1</v>
      </c>
      <c r="Y344" t="b">
        <f t="shared" si="51"/>
        <v>1</v>
      </c>
      <c r="Z344" t="b">
        <f t="shared" si="52"/>
        <v>1</v>
      </c>
      <c r="AA344" t="b">
        <f t="shared" si="53"/>
        <v>1</v>
      </c>
      <c r="AB344" t="b">
        <f t="shared" si="54"/>
        <v>1</v>
      </c>
    </row>
    <row r="345" spans="1:28" ht="14.4">
      <c r="A345" s="2" t="s">
        <v>171</v>
      </c>
      <c r="B345" s="2" t="s">
        <v>28</v>
      </c>
      <c r="C345" s="2" t="s">
        <v>11</v>
      </c>
      <c r="D345" s="2" t="s">
        <v>65</v>
      </c>
      <c r="E345" s="2" t="s">
        <v>19</v>
      </c>
      <c r="F345" s="2" t="s">
        <v>14</v>
      </c>
      <c r="G345" s="2" t="s">
        <v>13</v>
      </c>
      <c r="H345" s="2" t="s">
        <v>10</v>
      </c>
      <c r="I345" s="2" t="s">
        <v>17</v>
      </c>
      <c r="J345" t="b">
        <f t="shared" si="46"/>
        <v>1</v>
      </c>
      <c r="K345" s="8" t="s">
        <v>171</v>
      </c>
      <c r="L345" s="9" t="s">
        <v>28</v>
      </c>
      <c r="M345" s="9" t="s">
        <v>11</v>
      </c>
      <c r="N345" s="9" t="s">
        <v>65</v>
      </c>
      <c r="O345" s="9" t="s">
        <v>19</v>
      </c>
      <c r="P345" s="9" t="s">
        <v>14</v>
      </c>
      <c r="Q345" s="9" t="s">
        <v>13</v>
      </c>
      <c r="R345" s="9" t="s">
        <v>10</v>
      </c>
      <c r="S345" s="9" t="s">
        <v>17</v>
      </c>
      <c r="U345" t="b">
        <f t="shared" si="47"/>
        <v>1</v>
      </c>
      <c r="V345" t="b">
        <f t="shared" si="48"/>
        <v>1</v>
      </c>
      <c r="W345" t="b">
        <f t="shared" si="49"/>
        <v>1</v>
      </c>
      <c r="X345" t="b">
        <f t="shared" si="50"/>
        <v>1</v>
      </c>
      <c r="Y345" t="b">
        <f t="shared" si="51"/>
        <v>1</v>
      </c>
      <c r="Z345" t="b">
        <f t="shared" si="52"/>
        <v>1</v>
      </c>
      <c r="AA345" t="b">
        <f t="shared" si="53"/>
        <v>1</v>
      </c>
      <c r="AB345" t="b">
        <f t="shared" si="54"/>
        <v>1</v>
      </c>
    </row>
    <row r="346" spans="1:28" ht="14.4">
      <c r="A346" s="2" t="s">
        <v>170</v>
      </c>
      <c r="B346" s="2" t="s">
        <v>28</v>
      </c>
      <c r="C346" s="2" t="s">
        <v>11</v>
      </c>
      <c r="D346" s="2" t="s">
        <v>65</v>
      </c>
      <c r="E346" s="2" t="s">
        <v>19</v>
      </c>
      <c r="F346" s="2" t="s">
        <v>14</v>
      </c>
      <c r="G346" s="2" t="s">
        <v>13</v>
      </c>
      <c r="H346" s="2" t="s">
        <v>16</v>
      </c>
      <c r="I346" s="2" t="s">
        <v>10</v>
      </c>
      <c r="J346" t="b">
        <f t="shared" si="46"/>
        <v>1</v>
      </c>
      <c r="K346" s="6" t="s">
        <v>170</v>
      </c>
      <c r="L346" s="7" t="s">
        <v>28</v>
      </c>
      <c r="M346" s="7" t="s">
        <v>11</v>
      </c>
      <c r="N346" s="7" t="s">
        <v>65</v>
      </c>
      <c r="O346" s="7" t="s">
        <v>19</v>
      </c>
      <c r="P346" s="7" t="s">
        <v>14</v>
      </c>
      <c r="Q346" s="7" t="s">
        <v>13</v>
      </c>
      <c r="R346" s="7" t="s">
        <v>16</v>
      </c>
      <c r="S346" s="7" t="s">
        <v>10</v>
      </c>
      <c r="U346" t="b">
        <f t="shared" si="47"/>
        <v>1</v>
      </c>
      <c r="V346" t="b">
        <f t="shared" si="48"/>
        <v>1</v>
      </c>
      <c r="W346" t="b">
        <f t="shared" si="49"/>
        <v>1</v>
      </c>
      <c r="X346" t="b">
        <f t="shared" si="50"/>
        <v>1</v>
      </c>
      <c r="Y346" t="b">
        <f t="shared" si="51"/>
        <v>1</v>
      </c>
      <c r="Z346" t="b">
        <f t="shared" si="52"/>
        <v>1</v>
      </c>
      <c r="AA346" t="b">
        <f t="shared" si="53"/>
        <v>1</v>
      </c>
      <c r="AB346" t="b">
        <f t="shared" si="54"/>
        <v>1</v>
      </c>
    </row>
    <row r="347" spans="1:28" ht="14.4">
      <c r="A347" s="2" t="s">
        <v>169</v>
      </c>
      <c r="B347" s="2" t="s">
        <v>28</v>
      </c>
      <c r="C347" s="2" t="s">
        <v>10</v>
      </c>
      <c r="D347" s="2" t="s">
        <v>65</v>
      </c>
      <c r="E347" s="2" t="s">
        <v>19</v>
      </c>
      <c r="F347" s="2" t="s">
        <v>14</v>
      </c>
      <c r="G347" s="2" t="s">
        <v>13</v>
      </c>
      <c r="H347" s="2" t="s">
        <v>16</v>
      </c>
      <c r="I347" s="2" t="s">
        <v>17</v>
      </c>
      <c r="J347" t="b">
        <f t="shared" si="46"/>
        <v>1</v>
      </c>
      <c r="K347" s="8" t="s">
        <v>169</v>
      </c>
      <c r="L347" s="9" t="s">
        <v>28</v>
      </c>
      <c r="M347" s="9" t="s">
        <v>10</v>
      </c>
      <c r="N347" s="9" t="s">
        <v>65</v>
      </c>
      <c r="O347" s="9" t="s">
        <v>19</v>
      </c>
      <c r="P347" s="9" t="s">
        <v>14</v>
      </c>
      <c r="Q347" s="9" t="s">
        <v>13</v>
      </c>
      <c r="R347" s="9" t="s">
        <v>16</v>
      </c>
      <c r="S347" s="9" t="s">
        <v>17</v>
      </c>
      <c r="U347" t="b">
        <f t="shared" si="47"/>
        <v>1</v>
      </c>
      <c r="V347" t="b">
        <f t="shared" si="48"/>
        <v>1</v>
      </c>
      <c r="W347" t="b">
        <f t="shared" si="49"/>
        <v>1</v>
      </c>
      <c r="X347" t="b">
        <f t="shared" si="50"/>
        <v>1</v>
      </c>
      <c r="Y347" t="b">
        <f t="shared" si="51"/>
        <v>1</v>
      </c>
      <c r="Z347" t="b">
        <f t="shared" si="52"/>
        <v>1</v>
      </c>
      <c r="AA347" t="b">
        <f t="shared" si="53"/>
        <v>1</v>
      </c>
      <c r="AB347" t="b">
        <f t="shared" si="54"/>
        <v>1</v>
      </c>
    </row>
    <row r="348" spans="1:28" ht="14.4">
      <c r="A348" s="2" t="s">
        <v>168</v>
      </c>
      <c r="B348" s="2" t="s">
        <v>28</v>
      </c>
      <c r="C348" s="2" t="s">
        <v>11</v>
      </c>
      <c r="D348" s="2" t="s">
        <v>65</v>
      </c>
      <c r="E348" s="2" t="s">
        <v>19</v>
      </c>
      <c r="F348" s="2" t="s">
        <v>10</v>
      </c>
      <c r="G348" s="2" t="s">
        <v>13</v>
      </c>
      <c r="H348" s="2" t="s">
        <v>12</v>
      </c>
      <c r="I348" s="2" t="s">
        <v>17</v>
      </c>
      <c r="J348" t="b">
        <f t="shared" si="46"/>
        <v>1</v>
      </c>
      <c r="K348" s="6" t="s">
        <v>168</v>
      </c>
      <c r="L348" s="7" t="s">
        <v>28</v>
      </c>
      <c r="M348" s="7" t="s">
        <v>11</v>
      </c>
      <c r="N348" s="7" t="s">
        <v>65</v>
      </c>
      <c r="O348" s="7" t="s">
        <v>19</v>
      </c>
      <c r="P348" s="7" t="s">
        <v>10</v>
      </c>
      <c r="Q348" s="7" t="s">
        <v>13</v>
      </c>
      <c r="R348" s="7" t="s">
        <v>12</v>
      </c>
      <c r="S348" s="7" t="s">
        <v>17</v>
      </c>
      <c r="U348" t="b">
        <f t="shared" si="47"/>
        <v>1</v>
      </c>
      <c r="V348" t="b">
        <f t="shared" si="48"/>
        <v>1</v>
      </c>
      <c r="W348" t="b">
        <f t="shared" si="49"/>
        <v>1</v>
      </c>
      <c r="X348" t="b">
        <f t="shared" si="50"/>
        <v>1</v>
      </c>
      <c r="Y348" t="b">
        <f t="shared" si="51"/>
        <v>1</v>
      </c>
      <c r="Z348" t="b">
        <f t="shared" si="52"/>
        <v>1</v>
      </c>
      <c r="AA348" t="b">
        <f t="shared" si="53"/>
        <v>1</v>
      </c>
      <c r="AB348" t="b">
        <f t="shared" si="54"/>
        <v>1</v>
      </c>
    </row>
    <row r="349" spans="1:28" ht="14.4">
      <c r="A349" s="2" t="s">
        <v>167</v>
      </c>
      <c r="B349" s="2" t="s">
        <v>28</v>
      </c>
      <c r="C349" s="2" t="s">
        <v>11</v>
      </c>
      <c r="D349" s="2" t="s">
        <v>65</v>
      </c>
      <c r="E349" s="2" t="s">
        <v>19</v>
      </c>
      <c r="F349" s="2" t="s">
        <v>10</v>
      </c>
      <c r="G349" s="2" t="s">
        <v>13</v>
      </c>
      <c r="H349" s="2" t="s">
        <v>16</v>
      </c>
      <c r="I349" s="2" t="s">
        <v>12</v>
      </c>
      <c r="J349" t="b">
        <f t="shared" si="46"/>
        <v>1</v>
      </c>
      <c r="K349" s="8" t="s">
        <v>167</v>
      </c>
      <c r="L349" s="9" t="s">
        <v>28</v>
      </c>
      <c r="M349" s="9" t="s">
        <v>11</v>
      </c>
      <c r="N349" s="9" t="s">
        <v>65</v>
      </c>
      <c r="O349" s="9" t="s">
        <v>19</v>
      </c>
      <c r="P349" s="9" t="s">
        <v>10</v>
      </c>
      <c r="Q349" s="9" t="s">
        <v>13</v>
      </c>
      <c r="R349" s="9" t="s">
        <v>16</v>
      </c>
      <c r="S349" s="9" t="s">
        <v>12</v>
      </c>
      <c r="U349" t="b">
        <f t="shared" si="47"/>
        <v>1</v>
      </c>
      <c r="V349" t="b">
        <f t="shared" si="48"/>
        <v>1</v>
      </c>
      <c r="W349" t="b">
        <f t="shared" si="49"/>
        <v>1</v>
      </c>
      <c r="X349" t="b">
        <f t="shared" si="50"/>
        <v>1</v>
      </c>
      <c r="Y349" t="b">
        <f t="shared" si="51"/>
        <v>1</v>
      </c>
      <c r="Z349" t="b">
        <f t="shared" si="52"/>
        <v>1</v>
      </c>
      <c r="AA349" t="b">
        <f t="shared" si="53"/>
        <v>1</v>
      </c>
      <c r="AB349" t="b">
        <f t="shared" si="54"/>
        <v>1</v>
      </c>
    </row>
    <row r="350" spans="1:28" ht="14.4" hidden="1">
      <c r="A350" s="2" t="s">
        <v>166</v>
      </c>
      <c r="B350" s="2" t="s">
        <v>28</v>
      </c>
      <c r="C350" s="2" t="s">
        <v>10</v>
      </c>
      <c r="D350" s="2" t="s">
        <v>65</v>
      </c>
      <c r="E350" s="2" t="s">
        <v>19</v>
      </c>
      <c r="F350" s="2" t="s">
        <v>12</v>
      </c>
      <c r="G350" s="2" t="s">
        <v>13</v>
      </c>
      <c r="H350" s="2" t="s">
        <v>16</v>
      </c>
      <c r="I350" s="2" t="s">
        <v>17</v>
      </c>
      <c r="J350" t="b">
        <f t="shared" si="46"/>
        <v>1</v>
      </c>
      <c r="K350" s="6" t="s">
        <v>166</v>
      </c>
      <c r="L350" s="7" t="s">
        <v>14</v>
      </c>
      <c r="M350" s="7" t="s">
        <v>15</v>
      </c>
      <c r="N350" s="7" t="s">
        <v>65</v>
      </c>
      <c r="O350" s="7" t="s">
        <v>28</v>
      </c>
      <c r="P350" s="7" t="s">
        <v>186</v>
      </c>
      <c r="Q350" s="7" t="s">
        <v>13</v>
      </c>
      <c r="R350" s="7" t="s">
        <v>19</v>
      </c>
      <c r="S350" s="7" t="s">
        <v>10</v>
      </c>
      <c r="U350" t="b">
        <f t="shared" si="47"/>
        <v>0</v>
      </c>
      <c r="V350" t="b">
        <f t="shared" si="48"/>
        <v>0</v>
      </c>
      <c r="W350" t="b">
        <f t="shared" si="49"/>
        <v>1</v>
      </c>
      <c r="X350" t="b">
        <f t="shared" si="50"/>
        <v>0</v>
      </c>
      <c r="Y350" t="b">
        <f t="shared" si="51"/>
        <v>0</v>
      </c>
      <c r="Z350" t="b">
        <f t="shared" si="52"/>
        <v>1</v>
      </c>
      <c r="AA350" t="b">
        <f t="shared" si="53"/>
        <v>0</v>
      </c>
      <c r="AB350" t="b">
        <f t="shared" si="54"/>
        <v>0</v>
      </c>
    </row>
    <row r="351" spans="1:28" ht="14.4">
      <c r="A351" s="2" t="s">
        <v>165</v>
      </c>
      <c r="B351" s="2" t="s">
        <v>28</v>
      </c>
      <c r="C351" s="2" t="s">
        <v>11</v>
      </c>
      <c r="D351" s="2" t="s">
        <v>65</v>
      </c>
      <c r="E351" s="2" t="s">
        <v>19</v>
      </c>
      <c r="F351" s="2" t="s">
        <v>10</v>
      </c>
      <c r="G351" s="2" t="s">
        <v>13</v>
      </c>
      <c r="H351" s="2" t="s">
        <v>16</v>
      </c>
      <c r="I351" s="2" t="s">
        <v>17</v>
      </c>
      <c r="J351" t="b">
        <f t="shared" si="46"/>
        <v>1</v>
      </c>
      <c r="K351" s="8" t="s">
        <v>165</v>
      </c>
      <c r="L351" s="9" t="s">
        <v>28</v>
      </c>
      <c r="M351" s="9" t="s">
        <v>11</v>
      </c>
      <c r="N351" s="9" t="s">
        <v>65</v>
      </c>
      <c r="O351" s="9" t="s">
        <v>19</v>
      </c>
      <c r="P351" s="9" t="s">
        <v>10</v>
      </c>
      <c r="Q351" s="9" t="s">
        <v>13</v>
      </c>
      <c r="R351" s="9" t="s">
        <v>16</v>
      </c>
      <c r="S351" s="9" t="s">
        <v>17</v>
      </c>
      <c r="U351" t="b">
        <f t="shared" si="47"/>
        <v>1</v>
      </c>
      <c r="V351" t="b">
        <f t="shared" si="48"/>
        <v>1</v>
      </c>
      <c r="W351" t="b">
        <f t="shared" si="49"/>
        <v>1</v>
      </c>
      <c r="X351" t="b">
        <f t="shared" si="50"/>
        <v>1</v>
      </c>
      <c r="Y351" t="b">
        <f t="shared" si="51"/>
        <v>1</v>
      </c>
      <c r="Z351" t="b">
        <f t="shared" si="52"/>
        <v>1</v>
      </c>
      <c r="AA351" t="b">
        <f t="shared" si="53"/>
        <v>1</v>
      </c>
      <c r="AB351" t="b">
        <f t="shared" si="54"/>
        <v>1</v>
      </c>
    </row>
    <row r="352" spans="1:28" ht="14.4">
      <c r="A352" s="2" t="s">
        <v>164</v>
      </c>
      <c r="B352" s="2" t="s">
        <v>14</v>
      </c>
      <c r="C352" s="2" t="s">
        <v>15</v>
      </c>
      <c r="D352" s="2" t="s">
        <v>65</v>
      </c>
      <c r="E352" s="2" t="s">
        <v>28</v>
      </c>
      <c r="F352" s="2" t="s">
        <v>11</v>
      </c>
      <c r="G352" s="2" t="s">
        <v>19</v>
      </c>
      <c r="H352" s="2" t="s">
        <v>10</v>
      </c>
      <c r="I352" s="2" t="s">
        <v>12</v>
      </c>
      <c r="J352" t="b">
        <f t="shared" si="46"/>
        <v>1</v>
      </c>
      <c r="K352" s="6" t="s">
        <v>164</v>
      </c>
      <c r="L352" s="7" t="s">
        <v>14</v>
      </c>
      <c r="M352" s="7" t="s">
        <v>15</v>
      </c>
      <c r="N352" s="7" t="s">
        <v>65</v>
      </c>
      <c r="O352" s="7" t="s">
        <v>28</v>
      </c>
      <c r="P352" s="7" t="s">
        <v>11</v>
      </c>
      <c r="Q352" s="7" t="s">
        <v>19</v>
      </c>
      <c r="R352" s="7" t="s">
        <v>10</v>
      </c>
      <c r="S352" s="7" t="s">
        <v>12</v>
      </c>
      <c r="U352" t="b">
        <f t="shared" si="47"/>
        <v>1</v>
      </c>
      <c r="V352" t="b">
        <f t="shared" si="48"/>
        <v>1</v>
      </c>
      <c r="W352" t="b">
        <f t="shared" si="49"/>
        <v>1</v>
      </c>
      <c r="X352" t="b">
        <f t="shared" si="50"/>
        <v>1</v>
      </c>
      <c r="Y352" t="b">
        <f t="shared" si="51"/>
        <v>1</v>
      </c>
      <c r="Z352" t="b">
        <f t="shared" si="52"/>
        <v>1</v>
      </c>
      <c r="AA352" t="b">
        <f t="shared" si="53"/>
        <v>1</v>
      </c>
      <c r="AB352" t="b">
        <f t="shared" si="54"/>
        <v>1</v>
      </c>
    </row>
    <row r="353" spans="1:28" ht="14.4">
      <c r="A353" s="2" t="s">
        <v>163</v>
      </c>
      <c r="B353" s="2" t="s">
        <v>10</v>
      </c>
      <c r="C353" s="2" t="s">
        <v>15</v>
      </c>
      <c r="D353" s="2" t="s">
        <v>65</v>
      </c>
      <c r="E353" s="2" t="s">
        <v>28</v>
      </c>
      <c r="F353" s="2" t="s">
        <v>14</v>
      </c>
      <c r="G353" s="2" t="s">
        <v>19</v>
      </c>
      <c r="H353" s="2" t="s">
        <v>12</v>
      </c>
      <c r="I353" s="2" t="s">
        <v>17</v>
      </c>
      <c r="J353" t="b">
        <f t="shared" si="46"/>
        <v>1</v>
      </c>
      <c r="K353" s="8" t="s">
        <v>163</v>
      </c>
      <c r="L353" s="9" t="s">
        <v>10</v>
      </c>
      <c r="M353" s="9" t="s">
        <v>15</v>
      </c>
      <c r="N353" s="9" t="s">
        <v>65</v>
      </c>
      <c r="O353" s="9" t="s">
        <v>28</v>
      </c>
      <c r="P353" s="9" t="s">
        <v>14</v>
      </c>
      <c r="Q353" s="9" t="s">
        <v>19</v>
      </c>
      <c r="R353" s="9" t="s">
        <v>12</v>
      </c>
      <c r="S353" s="9" t="s">
        <v>17</v>
      </c>
      <c r="U353" t="b">
        <f t="shared" si="47"/>
        <v>1</v>
      </c>
      <c r="V353" t="b">
        <f t="shared" si="48"/>
        <v>1</v>
      </c>
      <c r="W353" t="b">
        <f t="shared" si="49"/>
        <v>1</v>
      </c>
      <c r="X353" t="b">
        <f t="shared" si="50"/>
        <v>1</v>
      </c>
      <c r="Y353" t="b">
        <f t="shared" si="51"/>
        <v>1</v>
      </c>
      <c r="Z353" t="b">
        <f t="shared" si="52"/>
        <v>1</v>
      </c>
      <c r="AA353" t="b">
        <f t="shared" si="53"/>
        <v>1</v>
      </c>
      <c r="AB353" t="b">
        <f t="shared" si="54"/>
        <v>1</v>
      </c>
    </row>
    <row r="354" spans="1:28" ht="14.4">
      <c r="A354" s="2" t="s">
        <v>162</v>
      </c>
      <c r="B354" s="2" t="s">
        <v>10</v>
      </c>
      <c r="C354" s="2" t="s">
        <v>15</v>
      </c>
      <c r="D354" s="2" t="s">
        <v>65</v>
      </c>
      <c r="E354" s="2" t="s">
        <v>28</v>
      </c>
      <c r="F354" s="2" t="s">
        <v>14</v>
      </c>
      <c r="G354" s="2" t="s">
        <v>19</v>
      </c>
      <c r="H354" s="2" t="s">
        <v>16</v>
      </c>
      <c r="I354" s="2" t="s">
        <v>12</v>
      </c>
      <c r="J354" t="b">
        <f t="shared" si="46"/>
        <v>1</v>
      </c>
      <c r="K354" s="6" t="s">
        <v>162</v>
      </c>
      <c r="L354" s="7" t="s">
        <v>10</v>
      </c>
      <c r="M354" s="7" t="s">
        <v>15</v>
      </c>
      <c r="N354" s="7" t="s">
        <v>65</v>
      </c>
      <c r="O354" s="7" t="s">
        <v>28</v>
      </c>
      <c r="P354" s="7" t="s">
        <v>14</v>
      </c>
      <c r="Q354" s="7" t="s">
        <v>19</v>
      </c>
      <c r="R354" s="7" t="s">
        <v>16</v>
      </c>
      <c r="S354" s="7" t="s">
        <v>12</v>
      </c>
      <c r="U354" t="b">
        <f t="shared" si="47"/>
        <v>1</v>
      </c>
      <c r="V354" t="b">
        <f t="shared" si="48"/>
        <v>1</v>
      </c>
      <c r="W354" t="b">
        <f t="shared" si="49"/>
        <v>1</v>
      </c>
      <c r="X354" t="b">
        <f t="shared" si="50"/>
        <v>1</v>
      </c>
      <c r="Y354" t="b">
        <f t="shared" si="51"/>
        <v>1</v>
      </c>
      <c r="Z354" t="b">
        <f t="shared" si="52"/>
        <v>1</v>
      </c>
      <c r="AA354" t="b">
        <f t="shared" si="53"/>
        <v>1</v>
      </c>
      <c r="AB354" t="b">
        <f t="shared" si="54"/>
        <v>1</v>
      </c>
    </row>
    <row r="355" spans="1:28" ht="14.4">
      <c r="A355" s="2" t="s">
        <v>161</v>
      </c>
      <c r="B355" s="2" t="s">
        <v>14</v>
      </c>
      <c r="C355" s="2" t="s">
        <v>15</v>
      </c>
      <c r="D355" s="2" t="s">
        <v>65</v>
      </c>
      <c r="E355" s="2" t="s">
        <v>28</v>
      </c>
      <c r="F355" s="2" t="s">
        <v>11</v>
      </c>
      <c r="G355" s="2" t="s">
        <v>19</v>
      </c>
      <c r="H355" s="2" t="s">
        <v>10</v>
      </c>
      <c r="I355" s="2" t="s">
        <v>17</v>
      </c>
      <c r="J355" t="b">
        <f t="shared" si="46"/>
        <v>1</v>
      </c>
      <c r="K355" s="8" t="s">
        <v>161</v>
      </c>
      <c r="L355" s="9" t="s">
        <v>14</v>
      </c>
      <c r="M355" s="9" t="s">
        <v>15</v>
      </c>
      <c r="N355" s="9" t="s">
        <v>65</v>
      </c>
      <c r="O355" s="9" t="s">
        <v>28</v>
      </c>
      <c r="P355" s="9" t="s">
        <v>11</v>
      </c>
      <c r="Q355" s="9" t="s">
        <v>19</v>
      </c>
      <c r="R355" s="9" t="s">
        <v>10</v>
      </c>
      <c r="S355" s="9" t="s">
        <v>17</v>
      </c>
      <c r="U355" t="b">
        <f t="shared" si="47"/>
        <v>1</v>
      </c>
      <c r="V355" t="b">
        <f t="shared" si="48"/>
        <v>1</v>
      </c>
      <c r="W355" t="b">
        <f t="shared" si="49"/>
        <v>1</v>
      </c>
      <c r="X355" t="b">
        <f t="shared" si="50"/>
        <v>1</v>
      </c>
      <c r="Y355" t="b">
        <f t="shared" si="51"/>
        <v>1</v>
      </c>
      <c r="Z355" t="b">
        <f t="shared" si="52"/>
        <v>1</v>
      </c>
      <c r="AA355" t="b">
        <f t="shared" si="53"/>
        <v>1</v>
      </c>
      <c r="AB355" t="b">
        <f t="shared" si="54"/>
        <v>1</v>
      </c>
    </row>
    <row r="356" spans="1:28" ht="14.4">
      <c r="A356" s="2" t="s">
        <v>160</v>
      </c>
      <c r="B356" s="2" t="s">
        <v>14</v>
      </c>
      <c r="C356" s="2" t="s">
        <v>15</v>
      </c>
      <c r="D356" s="2" t="s">
        <v>65</v>
      </c>
      <c r="E356" s="2" t="s">
        <v>28</v>
      </c>
      <c r="F356" s="2" t="s">
        <v>11</v>
      </c>
      <c r="G356" s="2" t="s">
        <v>19</v>
      </c>
      <c r="H356" s="2" t="s">
        <v>16</v>
      </c>
      <c r="I356" s="2" t="s">
        <v>10</v>
      </c>
      <c r="J356" t="b">
        <f t="shared" si="46"/>
        <v>1</v>
      </c>
      <c r="K356" s="6" t="s">
        <v>160</v>
      </c>
      <c r="L356" s="7" t="s">
        <v>14</v>
      </c>
      <c r="M356" s="7" t="s">
        <v>15</v>
      </c>
      <c r="N356" s="7" t="s">
        <v>65</v>
      </c>
      <c r="O356" s="7" t="s">
        <v>28</v>
      </c>
      <c r="P356" s="7" t="s">
        <v>11</v>
      </c>
      <c r="Q356" s="7" t="s">
        <v>19</v>
      </c>
      <c r="R356" s="7" t="s">
        <v>16</v>
      </c>
      <c r="S356" s="7" t="s">
        <v>10</v>
      </c>
      <c r="U356" t="b">
        <f t="shared" si="47"/>
        <v>1</v>
      </c>
      <c r="V356" t="b">
        <f t="shared" si="48"/>
        <v>1</v>
      </c>
      <c r="W356" t="b">
        <f t="shared" si="49"/>
        <v>1</v>
      </c>
      <c r="X356" t="b">
        <f t="shared" si="50"/>
        <v>1</v>
      </c>
      <c r="Y356" t="b">
        <f t="shared" si="51"/>
        <v>1</v>
      </c>
      <c r="Z356" t="b">
        <f t="shared" si="52"/>
        <v>1</v>
      </c>
      <c r="AA356" t="b">
        <f t="shared" si="53"/>
        <v>1</v>
      </c>
      <c r="AB356" t="b">
        <f t="shared" si="54"/>
        <v>1</v>
      </c>
    </row>
    <row r="357" spans="1:28" ht="14.4">
      <c r="A357" s="2" t="s">
        <v>159</v>
      </c>
      <c r="B357" s="2" t="s">
        <v>10</v>
      </c>
      <c r="C357" s="2" t="s">
        <v>15</v>
      </c>
      <c r="D357" s="2" t="s">
        <v>65</v>
      </c>
      <c r="E357" s="2" t="s">
        <v>28</v>
      </c>
      <c r="F357" s="2" t="s">
        <v>14</v>
      </c>
      <c r="G357" s="2" t="s">
        <v>19</v>
      </c>
      <c r="H357" s="2" t="s">
        <v>16</v>
      </c>
      <c r="I357" s="2" t="s">
        <v>17</v>
      </c>
      <c r="J357" t="b">
        <f t="shared" si="46"/>
        <v>1</v>
      </c>
      <c r="K357" s="8" t="s">
        <v>159</v>
      </c>
      <c r="L357" s="9" t="s">
        <v>10</v>
      </c>
      <c r="M357" s="9" t="s">
        <v>15</v>
      </c>
      <c r="N357" s="9" t="s">
        <v>65</v>
      </c>
      <c r="O357" s="9" t="s">
        <v>28</v>
      </c>
      <c r="P357" s="9" t="s">
        <v>14</v>
      </c>
      <c r="Q357" s="9" t="s">
        <v>19</v>
      </c>
      <c r="R357" s="9" t="s">
        <v>16</v>
      </c>
      <c r="S357" s="9" t="s">
        <v>17</v>
      </c>
      <c r="U357" t="b">
        <f t="shared" si="47"/>
        <v>1</v>
      </c>
      <c r="V357" t="b">
        <f t="shared" si="48"/>
        <v>1</v>
      </c>
      <c r="W357" t="b">
        <f t="shared" si="49"/>
        <v>1</v>
      </c>
      <c r="X357" t="b">
        <f t="shared" si="50"/>
        <v>1</v>
      </c>
      <c r="Y357" t="b">
        <f t="shared" si="51"/>
        <v>1</v>
      </c>
      <c r="Z357" t="b">
        <f t="shared" si="52"/>
        <v>1</v>
      </c>
      <c r="AA357" t="b">
        <f t="shared" si="53"/>
        <v>1</v>
      </c>
      <c r="AB357" t="b">
        <f t="shared" si="54"/>
        <v>1</v>
      </c>
    </row>
    <row r="358" spans="1:28" ht="14.4">
      <c r="A358" s="2" t="s">
        <v>158</v>
      </c>
      <c r="B358" s="2" t="s">
        <v>10</v>
      </c>
      <c r="C358" s="2" t="s">
        <v>15</v>
      </c>
      <c r="D358" s="2" t="s">
        <v>65</v>
      </c>
      <c r="E358" s="2" t="s">
        <v>28</v>
      </c>
      <c r="F358" s="2" t="s">
        <v>11</v>
      </c>
      <c r="G358" s="2" t="s">
        <v>19</v>
      </c>
      <c r="H358" s="2" t="s">
        <v>12</v>
      </c>
      <c r="I358" s="2" t="s">
        <v>17</v>
      </c>
      <c r="J358" t="b">
        <f t="shared" si="46"/>
        <v>1</v>
      </c>
      <c r="K358" s="6" t="s">
        <v>158</v>
      </c>
      <c r="L358" s="7" t="s">
        <v>10</v>
      </c>
      <c r="M358" s="7" t="s">
        <v>15</v>
      </c>
      <c r="N358" s="7" t="s">
        <v>65</v>
      </c>
      <c r="O358" s="7" t="s">
        <v>28</v>
      </c>
      <c r="P358" s="7" t="s">
        <v>11</v>
      </c>
      <c r="Q358" s="7" t="s">
        <v>19</v>
      </c>
      <c r="R358" s="7" t="s">
        <v>12</v>
      </c>
      <c r="S358" s="7" t="s">
        <v>17</v>
      </c>
      <c r="U358" t="b">
        <f t="shared" si="47"/>
        <v>1</v>
      </c>
      <c r="V358" t="b">
        <f t="shared" si="48"/>
        <v>1</v>
      </c>
      <c r="W358" t="b">
        <f t="shared" si="49"/>
        <v>1</v>
      </c>
      <c r="X358" t="b">
        <f t="shared" si="50"/>
        <v>1</v>
      </c>
      <c r="Y358" t="b">
        <f t="shared" si="51"/>
        <v>1</v>
      </c>
      <c r="Z358" t="b">
        <f t="shared" si="52"/>
        <v>1</v>
      </c>
      <c r="AA358" t="b">
        <f t="shared" si="53"/>
        <v>1</v>
      </c>
      <c r="AB358" t="b">
        <f t="shared" si="54"/>
        <v>1</v>
      </c>
    </row>
    <row r="359" spans="1:28" ht="14.4">
      <c r="A359" s="2" t="s">
        <v>157</v>
      </c>
      <c r="B359" s="2" t="s">
        <v>10</v>
      </c>
      <c r="C359" s="2" t="s">
        <v>15</v>
      </c>
      <c r="D359" s="2" t="s">
        <v>65</v>
      </c>
      <c r="E359" s="2" t="s">
        <v>28</v>
      </c>
      <c r="F359" s="2" t="s">
        <v>11</v>
      </c>
      <c r="G359" s="2" t="s">
        <v>19</v>
      </c>
      <c r="H359" s="2" t="s">
        <v>16</v>
      </c>
      <c r="I359" s="2" t="s">
        <v>12</v>
      </c>
      <c r="J359" t="b">
        <f t="shared" si="46"/>
        <v>1</v>
      </c>
      <c r="K359" s="8" t="s">
        <v>157</v>
      </c>
      <c r="L359" s="9" t="s">
        <v>10</v>
      </c>
      <c r="M359" s="9" t="s">
        <v>15</v>
      </c>
      <c r="N359" s="9" t="s">
        <v>65</v>
      </c>
      <c r="O359" s="9" t="s">
        <v>28</v>
      </c>
      <c r="P359" s="9" t="s">
        <v>11</v>
      </c>
      <c r="Q359" s="9" t="s">
        <v>19</v>
      </c>
      <c r="R359" s="9" t="s">
        <v>16</v>
      </c>
      <c r="S359" s="9" t="s">
        <v>12</v>
      </c>
      <c r="U359" t="b">
        <f t="shared" si="47"/>
        <v>1</v>
      </c>
      <c r="V359" t="b">
        <f t="shared" si="48"/>
        <v>1</v>
      </c>
      <c r="W359" t="b">
        <f t="shared" si="49"/>
        <v>1</v>
      </c>
      <c r="X359" t="b">
        <f t="shared" si="50"/>
        <v>1</v>
      </c>
      <c r="Y359" t="b">
        <f t="shared" si="51"/>
        <v>1</v>
      </c>
      <c r="Z359" t="b">
        <f t="shared" si="52"/>
        <v>1</v>
      </c>
      <c r="AA359" t="b">
        <f t="shared" si="53"/>
        <v>1</v>
      </c>
      <c r="AB359" t="b">
        <f t="shared" si="54"/>
        <v>1</v>
      </c>
    </row>
    <row r="360" spans="1:28" ht="14.4">
      <c r="A360" s="2" t="s">
        <v>156</v>
      </c>
      <c r="B360" s="2" t="s">
        <v>10</v>
      </c>
      <c r="C360" s="2" t="s">
        <v>15</v>
      </c>
      <c r="D360" s="2" t="s">
        <v>65</v>
      </c>
      <c r="E360" s="2" t="s">
        <v>28</v>
      </c>
      <c r="F360" s="2" t="s">
        <v>12</v>
      </c>
      <c r="G360" s="2" t="s">
        <v>19</v>
      </c>
      <c r="H360" s="2" t="s">
        <v>16</v>
      </c>
      <c r="I360" s="2" t="s">
        <v>17</v>
      </c>
      <c r="J360" t="b">
        <f t="shared" si="46"/>
        <v>1</v>
      </c>
      <c r="K360" s="6" t="s">
        <v>156</v>
      </c>
      <c r="L360" s="7" t="s">
        <v>10</v>
      </c>
      <c r="M360" s="7" t="s">
        <v>15</v>
      </c>
      <c r="N360" s="7" t="s">
        <v>65</v>
      </c>
      <c r="O360" s="7" t="s">
        <v>28</v>
      </c>
      <c r="P360" s="7" t="s">
        <v>12</v>
      </c>
      <c r="Q360" s="7" t="s">
        <v>19</v>
      </c>
      <c r="R360" s="7" t="s">
        <v>16</v>
      </c>
      <c r="S360" s="7" t="s">
        <v>17</v>
      </c>
      <c r="U360" t="b">
        <f t="shared" si="47"/>
        <v>1</v>
      </c>
      <c r="V360" t="b">
        <f t="shared" si="48"/>
        <v>1</v>
      </c>
      <c r="W360" t="b">
        <f t="shared" si="49"/>
        <v>1</v>
      </c>
      <c r="X360" t="b">
        <f t="shared" si="50"/>
        <v>1</v>
      </c>
      <c r="Y360" t="b">
        <f t="shared" si="51"/>
        <v>1</v>
      </c>
      <c r="Z360" t="b">
        <f t="shared" si="52"/>
        <v>1</v>
      </c>
      <c r="AA360" t="b">
        <f t="shared" si="53"/>
        <v>1</v>
      </c>
      <c r="AB360" t="b">
        <f t="shared" si="54"/>
        <v>1</v>
      </c>
    </row>
    <row r="361" spans="1:28" ht="14.4">
      <c r="A361" s="2" t="s">
        <v>155</v>
      </c>
      <c r="B361" s="2" t="s">
        <v>10</v>
      </c>
      <c r="C361" s="2" t="s">
        <v>15</v>
      </c>
      <c r="D361" s="2" t="s">
        <v>65</v>
      </c>
      <c r="E361" s="2" t="s">
        <v>28</v>
      </c>
      <c r="F361" s="2" t="s">
        <v>11</v>
      </c>
      <c r="G361" s="2" t="s">
        <v>19</v>
      </c>
      <c r="H361" s="2" t="s">
        <v>16</v>
      </c>
      <c r="I361" s="2" t="s">
        <v>17</v>
      </c>
      <c r="J361" t="b">
        <f t="shared" si="46"/>
        <v>1</v>
      </c>
      <c r="K361" s="8" t="s">
        <v>155</v>
      </c>
      <c r="L361" s="9" t="s">
        <v>10</v>
      </c>
      <c r="M361" s="9" t="s">
        <v>15</v>
      </c>
      <c r="N361" s="9" t="s">
        <v>65</v>
      </c>
      <c r="O361" s="9" t="s">
        <v>28</v>
      </c>
      <c r="P361" s="9" t="s">
        <v>11</v>
      </c>
      <c r="Q361" s="9" t="s">
        <v>19</v>
      </c>
      <c r="R361" s="9" t="s">
        <v>16</v>
      </c>
      <c r="S361" s="9" t="s">
        <v>17</v>
      </c>
      <c r="U361" t="b">
        <f t="shared" si="47"/>
        <v>1</v>
      </c>
      <c r="V361" t="b">
        <f t="shared" si="48"/>
        <v>1</v>
      </c>
      <c r="W361" t="b">
        <f t="shared" si="49"/>
        <v>1</v>
      </c>
      <c r="X361" t="b">
        <f t="shared" si="50"/>
        <v>1</v>
      </c>
      <c r="Y361" t="b">
        <f t="shared" si="51"/>
        <v>1</v>
      </c>
      <c r="Z361" t="b">
        <f t="shared" si="52"/>
        <v>1</v>
      </c>
      <c r="AA361" t="b">
        <f t="shared" si="53"/>
        <v>1</v>
      </c>
      <c r="AB361" t="b">
        <f t="shared" si="54"/>
        <v>1</v>
      </c>
    </row>
    <row r="362" spans="1:28" ht="14.4">
      <c r="A362" s="2" t="s">
        <v>154</v>
      </c>
      <c r="B362" s="2" t="s">
        <v>10</v>
      </c>
      <c r="C362" s="2" t="s">
        <v>11</v>
      </c>
      <c r="D362" s="2" t="s">
        <v>65</v>
      </c>
      <c r="E362" s="2" t="s">
        <v>28</v>
      </c>
      <c r="F362" s="2" t="s">
        <v>14</v>
      </c>
      <c r="G362" s="2" t="s">
        <v>19</v>
      </c>
      <c r="H362" s="2" t="s">
        <v>12</v>
      </c>
      <c r="I362" s="2" t="s">
        <v>17</v>
      </c>
      <c r="J362" t="b">
        <f t="shared" si="46"/>
        <v>1</v>
      </c>
      <c r="K362" s="6" t="s">
        <v>154</v>
      </c>
      <c r="L362" s="7" t="s">
        <v>10</v>
      </c>
      <c r="M362" s="7" t="s">
        <v>11</v>
      </c>
      <c r="N362" s="7" t="s">
        <v>65</v>
      </c>
      <c r="O362" s="7" t="s">
        <v>28</v>
      </c>
      <c r="P362" s="7" t="s">
        <v>14</v>
      </c>
      <c r="Q362" s="7" t="s">
        <v>19</v>
      </c>
      <c r="R362" s="7" t="s">
        <v>12</v>
      </c>
      <c r="S362" s="7" t="s">
        <v>17</v>
      </c>
      <c r="U362" t="b">
        <f t="shared" si="47"/>
        <v>1</v>
      </c>
      <c r="V362" t="b">
        <f t="shared" si="48"/>
        <v>1</v>
      </c>
      <c r="W362" t="b">
        <f t="shared" si="49"/>
        <v>1</v>
      </c>
      <c r="X362" t="b">
        <f t="shared" si="50"/>
        <v>1</v>
      </c>
      <c r="Y362" t="b">
        <f t="shared" si="51"/>
        <v>1</v>
      </c>
      <c r="Z362" t="b">
        <f t="shared" si="52"/>
        <v>1</v>
      </c>
      <c r="AA362" t="b">
        <f t="shared" si="53"/>
        <v>1</v>
      </c>
      <c r="AB362" t="b">
        <f t="shared" si="54"/>
        <v>1</v>
      </c>
    </row>
    <row r="363" spans="1:28" ht="14.4" hidden="1">
      <c r="A363" s="2" t="s">
        <v>153</v>
      </c>
      <c r="B363" s="2" t="s">
        <v>10</v>
      </c>
      <c r="C363" s="2" t="s">
        <v>11</v>
      </c>
      <c r="D363" s="2" t="s">
        <v>65</v>
      </c>
      <c r="E363" s="2" t="s">
        <v>28</v>
      </c>
      <c r="F363" s="2" t="s">
        <v>14</v>
      </c>
      <c r="G363" s="2" t="s">
        <v>19</v>
      </c>
      <c r="H363" s="2" t="s">
        <v>16</v>
      </c>
      <c r="I363" s="2" t="s">
        <v>12</v>
      </c>
      <c r="J363" t="b">
        <f t="shared" si="46"/>
        <v>1</v>
      </c>
      <c r="K363" s="8" t="s">
        <v>153</v>
      </c>
      <c r="L363" s="9" t="s">
        <v>10</v>
      </c>
      <c r="M363" s="9" t="s">
        <v>11</v>
      </c>
      <c r="N363" s="9" t="s">
        <v>65</v>
      </c>
      <c r="O363" s="9" t="s">
        <v>28</v>
      </c>
      <c r="P363" s="9" t="s">
        <v>12</v>
      </c>
      <c r="Q363" s="9" t="s">
        <v>19</v>
      </c>
      <c r="R363" s="9" t="s">
        <v>16</v>
      </c>
      <c r="S363" s="9" t="s">
        <v>17</v>
      </c>
      <c r="U363" t="b">
        <f t="shared" si="47"/>
        <v>1</v>
      </c>
      <c r="V363" t="b">
        <f t="shared" si="48"/>
        <v>1</v>
      </c>
      <c r="W363" t="b">
        <f t="shared" si="49"/>
        <v>1</v>
      </c>
      <c r="X363" t="b">
        <f t="shared" si="50"/>
        <v>1</v>
      </c>
      <c r="Y363" t="b">
        <f t="shared" si="51"/>
        <v>0</v>
      </c>
      <c r="Z363" t="b">
        <f t="shared" si="52"/>
        <v>1</v>
      </c>
      <c r="AA363" t="b">
        <f t="shared" si="53"/>
        <v>1</v>
      </c>
      <c r="AB363" t="b">
        <f t="shared" si="54"/>
        <v>0</v>
      </c>
    </row>
    <row r="364" spans="1:28" ht="14.4">
      <c r="A364" s="2" t="s">
        <v>152</v>
      </c>
      <c r="B364" s="2" t="s">
        <v>10</v>
      </c>
      <c r="C364" s="2" t="s">
        <v>12</v>
      </c>
      <c r="D364" s="2" t="s">
        <v>65</v>
      </c>
      <c r="E364" s="2" t="s">
        <v>28</v>
      </c>
      <c r="F364" s="2" t="s">
        <v>14</v>
      </c>
      <c r="G364" s="2" t="s">
        <v>19</v>
      </c>
      <c r="H364" s="2" t="s">
        <v>16</v>
      </c>
      <c r="I364" s="2" t="s">
        <v>17</v>
      </c>
      <c r="J364" t="b">
        <f t="shared" si="46"/>
        <v>1</v>
      </c>
      <c r="K364" s="6" t="s">
        <v>152</v>
      </c>
      <c r="L364" s="7" t="s">
        <v>10</v>
      </c>
      <c r="M364" s="7" t="s">
        <v>12</v>
      </c>
      <c r="N364" s="7" t="s">
        <v>65</v>
      </c>
      <c r="O364" s="7" t="s">
        <v>28</v>
      </c>
      <c r="P364" s="7" t="s">
        <v>14</v>
      </c>
      <c r="Q364" s="7" t="s">
        <v>19</v>
      </c>
      <c r="R364" s="7" t="s">
        <v>16</v>
      </c>
      <c r="S364" s="7" t="s">
        <v>17</v>
      </c>
      <c r="U364" t="b">
        <f t="shared" si="47"/>
        <v>1</v>
      </c>
      <c r="V364" t="b">
        <f t="shared" si="48"/>
        <v>1</v>
      </c>
      <c r="W364" t="b">
        <f t="shared" si="49"/>
        <v>1</v>
      </c>
      <c r="X364" t="b">
        <f t="shared" si="50"/>
        <v>1</v>
      </c>
      <c r="Y364" t="b">
        <f t="shared" si="51"/>
        <v>1</v>
      </c>
      <c r="Z364" t="b">
        <f t="shared" si="52"/>
        <v>1</v>
      </c>
      <c r="AA364" t="b">
        <f t="shared" si="53"/>
        <v>1</v>
      </c>
      <c r="AB364" t="b">
        <f t="shared" si="54"/>
        <v>1</v>
      </c>
    </row>
    <row r="365" spans="1:28" ht="14.4">
      <c r="A365" s="2" t="s">
        <v>151</v>
      </c>
      <c r="B365" s="2" t="s">
        <v>10</v>
      </c>
      <c r="C365" s="2" t="s">
        <v>11</v>
      </c>
      <c r="D365" s="2" t="s">
        <v>65</v>
      </c>
      <c r="E365" s="2" t="s">
        <v>28</v>
      </c>
      <c r="F365" s="2" t="s">
        <v>14</v>
      </c>
      <c r="G365" s="2" t="s">
        <v>19</v>
      </c>
      <c r="H365" s="2" t="s">
        <v>16</v>
      </c>
      <c r="I365" s="2" t="s">
        <v>17</v>
      </c>
      <c r="J365" t="b">
        <f t="shared" si="46"/>
        <v>1</v>
      </c>
      <c r="K365" s="8" t="s">
        <v>151</v>
      </c>
      <c r="L365" s="9" t="s">
        <v>10</v>
      </c>
      <c r="M365" s="9" t="s">
        <v>11</v>
      </c>
      <c r="N365" s="9" t="s">
        <v>65</v>
      </c>
      <c r="O365" s="9" t="s">
        <v>28</v>
      </c>
      <c r="P365" s="9" t="s">
        <v>14</v>
      </c>
      <c r="Q365" s="9" t="s">
        <v>19</v>
      </c>
      <c r="R365" s="9" t="s">
        <v>16</v>
      </c>
      <c r="S365" s="9" t="s">
        <v>17</v>
      </c>
      <c r="U365" t="b">
        <f t="shared" si="47"/>
        <v>1</v>
      </c>
      <c r="V365" t="b">
        <f t="shared" si="48"/>
        <v>1</v>
      </c>
      <c r="W365" t="b">
        <f t="shared" si="49"/>
        <v>1</v>
      </c>
      <c r="X365" t="b">
        <f t="shared" si="50"/>
        <v>1</v>
      </c>
      <c r="Y365" t="b">
        <f t="shared" si="51"/>
        <v>1</v>
      </c>
      <c r="Z365" t="b">
        <f t="shared" si="52"/>
        <v>1</v>
      </c>
      <c r="AA365" t="b">
        <f t="shared" si="53"/>
        <v>1</v>
      </c>
      <c r="AB365" t="b">
        <f t="shared" si="54"/>
        <v>1</v>
      </c>
    </row>
    <row r="366" spans="1:28" ht="14.4" hidden="1">
      <c r="A366" s="2" t="s">
        <v>150</v>
      </c>
      <c r="B366" s="2" t="s">
        <v>10</v>
      </c>
      <c r="C366" s="2" t="s">
        <v>11</v>
      </c>
      <c r="D366" s="2" t="s">
        <v>65</v>
      </c>
      <c r="E366" s="2" t="s">
        <v>28</v>
      </c>
      <c r="F366" s="2" t="s">
        <v>12</v>
      </c>
      <c r="G366" s="2" t="s">
        <v>19</v>
      </c>
      <c r="H366" s="2" t="s">
        <v>16</v>
      </c>
      <c r="I366" s="2" t="s">
        <v>17</v>
      </c>
      <c r="J366" t="b">
        <f t="shared" si="46"/>
        <v>1</v>
      </c>
      <c r="K366" s="6" t="s">
        <v>150</v>
      </c>
      <c r="L366" s="7" t="s">
        <v>14</v>
      </c>
      <c r="M366" s="7" t="s">
        <v>15</v>
      </c>
      <c r="N366" s="7" t="s">
        <v>65</v>
      </c>
      <c r="O366" s="7" t="s">
        <v>28</v>
      </c>
      <c r="P366" s="7" t="s">
        <v>186</v>
      </c>
      <c r="Q366" s="7" t="s">
        <v>13</v>
      </c>
      <c r="R366" s="7" t="s">
        <v>19</v>
      </c>
      <c r="S366" s="7" t="s">
        <v>10</v>
      </c>
      <c r="U366" t="b">
        <f t="shared" si="47"/>
        <v>0</v>
      </c>
      <c r="V366" t="b">
        <f t="shared" si="48"/>
        <v>0</v>
      </c>
      <c r="W366" t="b">
        <f t="shared" si="49"/>
        <v>1</v>
      </c>
      <c r="X366" t="b">
        <f t="shared" si="50"/>
        <v>1</v>
      </c>
      <c r="Y366" t="b">
        <f t="shared" si="51"/>
        <v>0</v>
      </c>
      <c r="Z366" t="b">
        <f t="shared" si="52"/>
        <v>0</v>
      </c>
      <c r="AA366" t="b">
        <f t="shared" si="53"/>
        <v>0</v>
      </c>
      <c r="AB366" t="b">
        <f t="shared" si="54"/>
        <v>0</v>
      </c>
    </row>
    <row r="367" spans="1:28" ht="14.4">
      <c r="A367" s="2" t="s">
        <v>149</v>
      </c>
      <c r="B367" s="2" t="s">
        <v>14</v>
      </c>
      <c r="C367" s="2" t="s">
        <v>15</v>
      </c>
      <c r="D367" s="2" t="s">
        <v>65</v>
      </c>
      <c r="E367" s="2" t="s">
        <v>28</v>
      </c>
      <c r="F367" s="2" t="s">
        <v>11</v>
      </c>
      <c r="G367" s="2" t="s">
        <v>13</v>
      </c>
      <c r="H367" s="2" t="s">
        <v>19</v>
      </c>
      <c r="I367" s="2" t="s">
        <v>12</v>
      </c>
      <c r="J367" t="b">
        <f t="shared" si="46"/>
        <v>1</v>
      </c>
      <c r="K367" s="8" t="s">
        <v>149</v>
      </c>
      <c r="L367" s="9" t="s">
        <v>14</v>
      </c>
      <c r="M367" s="9" t="s">
        <v>15</v>
      </c>
      <c r="N367" s="9" t="s">
        <v>65</v>
      </c>
      <c r="O367" s="9" t="s">
        <v>28</v>
      </c>
      <c r="P367" s="9" t="s">
        <v>11</v>
      </c>
      <c r="Q367" s="9" t="s">
        <v>13</v>
      </c>
      <c r="R367" s="9" t="s">
        <v>19</v>
      </c>
      <c r="S367" s="9" t="s">
        <v>12</v>
      </c>
      <c r="U367" t="b">
        <f t="shared" si="47"/>
        <v>1</v>
      </c>
      <c r="V367" t="b">
        <f t="shared" si="48"/>
        <v>1</v>
      </c>
      <c r="W367" t="b">
        <f t="shared" si="49"/>
        <v>1</v>
      </c>
      <c r="X367" t="b">
        <f t="shared" si="50"/>
        <v>1</v>
      </c>
      <c r="Y367" t="b">
        <f t="shared" si="51"/>
        <v>1</v>
      </c>
      <c r="Z367" t="b">
        <f t="shared" si="52"/>
        <v>1</v>
      </c>
      <c r="AA367" t="b">
        <f t="shared" si="53"/>
        <v>1</v>
      </c>
      <c r="AB367" t="b">
        <f t="shared" si="54"/>
        <v>1</v>
      </c>
    </row>
    <row r="368" spans="1:28" ht="14.4">
      <c r="A368" s="2" t="s">
        <v>148</v>
      </c>
      <c r="B368" s="2" t="s">
        <v>28</v>
      </c>
      <c r="C368" s="2" t="s">
        <v>15</v>
      </c>
      <c r="D368" s="2" t="s">
        <v>65</v>
      </c>
      <c r="E368" s="2" t="s">
        <v>19</v>
      </c>
      <c r="F368" s="2" t="s">
        <v>14</v>
      </c>
      <c r="G368" s="2" t="s">
        <v>13</v>
      </c>
      <c r="H368" s="2" t="s">
        <v>12</v>
      </c>
      <c r="I368" s="2" t="s">
        <v>17</v>
      </c>
      <c r="J368" t="b">
        <f t="shared" si="46"/>
        <v>1</v>
      </c>
      <c r="K368" s="6" t="s">
        <v>148</v>
      </c>
      <c r="L368" s="7" t="s">
        <v>28</v>
      </c>
      <c r="M368" s="7" t="s">
        <v>15</v>
      </c>
      <c r="N368" s="7" t="s">
        <v>65</v>
      </c>
      <c r="O368" s="7" t="s">
        <v>19</v>
      </c>
      <c r="P368" s="7" t="s">
        <v>14</v>
      </c>
      <c r="Q368" s="7" t="s">
        <v>13</v>
      </c>
      <c r="R368" s="7" t="s">
        <v>12</v>
      </c>
      <c r="S368" s="7" t="s">
        <v>17</v>
      </c>
      <c r="U368" t="b">
        <f t="shared" si="47"/>
        <v>1</v>
      </c>
      <c r="V368" t="b">
        <f t="shared" si="48"/>
        <v>1</v>
      </c>
      <c r="W368" t="b">
        <f t="shared" si="49"/>
        <v>1</v>
      </c>
      <c r="X368" t="b">
        <f t="shared" si="50"/>
        <v>1</v>
      </c>
      <c r="Y368" t="b">
        <f t="shared" si="51"/>
        <v>1</v>
      </c>
      <c r="Z368" t="b">
        <f t="shared" si="52"/>
        <v>1</v>
      </c>
      <c r="AA368" t="b">
        <f t="shared" si="53"/>
        <v>1</v>
      </c>
      <c r="AB368" t="b">
        <f t="shared" si="54"/>
        <v>1</v>
      </c>
    </row>
    <row r="369" spans="1:28" ht="14.4">
      <c r="A369" s="2" t="s">
        <v>147</v>
      </c>
      <c r="B369" s="2" t="s">
        <v>28</v>
      </c>
      <c r="C369" s="2" t="s">
        <v>15</v>
      </c>
      <c r="D369" s="2" t="s">
        <v>65</v>
      </c>
      <c r="E369" s="2" t="s">
        <v>19</v>
      </c>
      <c r="F369" s="2" t="s">
        <v>14</v>
      </c>
      <c r="G369" s="2" t="s">
        <v>13</v>
      </c>
      <c r="H369" s="2" t="s">
        <v>16</v>
      </c>
      <c r="I369" s="2" t="s">
        <v>12</v>
      </c>
      <c r="J369" t="b">
        <f t="shared" si="46"/>
        <v>1</v>
      </c>
      <c r="K369" s="8" t="s">
        <v>147</v>
      </c>
      <c r="L369" s="9" t="s">
        <v>28</v>
      </c>
      <c r="M369" s="9" t="s">
        <v>15</v>
      </c>
      <c r="N369" s="9" t="s">
        <v>65</v>
      </c>
      <c r="O369" s="9" t="s">
        <v>19</v>
      </c>
      <c r="P369" s="9" t="s">
        <v>14</v>
      </c>
      <c r="Q369" s="9" t="s">
        <v>13</v>
      </c>
      <c r="R369" s="9" t="s">
        <v>16</v>
      </c>
      <c r="S369" s="9" t="s">
        <v>12</v>
      </c>
      <c r="U369" t="b">
        <f t="shared" si="47"/>
        <v>1</v>
      </c>
      <c r="V369" t="b">
        <f t="shared" si="48"/>
        <v>1</v>
      </c>
      <c r="W369" t="b">
        <f t="shared" si="49"/>
        <v>1</v>
      </c>
      <c r="X369" t="b">
        <f t="shared" si="50"/>
        <v>1</v>
      </c>
      <c r="Y369" t="b">
        <f t="shared" si="51"/>
        <v>1</v>
      </c>
      <c r="Z369" t="b">
        <f t="shared" si="52"/>
        <v>1</v>
      </c>
      <c r="AA369" t="b">
        <f t="shared" si="53"/>
        <v>1</v>
      </c>
      <c r="AB369" t="b">
        <f t="shared" si="54"/>
        <v>1</v>
      </c>
    </row>
    <row r="370" spans="1:28" ht="14.4">
      <c r="A370" s="2" t="s">
        <v>146</v>
      </c>
      <c r="B370" s="2" t="s">
        <v>14</v>
      </c>
      <c r="C370" s="2" t="s">
        <v>15</v>
      </c>
      <c r="D370" s="2" t="s">
        <v>65</v>
      </c>
      <c r="E370" s="2" t="s">
        <v>28</v>
      </c>
      <c r="F370" s="2" t="s">
        <v>11</v>
      </c>
      <c r="G370" s="2" t="s">
        <v>13</v>
      </c>
      <c r="H370" s="2" t="s">
        <v>19</v>
      </c>
      <c r="I370" s="2" t="s">
        <v>17</v>
      </c>
      <c r="J370" t="b">
        <f t="shared" si="46"/>
        <v>1</v>
      </c>
      <c r="K370" s="6" t="s">
        <v>146</v>
      </c>
      <c r="L370" s="7" t="s">
        <v>14</v>
      </c>
      <c r="M370" s="7" t="s">
        <v>15</v>
      </c>
      <c r="N370" s="7" t="s">
        <v>65</v>
      </c>
      <c r="O370" s="7" t="s">
        <v>28</v>
      </c>
      <c r="P370" s="7" t="s">
        <v>11</v>
      </c>
      <c r="Q370" s="7" t="s">
        <v>13</v>
      </c>
      <c r="R370" s="7" t="s">
        <v>19</v>
      </c>
      <c r="S370" s="7" t="s">
        <v>17</v>
      </c>
      <c r="U370" t="b">
        <f t="shared" si="47"/>
        <v>1</v>
      </c>
      <c r="V370" t="b">
        <f t="shared" si="48"/>
        <v>1</v>
      </c>
      <c r="W370" t="b">
        <f t="shared" si="49"/>
        <v>1</v>
      </c>
      <c r="X370" t="b">
        <f t="shared" si="50"/>
        <v>1</v>
      </c>
      <c r="Y370" t="b">
        <f t="shared" si="51"/>
        <v>1</v>
      </c>
      <c r="Z370" t="b">
        <f t="shared" si="52"/>
        <v>1</v>
      </c>
      <c r="AA370" t="b">
        <f t="shared" si="53"/>
        <v>1</v>
      </c>
      <c r="AB370" t="b">
        <f t="shared" si="54"/>
        <v>1</v>
      </c>
    </row>
    <row r="371" spans="1:28" ht="14.4">
      <c r="A371" s="2" t="s">
        <v>145</v>
      </c>
      <c r="B371" s="2" t="s">
        <v>28</v>
      </c>
      <c r="C371" s="2" t="s">
        <v>15</v>
      </c>
      <c r="D371" s="2" t="s">
        <v>65</v>
      </c>
      <c r="E371" s="2" t="s">
        <v>19</v>
      </c>
      <c r="F371" s="2" t="s">
        <v>14</v>
      </c>
      <c r="G371" s="2" t="s">
        <v>13</v>
      </c>
      <c r="H371" s="2" t="s">
        <v>16</v>
      </c>
      <c r="I371" s="2" t="s">
        <v>11</v>
      </c>
      <c r="J371" t="b">
        <f t="shared" si="46"/>
        <v>1</v>
      </c>
      <c r="K371" s="8" t="s">
        <v>145</v>
      </c>
      <c r="L371" s="9" t="s">
        <v>28</v>
      </c>
      <c r="M371" s="9" t="s">
        <v>15</v>
      </c>
      <c r="N371" s="9" t="s">
        <v>65</v>
      </c>
      <c r="O371" s="9" t="s">
        <v>19</v>
      </c>
      <c r="P371" s="9" t="s">
        <v>14</v>
      </c>
      <c r="Q371" s="9" t="s">
        <v>13</v>
      </c>
      <c r="R371" s="9" t="s">
        <v>16</v>
      </c>
      <c r="S371" s="9" t="s">
        <v>11</v>
      </c>
      <c r="U371" t="b">
        <f t="shared" si="47"/>
        <v>1</v>
      </c>
      <c r="V371" t="b">
        <f t="shared" si="48"/>
        <v>1</v>
      </c>
      <c r="W371" t="b">
        <f t="shared" si="49"/>
        <v>1</v>
      </c>
      <c r="X371" t="b">
        <f t="shared" si="50"/>
        <v>1</v>
      </c>
      <c r="Y371" t="b">
        <f t="shared" si="51"/>
        <v>1</v>
      </c>
      <c r="Z371" t="b">
        <f t="shared" si="52"/>
        <v>1</v>
      </c>
      <c r="AA371" t="b">
        <f t="shared" si="53"/>
        <v>1</v>
      </c>
      <c r="AB371" t="b">
        <f t="shared" si="54"/>
        <v>1</v>
      </c>
    </row>
    <row r="372" spans="1:28" ht="14.4">
      <c r="A372" s="2" t="s">
        <v>144</v>
      </c>
      <c r="B372" s="2" t="s">
        <v>28</v>
      </c>
      <c r="C372" s="2" t="s">
        <v>15</v>
      </c>
      <c r="D372" s="2" t="s">
        <v>65</v>
      </c>
      <c r="E372" s="2" t="s">
        <v>19</v>
      </c>
      <c r="F372" s="2" t="s">
        <v>14</v>
      </c>
      <c r="G372" s="2" t="s">
        <v>13</v>
      </c>
      <c r="H372" s="2" t="s">
        <v>16</v>
      </c>
      <c r="I372" s="2" t="s">
        <v>17</v>
      </c>
      <c r="J372" t="b">
        <f t="shared" si="46"/>
        <v>1</v>
      </c>
      <c r="K372" s="6" t="s">
        <v>144</v>
      </c>
      <c r="L372" s="7" t="s">
        <v>28</v>
      </c>
      <c r="M372" s="7" t="s">
        <v>15</v>
      </c>
      <c r="N372" s="7" t="s">
        <v>65</v>
      </c>
      <c r="O372" s="7" t="s">
        <v>19</v>
      </c>
      <c r="P372" s="7" t="s">
        <v>14</v>
      </c>
      <c r="Q372" s="7" t="s">
        <v>13</v>
      </c>
      <c r="R372" s="7" t="s">
        <v>16</v>
      </c>
      <c r="S372" s="7" t="s">
        <v>17</v>
      </c>
      <c r="U372" t="b">
        <f t="shared" si="47"/>
        <v>1</v>
      </c>
      <c r="V372" t="b">
        <f t="shared" si="48"/>
        <v>1</v>
      </c>
      <c r="W372" t="b">
        <f t="shared" si="49"/>
        <v>1</v>
      </c>
      <c r="X372" t="b">
        <f t="shared" si="50"/>
        <v>1</v>
      </c>
      <c r="Y372" t="b">
        <f t="shared" si="51"/>
        <v>1</v>
      </c>
      <c r="Z372" t="b">
        <f t="shared" si="52"/>
        <v>1</v>
      </c>
      <c r="AA372" t="b">
        <f t="shared" si="53"/>
        <v>1</v>
      </c>
      <c r="AB372" t="b">
        <f t="shared" si="54"/>
        <v>1</v>
      </c>
    </row>
    <row r="373" spans="1:28" ht="14.4">
      <c r="A373" s="2" t="s">
        <v>143</v>
      </c>
      <c r="B373" s="2" t="s">
        <v>28</v>
      </c>
      <c r="C373" s="2" t="s">
        <v>15</v>
      </c>
      <c r="D373" s="2" t="s">
        <v>65</v>
      </c>
      <c r="E373" s="2" t="s">
        <v>19</v>
      </c>
      <c r="F373" s="2" t="s">
        <v>11</v>
      </c>
      <c r="G373" s="2" t="s">
        <v>13</v>
      </c>
      <c r="H373" s="2" t="s">
        <v>12</v>
      </c>
      <c r="I373" s="2" t="s">
        <v>17</v>
      </c>
      <c r="J373" t="b">
        <f t="shared" si="46"/>
        <v>1</v>
      </c>
      <c r="K373" s="8" t="s">
        <v>143</v>
      </c>
      <c r="L373" s="9" t="s">
        <v>28</v>
      </c>
      <c r="M373" s="9" t="s">
        <v>15</v>
      </c>
      <c r="N373" s="9" t="s">
        <v>65</v>
      </c>
      <c r="O373" s="9" t="s">
        <v>19</v>
      </c>
      <c r="P373" s="9" t="s">
        <v>11</v>
      </c>
      <c r="Q373" s="9" t="s">
        <v>13</v>
      </c>
      <c r="R373" s="9" t="s">
        <v>12</v>
      </c>
      <c r="S373" s="9" t="s">
        <v>17</v>
      </c>
      <c r="U373" t="b">
        <f t="shared" si="47"/>
        <v>1</v>
      </c>
      <c r="V373" t="b">
        <f t="shared" si="48"/>
        <v>1</v>
      </c>
      <c r="W373" t="b">
        <f t="shared" si="49"/>
        <v>1</v>
      </c>
      <c r="X373" t="b">
        <f t="shared" si="50"/>
        <v>1</v>
      </c>
      <c r="Y373" t="b">
        <f t="shared" si="51"/>
        <v>1</v>
      </c>
      <c r="Z373" t="b">
        <f t="shared" si="52"/>
        <v>1</v>
      </c>
      <c r="AA373" t="b">
        <f t="shared" si="53"/>
        <v>1</v>
      </c>
      <c r="AB373" t="b">
        <f t="shared" si="54"/>
        <v>1</v>
      </c>
    </row>
    <row r="374" spans="1:28" ht="14.4">
      <c r="A374" s="2" t="s">
        <v>142</v>
      </c>
      <c r="B374" s="2" t="s">
        <v>28</v>
      </c>
      <c r="C374" s="2" t="s">
        <v>15</v>
      </c>
      <c r="D374" s="2" t="s">
        <v>65</v>
      </c>
      <c r="E374" s="2" t="s">
        <v>19</v>
      </c>
      <c r="F374" s="2" t="s">
        <v>11</v>
      </c>
      <c r="G374" s="2" t="s">
        <v>13</v>
      </c>
      <c r="H374" s="2" t="s">
        <v>16</v>
      </c>
      <c r="I374" s="2" t="s">
        <v>12</v>
      </c>
      <c r="J374" t="b">
        <f t="shared" si="46"/>
        <v>1</v>
      </c>
      <c r="K374" s="6" t="s">
        <v>142</v>
      </c>
      <c r="L374" s="7" t="s">
        <v>28</v>
      </c>
      <c r="M374" s="7" t="s">
        <v>15</v>
      </c>
      <c r="N374" s="7" t="s">
        <v>65</v>
      </c>
      <c r="O374" s="7" t="s">
        <v>19</v>
      </c>
      <c r="P374" s="7" t="s">
        <v>11</v>
      </c>
      <c r="Q374" s="7" t="s">
        <v>13</v>
      </c>
      <c r="R374" s="7" t="s">
        <v>16</v>
      </c>
      <c r="S374" s="7" t="s">
        <v>12</v>
      </c>
      <c r="U374" t="b">
        <f t="shared" si="47"/>
        <v>1</v>
      </c>
      <c r="V374" t="b">
        <f t="shared" si="48"/>
        <v>1</v>
      </c>
      <c r="W374" t="b">
        <f t="shared" si="49"/>
        <v>1</v>
      </c>
      <c r="X374" t="b">
        <f t="shared" si="50"/>
        <v>1</v>
      </c>
      <c r="Y374" t="b">
        <f t="shared" si="51"/>
        <v>1</v>
      </c>
      <c r="Z374" t="b">
        <f t="shared" si="52"/>
        <v>1</v>
      </c>
      <c r="AA374" t="b">
        <f t="shared" si="53"/>
        <v>1</v>
      </c>
      <c r="AB374" t="b">
        <f t="shared" si="54"/>
        <v>1</v>
      </c>
    </row>
    <row r="375" spans="1:28" ht="14.4">
      <c r="A375" s="2" t="s">
        <v>141</v>
      </c>
      <c r="B375" s="2" t="s">
        <v>28</v>
      </c>
      <c r="C375" s="2" t="s">
        <v>15</v>
      </c>
      <c r="D375" s="2" t="s">
        <v>65</v>
      </c>
      <c r="E375" s="2" t="s">
        <v>19</v>
      </c>
      <c r="F375" s="2" t="s">
        <v>12</v>
      </c>
      <c r="G375" s="2" t="s">
        <v>13</v>
      </c>
      <c r="H375" s="2" t="s">
        <v>16</v>
      </c>
      <c r="I375" s="2" t="s">
        <v>17</v>
      </c>
      <c r="J375" t="b">
        <f t="shared" si="46"/>
        <v>1</v>
      </c>
      <c r="K375" s="8" t="s">
        <v>141</v>
      </c>
      <c r="L375" s="9" t="s">
        <v>28</v>
      </c>
      <c r="M375" s="9" t="s">
        <v>15</v>
      </c>
      <c r="N375" s="9" t="s">
        <v>65</v>
      </c>
      <c r="O375" s="9" t="s">
        <v>19</v>
      </c>
      <c r="P375" s="9" t="s">
        <v>12</v>
      </c>
      <c r="Q375" s="9" t="s">
        <v>13</v>
      </c>
      <c r="R375" s="9" t="s">
        <v>16</v>
      </c>
      <c r="S375" s="9" t="s">
        <v>17</v>
      </c>
      <c r="U375" t="b">
        <f t="shared" si="47"/>
        <v>1</v>
      </c>
      <c r="V375" t="b">
        <f t="shared" si="48"/>
        <v>1</v>
      </c>
      <c r="W375" t="b">
        <f t="shared" si="49"/>
        <v>1</v>
      </c>
      <c r="X375" t="b">
        <f t="shared" si="50"/>
        <v>1</v>
      </c>
      <c r="Y375" t="b">
        <f t="shared" si="51"/>
        <v>1</v>
      </c>
      <c r="Z375" t="b">
        <f t="shared" si="52"/>
        <v>1</v>
      </c>
      <c r="AA375" t="b">
        <f t="shared" si="53"/>
        <v>1</v>
      </c>
      <c r="AB375" t="b">
        <f t="shared" si="54"/>
        <v>1</v>
      </c>
    </row>
    <row r="376" spans="1:28" ht="14.4">
      <c r="A376" s="2" t="s">
        <v>140</v>
      </c>
      <c r="B376" s="2" t="s">
        <v>28</v>
      </c>
      <c r="C376" s="2" t="s">
        <v>15</v>
      </c>
      <c r="D376" s="2" t="s">
        <v>65</v>
      </c>
      <c r="E376" s="2" t="s">
        <v>19</v>
      </c>
      <c r="F376" s="2" t="s">
        <v>11</v>
      </c>
      <c r="G376" s="2" t="s">
        <v>13</v>
      </c>
      <c r="H376" s="2" t="s">
        <v>16</v>
      </c>
      <c r="I376" s="2" t="s">
        <v>17</v>
      </c>
      <c r="J376" t="b">
        <f t="shared" si="46"/>
        <v>1</v>
      </c>
      <c r="K376" s="6" t="s">
        <v>140</v>
      </c>
      <c r="L376" s="7" t="s">
        <v>28</v>
      </c>
      <c r="M376" s="7" t="s">
        <v>15</v>
      </c>
      <c r="N376" s="7" t="s">
        <v>65</v>
      </c>
      <c r="O376" s="7" t="s">
        <v>19</v>
      </c>
      <c r="P376" s="7" t="s">
        <v>11</v>
      </c>
      <c r="Q376" s="7" t="s">
        <v>13</v>
      </c>
      <c r="R376" s="7" t="s">
        <v>16</v>
      </c>
      <c r="S376" s="7" t="s">
        <v>17</v>
      </c>
      <c r="U376" t="b">
        <f t="shared" si="47"/>
        <v>1</v>
      </c>
      <c r="V376" t="b">
        <f t="shared" si="48"/>
        <v>1</v>
      </c>
      <c r="W376" t="b">
        <f t="shared" si="49"/>
        <v>1</v>
      </c>
      <c r="X376" t="b">
        <f t="shared" si="50"/>
        <v>1</v>
      </c>
      <c r="Y376" t="b">
        <f t="shared" si="51"/>
        <v>1</v>
      </c>
      <c r="Z376" t="b">
        <f t="shared" si="52"/>
        <v>1</v>
      </c>
      <c r="AA376" t="b">
        <f t="shared" si="53"/>
        <v>1</v>
      </c>
      <c r="AB376" t="b">
        <f t="shared" si="54"/>
        <v>1</v>
      </c>
    </row>
    <row r="377" spans="1:28" ht="14.4">
      <c r="A377" s="2" t="s">
        <v>139</v>
      </c>
      <c r="B377" s="2" t="s">
        <v>28</v>
      </c>
      <c r="C377" s="2" t="s">
        <v>11</v>
      </c>
      <c r="D377" s="2" t="s">
        <v>65</v>
      </c>
      <c r="E377" s="2" t="s">
        <v>19</v>
      </c>
      <c r="F377" s="2" t="s">
        <v>14</v>
      </c>
      <c r="G377" s="2" t="s">
        <v>13</v>
      </c>
      <c r="H377" s="2" t="s">
        <v>12</v>
      </c>
      <c r="I377" s="2" t="s">
        <v>17</v>
      </c>
      <c r="J377" t="b">
        <f t="shared" si="46"/>
        <v>1</v>
      </c>
      <c r="K377" s="8" t="s">
        <v>139</v>
      </c>
      <c r="L377" s="9" t="s">
        <v>28</v>
      </c>
      <c r="M377" s="9" t="s">
        <v>11</v>
      </c>
      <c r="N377" s="9" t="s">
        <v>65</v>
      </c>
      <c r="O377" s="9" t="s">
        <v>19</v>
      </c>
      <c r="P377" s="9" t="s">
        <v>14</v>
      </c>
      <c r="Q377" s="9" t="s">
        <v>13</v>
      </c>
      <c r="R377" s="9" t="s">
        <v>12</v>
      </c>
      <c r="S377" s="9" t="s">
        <v>17</v>
      </c>
      <c r="U377" t="b">
        <f t="shared" si="47"/>
        <v>1</v>
      </c>
      <c r="V377" t="b">
        <f t="shared" si="48"/>
        <v>1</v>
      </c>
      <c r="W377" t="b">
        <f t="shared" si="49"/>
        <v>1</v>
      </c>
      <c r="X377" t="b">
        <f t="shared" si="50"/>
        <v>1</v>
      </c>
      <c r="Y377" t="b">
        <f t="shared" si="51"/>
        <v>1</v>
      </c>
      <c r="Z377" t="b">
        <f t="shared" si="52"/>
        <v>1</v>
      </c>
      <c r="AA377" t="b">
        <f t="shared" si="53"/>
        <v>1</v>
      </c>
      <c r="AB377" t="b">
        <f t="shared" si="54"/>
        <v>1</v>
      </c>
    </row>
    <row r="378" spans="1:28" ht="14.4">
      <c r="A378" s="2" t="s">
        <v>138</v>
      </c>
      <c r="B378" s="2" t="s">
        <v>28</v>
      </c>
      <c r="C378" s="2" t="s">
        <v>11</v>
      </c>
      <c r="D378" s="2" t="s">
        <v>65</v>
      </c>
      <c r="E378" s="2" t="s">
        <v>19</v>
      </c>
      <c r="F378" s="2" t="s">
        <v>14</v>
      </c>
      <c r="G378" s="2" t="s">
        <v>13</v>
      </c>
      <c r="H378" s="2" t="s">
        <v>16</v>
      </c>
      <c r="I378" s="2" t="s">
        <v>12</v>
      </c>
      <c r="J378" t="b">
        <f t="shared" si="46"/>
        <v>1</v>
      </c>
      <c r="K378" s="6" t="s">
        <v>138</v>
      </c>
      <c r="L378" s="7" t="s">
        <v>28</v>
      </c>
      <c r="M378" s="7" t="s">
        <v>11</v>
      </c>
      <c r="N378" s="7" t="s">
        <v>65</v>
      </c>
      <c r="O378" s="7" t="s">
        <v>19</v>
      </c>
      <c r="P378" s="7" t="s">
        <v>14</v>
      </c>
      <c r="Q378" s="7" t="s">
        <v>13</v>
      </c>
      <c r="R378" s="7" t="s">
        <v>16</v>
      </c>
      <c r="S378" s="7" t="s">
        <v>12</v>
      </c>
      <c r="U378" t="b">
        <f t="shared" si="47"/>
        <v>1</v>
      </c>
      <c r="V378" t="b">
        <f t="shared" si="48"/>
        <v>1</v>
      </c>
      <c r="W378" t="b">
        <f t="shared" si="49"/>
        <v>1</v>
      </c>
      <c r="X378" t="b">
        <f t="shared" si="50"/>
        <v>1</v>
      </c>
      <c r="Y378" t="b">
        <f t="shared" si="51"/>
        <v>1</v>
      </c>
      <c r="Z378" t="b">
        <f t="shared" si="52"/>
        <v>1</v>
      </c>
      <c r="AA378" t="b">
        <f t="shared" si="53"/>
        <v>1</v>
      </c>
      <c r="AB378" t="b">
        <f t="shared" si="54"/>
        <v>1</v>
      </c>
    </row>
    <row r="379" spans="1:28" ht="14.4">
      <c r="A379" s="2" t="s">
        <v>137</v>
      </c>
      <c r="B379" s="2" t="s">
        <v>28</v>
      </c>
      <c r="C379" s="2" t="s">
        <v>12</v>
      </c>
      <c r="D379" s="2" t="s">
        <v>65</v>
      </c>
      <c r="E379" s="2" t="s">
        <v>19</v>
      </c>
      <c r="F379" s="2" t="s">
        <v>14</v>
      </c>
      <c r="G379" s="2" t="s">
        <v>13</v>
      </c>
      <c r="H379" s="2" t="s">
        <v>16</v>
      </c>
      <c r="I379" s="2" t="s">
        <v>17</v>
      </c>
      <c r="J379" t="b">
        <f t="shared" si="46"/>
        <v>1</v>
      </c>
      <c r="K379" s="8" t="s">
        <v>137</v>
      </c>
      <c r="L379" s="9" t="s">
        <v>28</v>
      </c>
      <c r="M379" s="9" t="s">
        <v>12</v>
      </c>
      <c r="N379" s="9" t="s">
        <v>65</v>
      </c>
      <c r="O379" s="9" t="s">
        <v>19</v>
      </c>
      <c r="P379" s="9" t="s">
        <v>14</v>
      </c>
      <c r="Q379" s="9" t="s">
        <v>13</v>
      </c>
      <c r="R379" s="9" t="s">
        <v>16</v>
      </c>
      <c r="S379" s="9" t="s">
        <v>17</v>
      </c>
      <c r="U379" t="b">
        <f t="shared" si="47"/>
        <v>1</v>
      </c>
      <c r="V379" t="b">
        <f t="shared" si="48"/>
        <v>1</v>
      </c>
      <c r="W379" t="b">
        <f t="shared" si="49"/>
        <v>1</v>
      </c>
      <c r="X379" t="b">
        <f t="shared" si="50"/>
        <v>1</v>
      </c>
      <c r="Y379" t="b">
        <f t="shared" si="51"/>
        <v>1</v>
      </c>
      <c r="Z379" t="b">
        <f t="shared" si="52"/>
        <v>1</v>
      </c>
      <c r="AA379" t="b">
        <f t="shared" si="53"/>
        <v>1</v>
      </c>
      <c r="AB379" t="b">
        <f t="shared" si="54"/>
        <v>1</v>
      </c>
    </row>
    <row r="380" spans="1:28" ht="14.4">
      <c r="A380" s="2" t="s">
        <v>136</v>
      </c>
      <c r="B380" s="2" t="s">
        <v>28</v>
      </c>
      <c r="C380" s="2" t="s">
        <v>11</v>
      </c>
      <c r="D380" s="2" t="s">
        <v>65</v>
      </c>
      <c r="E380" s="2" t="s">
        <v>19</v>
      </c>
      <c r="F380" s="2" t="s">
        <v>14</v>
      </c>
      <c r="G380" s="2" t="s">
        <v>13</v>
      </c>
      <c r="H380" s="2" t="s">
        <v>16</v>
      </c>
      <c r="I380" s="2" t="s">
        <v>17</v>
      </c>
      <c r="J380" t="b">
        <f t="shared" si="46"/>
        <v>1</v>
      </c>
      <c r="K380" s="6" t="s">
        <v>136</v>
      </c>
      <c r="L380" s="7" t="s">
        <v>28</v>
      </c>
      <c r="M380" s="7" t="s">
        <v>11</v>
      </c>
      <c r="N380" s="7" t="s">
        <v>65</v>
      </c>
      <c r="O380" s="7" t="s">
        <v>19</v>
      </c>
      <c r="P380" s="7" t="s">
        <v>14</v>
      </c>
      <c r="Q380" s="7" t="s">
        <v>13</v>
      </c>
      <c r="R380" s="7" t="s">
        <v>16</v>
      </c>
      <c r="S380" s="7" t="s">
        <v>17</v>
      </c>
      <c r="U380" t="b">
        <f t="shared" si="47"/>
        <v>1</v>
      </c>
      <c r="V380" t="b">
        <f t="shared" si="48"/>
        <v>1</v>
      </c>
      <c r="W380" t="b">
        <f t="shared" si="49"/>
        <v>1</v>
      </c>
      <c r="X380" t="b">
        <f t="shared" si="50"/>
        <v>1</v>
      </c>
      <c r="Y380" t="b">
        <f t="shared" si="51"/>
        <v>1</v>
      </c>
      <c r="Z380" t="b">
        <f t="shared" si="52"/>
        <v>1</v>
      </c>
      <c r="AA380" t="b">
        <f t="shared" si="53"/>
        <v>1</v>
      </c>
      <c r="AB380" t="b">
        <f t="shared" si="54"/>
        <v>1</v>
      </c>
    </row>
    <row r="381" spans="1:28" ht="14.4">
      <c r="A381" s="2" t="s">
        <v>135</v>
      </c>
      <c r="B381" s="2" t="s">
        <v>28</v>
      </c>
      <c r="C381" s="2" t="s">
        <v>11</v>
      </c>
      <c r="D381" s="2" t="s">
        <v>65</v>
      </c>
      <c r="E381" s="2" t="s">
        <v>19</v>
      </c>
      <c r="F381" s="2" t="s">
        <v>12</v>
      </c>
      <c r="G381" s="2" t="s">
        <v>13</v>
      </c>
      <c r="H381" s="2" t="s">
        <v>16</v>
      </c>
      <c r="I381" s="2" t="s">
        <v>17</v>
      </c>
      <c r="J381" t="b">
        <f t="shared" si="46"/>
        <v>1</v>
      </c>
      <c r="K381" s="8" t="s">
        <v>135</v>
      </c>
      <c r="L381" s="9" t="s">
        <v>28</v>
      </c>
      <c r="M381" s="9" t="s">
        <v>11</v>
      </c>
      <c r="N381" s="9" t="s">
        <v>65</v>
      </c>
      <c r="O381" s="9" t="s">
        <v>19</v>
      </c>
      <c r="P381" s="9" t="s">
        <v>12</v>
      </c>
      <c r="Q381" s="9" t="s">
        <v>13</v>
      </c>
      <c r="R381" s="9" t="s">
        <v>16</v>
      </c>
      <c r="S381" s="9" t="s">
        <v>17</v>
      </c>
      <c r="U381" t="b">
        <f t="shared" si="47"/>
        <v>1</v>
      </c>
      <c r="V381" t="b">
        <f t="shared" si="48"/>
        <v>1</v>
      </c>
      <c r="W381" t="b">
        <f t="shared" si="49"/>
        <v>1</v>
      </c>
      <c r="X381" t="b">
        <f t="shared" si="50"/>
        <v>1</v>
      </c>
      <c r="Y381" t="b">
        <f t="shared" si="51"/>
        <v>1</v>
      </c>
      <c r="Z381" t="b">
        <f t="shared" si="52"/>
        <v>1</v>
      </c>
      <c r="AA381" t="b">
        <f t="shared" si="53"/>
        <v>1</v>
      </c>
      <c r="AB381" t="b">
        <f t="shared" si="54"/>
        <v>1</v>
      </c>
    </row>
    <row r="382" spans="1:28" ht="14.4">
      <c r="A382" s="2" t="s">
        <v>134</v>
      </c>
      <c r="B382" s="2" t="s">
        <v>14</v>
      </c>
      <c r="C382" s="2" t="s">
        <v>15</v>
      </c>
      <c r="D382" s="2" t="s">
        <v>65</v>
      </c>
      <c r="E382" s="2" t="s">
        <v>28</v>
      </c>
      <c r="F382" s="2" t="s">
        <v>11</v>
      </c>
      <c r="G382" s="2" t="s">
        <v>19</v>
      </c>
      <c r="H382" s="2" t="s">
        <v>12</v>
      </c>
      <c r="I382" s="2" t="s">
        <v>17</v>
      </c>
      <c r="J382" t="b">
        <f t="shared" si="46"/>
        <v>1</v>
      </c>
      <c r="K382" s="6" t="s">
        <v>134</v>
      </c>
      <c r="L382" s="7" t="s">
        <v>14</v>
      </c>
      <c r="M382" s="7" t="s">
        <v>15</v>
      </c>
      <c r="N382" s="7" t="s">
        <v>65</v>
      </c>
      <c r="O382" s="7" t="s">
        <v>28</v>
      </c>
      <c r="P382" s="7" t="s">
        <v>11</v>
      </c>
      <c r="Q382" s="7" t="s">
        <v>19</v>
      </c>
      <c r="R382" s="7" t="s">
        <v>12</v>
      </c>
      <c r="S382" s="7" t="s">
        <v>17</v>
      </c>
      <c r="U382" t="b">
        <f t="shared" si="47"/>
        <v>1</v>
      </c>
      <c r="V382" t="b">
        <f t="shared" si="48"/>
        <v>1</v>
      </c>
      <c r="W382" t="b">
        <f t="shared" si="49"/>
        <v>1</v>
      </c>
      <c r="X382" t="b">
        <f t="shared" si="50"/>
        <v>1</v>
      </c>
      <c r="Y382" t="b">
        <f t="shared" si="51"/>
        <v>1</v>
      </c>
      <c r="Z382" t="b">
        <f t="shared" si="52"/>
        <v>1</v>
      </c>
      <c r="AA382" t="b">
        <f t="shared" si="53"/>
        <v>1</v>
      </c>
      <c r="AB382" t="b">
        <f t="shared" si="54"/>
        <v>1</v>
      </c>
    </row>
    <row r="383" spans="1:28" ht="14.4" hidden="1">
      <c r="A383" s="2" t="s">
        <v>133</v>
      </c>
      <c r="B383" s="2" t="s">
        <v>14</v>
      </c>
      <c r="C383" s="2" t="s">
        <v>15</v>
      </c>
      <c r="D383" s="2" t="s">
        <v>65</v>
      </c>
      <c r="E383" s="2" t="s">
        <v>28</v>
      </c>
      <c r="F383" s="2" t="s">
        <v>11</v>
      </c>
      <c r="G383" s="2" t="s">
        <v>19</v>
      </c>
      <c r="H383" s="2" t="s">
        <v>16</v>
      </c>
      <c r="I383" s="2" t="s">
        <v>12</v>
      </c>
      <c r="J383" t="b">
        <f t="shared" si="46"/>
        <v>1</v>
      </c>
      <c r="K383" s="8" t="s">
        <v>133</v>
      </c>
      <c r="L383" s="9" t="s">
        <v>12</v>
      </c>
      <c r="M383" s="9" t="s">
        <v>15</v>
      </c>
      <c r="N383" s="9" t="s">
        <v>65</v>
      </c>
      <c r="O383" s="9" t="s">
        <v>28</v>
      </c>
      <c r="P383" s="9" t="s">
        <v>11</v>
      </c>
      <c r="Q383" s="9" t="s">
        <v>19</v>
      </c>
      <c r="R383" s="9" t="s">
        <v>16</v>
      </c>
      <c r="S383" s="9" t="s">
        <v>17</v>
      </c>
      <c r="U383" t="b">
        <f t="shared" si="47"/>
        <v>0</v>
      </c>
      <c r="V383" t="b">
        <f t="shared" si="48"/>
        <v>1</v>
      </c>
      <c r="W383" t="b">
        <f t="shared" si="49"/>
        <v>1</v>
      </c>
      <c r="X383" t="b">
        <f t="shared" si="50"/>
        <v>1</v>
      </c>
      <c r="Y383" t="b">
        <f t="shared" si="51"/>
        <v>1</v>
      </c>
      <c r="Z383" t="b">
        <f t="shared" si="52"/>
        <v>1</v>
      </c>
      <c r="AA383" t="b">
        <f t="shared" si="53"/>
        <v>1</v>
      </c>
      <c r="AB383" t="b">
        <f t="shared" si="54"/>
        <v>0</v>
      </c>
    </row>
    <row r="384" spans="1:28" ht="14.4">
      <c r="A384" s="2" t="s">
        <v>132</v>
      </c>
      <c r="B384" s="2" t="s">
        <v>14</v>
      </c>
      <c r="C384" s="2" t="s">
        <v>15</v>
      </c>
      <c r="D384" s="2" t="s">
        <v>65</v>
      </c>
      <c r="E384" s="2" t="s">
        <v>28</v>
      </c>
      <c r="F384" s="2" t="s">
        <v>12</v>
      </c>
      <c r="G384" s="2" t="s">
        <v>19</v>
      </c>
      <c r="H384" s="2" t="s">
        <v>16</v>
      </c>
      <c r="I384" s="2" t="s">
        <v>17</v>
      </c>
      <c r="J384" t="b">
        <f t="shared" si="46"/>
        <v>1</v>
      </c>
      <c r="K384" s="6" t="s">
        <v>132</v>
      </c>
      <c r="L384" s="7" t="s">
        <v>14</v>
      </c>
      <c r="M384" s="7" t="s">
        <v>15</v>
      </c>
      <c r="N384" s="7" t="s">
        <v>65</v>
      </c>
      <c r="O384" s="7" t="s">
        <v>28</v>
      </c>
      <c r="P384" s="7" t="s">
        <v>12</v>
      </c>
      <c r="Q384" s="7" t="s">
        <v>19</v>
      </c>
      <c r="R384" s="7" t="s">
        <v>16</v>
      </c>
      <c r="S384" s="7" t="s">
        <v>17</v>
      </c>
      <c r="U384" t="b">
        <f t="shared" si="47"/>
        <v>1</v>
      </c>
      <c r="V384" t="b">
        <f t="shared" si="48"/>
        <v>1</v>
      </c>
      <c r="W384" t="b">
        <f t="shared" si="49"/>
        <v>1</v>
      </c>
      <c r="X384" t="b">
        <f t="shared" si="50"/>
        <v>1</v>
      </c>
      <c r="Y384" t="b">
        <f t="shared" si="51"/>
        <v>1</v>
      </c>
      <c r="Z384" t="b">
        <f t="shared" si="52"/>
        <v>1</v>
      </c>
      <c r="AA384" t="b">
        <f t="shared" si="53"/>
        <v>1</v>
      </c>
      <c r="AB384" t="b">
        <f t="shared" si="54"/>
        <v>1</v>
      </c>
    </row>
    <row r="385" spans="1:28" ht="14.4">
      <c r="A385" s="2" t="s">
        <v>131</v>
      </c>
      <c r="B385" s="2" t="s">
        <v>14</v>
      </c>
      <c r="C385" s="2" t="s">
        <v>15</v>
      </c>
      <c r="D385" s="2" t="s">
        <v>65</v>
      </c>
      <c r="E385" s="2" t="s">
        <v>28</v>
      </c>
      <c r="F385" s="2" t="s">
        <v>11</v>
      </c>
      <c r="G385" s="2" t="s">
        <v>19</v>
      </c>
      <c r="H385" s="2" t="s">
        <v>16</v>
      </c>
      <c r="I385" s="2" t="s">
        <v>17</v>
      </c>
      <c r="J385" t="b">
        <f t="shared" si="46"/>
        <v>1</v>
      </c>
      <c r="K385" s="8" t="s">
        <v>131</v>
      </c>
      <c r="L385" s="9" t="s">
        <v>14</v>
      </c>
      <c r="M385" s="9" t="s">
        <v>15</v>
      </c>
      <c r="N385" s="9" t="s">
        <v>65</v>
      </c>
      <c r="O385" s="9" t="s">
        <v>28</v>
      </c>
      <c r="P385" s="9" t="s">
        <v>11</v>
      </c>
      <c r="Q385" s="9" t="s">
        <v>19</v>
      </c>
      <c r="R385" s="9" t="s">
        <v>16</v>
      </c>
      <c r="S385" s="9" t="s">
        <v>17</v>
      </c>
      <c r="U385" t="b">
        <f t="shared" si="47"/>
        <v>1</v>
      </c>
      <c r="V385" t="b">
        <f t="shared" si="48"/>
        <v>1</v>
      </c>
      <c r="W385" t="b">
        <f t="shared" si="49"/>
        <v>1</v>
      </c>
      <c r="X385" t="b">
        <f t="shared" si="50"/>
        <v>1</v>
      </c>
      <c r="Y385" t="b">
        <f t="shared" si="51"/>
        <v>1</v>
      </c>
      <c r="Z385" t="b">
        <f t="shared" si="52"/>
        <v>1</v>
      </c>
      <c r="AA385" t="b">
        <f t="shared" si="53"/>
        <v>1</v>
      </c>
      <c r="AB385" t="b">
        <f t="shared" si="54"/>
        <v>1</v>
      </c>
    </row>
    <row r="386" spans="1:28" ht="14.4" hidden="1">
      <c r="A386" s="2" t="s">
        <v>130</v>
      </c>
      <c r="B386" s="2" t="s">
        <v>12</v>
      </c>
      <c r="C386" s="2" t="s">
        <v>15</v>
      </c>
      <c r="D386" s="2" t="s">
        <v>65</v>
      </c>
      <c r="E386" s="2" t="s">
        <v>28</v>
      </c>
      <c r="F386" s="2" t="s">
        <v>11</v>
      </c>
      <c r="G386" s="2" t="s">
        <v>19</v>
      </c>
      <c r="H386" s="2" t="s">
        <v>16</v>
      </c>
      <c r="I386" s="2" t="s">
        <v>17</v>
      </c>
      <c r="J386" t="b">
        <f t="shared" si="46"/>
        <v>1</v>
      </c>
      <c r="K386" s="6" t="s">
        <v>130</v>
      </c>
      <c r="L386" s="7" t="s">
        <v>14</v>
      </c>
      <c r="M386" s="7" t="s">
        <v>15</v>
      </c>
      <c r="N386" s="7" t="s">
        <v>65</v>
      </c>
      <c r="O386" s="7" t="s">
        <v>28</v>
      </c>
      <c r="P386" s="7" t="s">
        <v>186</v>
      </c>
      <c r="Q386" s="7" t="s">
        <v>13</v>
      </c>
      <c r="R386" s="7" t="s">
        <v>19</v>
      </c>
      <c r="S386" s="7" t="s">
        <v>10</v>
      </c>
      <c r="U386" t="b">
        <f t="shared" si="47"/>
        <v>0</v>
      </c>
      <c r="V386" t="b">
        <f t="shared" si="48"/>
        <v>1</v>
      </c>
      <c r="W386" t="b">
        <f t="shared" si="49"/>
        <v>1</v>
      </c>
      <c r="X386" t="b">
        <f t="shared" si="50"/>
        <v>1</v>
      </c>
      <c r="Y386" t="b">
        <f t="shared" si="51"/>
        <v>0</v>
      </c>
      <c r="Z386" t="b">
        <f t="shared" si="52"/>
        <v>0</v>
      </c>
      <c r="AA386" t="b">
        <f t="shared" si="53"/>
        <v>0</v>
      </c>
      <c r="AB386" t="b">
        <f t="shared" si="54"/>
        <v>0</v>
      </c>
    </row>
    <row r="387" spans="1:28" ht="14.4">
      <c r="A387" s="2" t="s">
        <v>129</v>
      </c>
      <c r="B387" s="2" t="s">
        <v>14</v>
      </c>
      <c r="C387" s="2" t="s">
        <v>11</v>
      </c>
      <c r="D387" s="2" t="s">
        <v>65</v>
      </c>
      <c r="E387" s="2" t="s">
        <v>28</v>
      </c>
      <c r="F387" s="2" t="s">
        <v>12</v>
      </c>
      <c r="G387" s="2" t="s">
        <v>19</v>
      </c>
      <c r="H387" s="2" t="s">
        <v>16</v>
      </c>
      <c r="I387" s="2" t="s">
        <v>17</v>
      </c>
      <c r="J387" t="b">
        <f t="shared" ref="J387:J450" si="55">K387=A387</f>
        <v>1</v>
      </c>
      <c r="K387" s="8" t="s">
        <v>129</v>
      </c>
      <c r="L387" s="9" t="s">
        <v>14</v>
      </c>
      <c r="M387" s="9" t="s">
        <v>11</v>
      </c>
      <c r="N387" s="9" t="s">
        <v>65</v>
      </c>
      <c r="O387" s="9" t="s">
        <v>28</v>
      </c>
      <c r="P387" s="9" t="s">
        <v>12</v>
      </c>
      <c r="Q387" s="9" t="s">
        <v>19</v>
      </c>
      <c r="R387" s="9" t="s">
        <v>16</v>
      </c>
      <c r="S387" s="9" t="s">
        <v>17</v>
      </c>
      <c r="U387" t="b">
        <f t="shared" ref="U387:U450" si="56">B387=L387</f>
        <v>1</v>
      </c>
      <c r="V387" t="b">
        <f t="shared" ref="V387:V450" si="57">C387=M387</f>
        <v>1</v>
      </c>
      <c r="W387" t="b">
        <f t="shared" ref="W387:W450" si="58">D387=N387</f>
        <v>1</v>
      </c>
      <c r="X387" t="b">
        <f t="shared" ref="X387:X450" si="59">E387=O387</f>
        <v>1</v>
      </c>
      <c r="Y387" t="b">
        <f t="shared" ref="Y387:Y450" si="60">F387=P387</f>
        <v>1</v>
      </c>
      <c r="Z387" t="b">
        <f t="shared" ref="Z387:Z450" si="61">G387=Q387</f>
        <v>1</v>
      </c>
      <c r="AA387" t="b">
        <f t="shared" ref="AA387:AA450" si="62">H387=R387</f>
        <v>1</v>
      </c>
      <c r="AB387" t="b">
        <f t="shared" ref="AB387:AB450" si="63">I387=S387</f>
        <v>1</v>
      </c>
    </row>
    <row r="388" spans="1:28" ht="14.4">
      <c r="A388" s="2" t="s">
        <v>128</v>
      </c>
      <c r="B388" s="2" t="s">
        <v>14</v>
      </c>
      <c r="C388" s="2" t="s">
        <v>15</v>
      </c>
      <c r="D388" s="2" t="s">
        <v>65</v>
      </c>
      <c r="E388" s="2" t="s">
        <v>28</v>
      </c>
      <c r="F388" s="2" t="s">
        <v>11</v>
      </c>
      <c r="G388" s="2" t="s">
        <v>13</v>
      </c>
      <c r="H388" s="2" t="s">
        <v>10</v>
      </c>
      <c r="I388" s="2" t="s">
        <v>12</v>
      </c>
      <c r="J388" t="b">
        <f t="shared" si="55"/>
        <v>1</v>
      </c>
      <c r="K388" s="6" t="s">
        <v>128</v>
      </c>
      <c r="L388" s="7" t="s">
        <v>14</v>
      </c>
      <c r="M388" s="7" t="s">
        <v>15</v>
      </c>
      <c r="N388" s="7" t="s">
        <v>65</v>
      </c>
      <c r="O388" s="7" t="s">
        <v>28</v>
      </c>
      <c r="P388" s="7" t="s">
        <v>11</v>
      </c>
      <c r="Q388" s="7" t="s">
        <v>13</v>
      </c>
      <c r="R388" s="7" t="s">
        <v>10</v>
      </c>
      <c r="S388" s="7" t="s">
        <v>12</v>
      </c>
      <c r="U388" t="b">
        <f t="shared" si="56"/>
        <v>1</v>
      </c>
      <c r="V388" t="b">
        <f t="shared" si="57"/>
        <v>1</v>
      </c>
      <c r="W388" t="b">
        <f t="shared" si="58"/>
        <v>1</v>
      </c>
      <c r="X388" t="b">
        <f t="shared" si="59"/>
        <v>1</v>
      </c>
      <c r="Y388" t="b">
        <f t="shared" si="60"/>
        <v>1</v>
      </c>
      <c r="Z388" t="b">
        <f t="shared" si="61"/>
        <v>1</v>
      </c>
      <c r="AA388" t="b">
        <f t="shared" si="62"/>
        <v>1</v>
      </c>
      <c r="AB388" t="b">
        <f t="shared" si="63"/>
        <v>1</v>
      </c>
    </row>
    <row r="389" spans="1:28" ht="14.4">
      <c r="A389" s="2" t="s">
        <v>127</v>
      </c>
      <c r="B389" s="2" t="s">
        <v>10</v>
      </c>
      <c r="C389" s="2" t="s">
        <v>15</v>
      </c>
      <c r="D389" s="2" t="s">
        <v>65</v>
      </c>
      <c r="E389" s="2" t="s">
        <v>28</v>
      </c>
      <c r="F389" s="2" t="s">
        <v>14</v>
      </c>
      <c r="G389" s="2" t="s">
        <v>13</v>
      </c>
      <c r="H389" s="2" t="s">
        <v>12</v>
      </c>
      <c r="I389" s="2" t="s">
        <v>17</v>
      </c>
      <c r="J389" t="b">
        <f t="shared" si="55"/>
        <v>1</v>
      </c>
      <c r="K389" s="8" t="s">
        <v>127</v>
      </c>
      <c r="L389" s="9" t="s">
        <v>10</v>
      </c>
      <c r="M389" s="9" t="s">
        <v>15</v>
      </c>
      <c r="N389" s="9" t="s">
        <v>65</v>
      </c>
      <c r="O389" s="9" t="s">
        <v>28</v>
      </c>
      <c r="P389" s="9" t="s">
        <v>14</v>
      </c>
      <c r="Q389" s="9" t="s">
        <v>13</v>
      </c>
      <c r="R389" s="9" t="s">
        <v>12</v>
      </c>
      <c r="S389" s="9" t="s">
        <v>17</v>
      </c>
      <c r="U389" t="b">
        <f t="shared" si="56"/>
        <v>1</v>
      </c>
      <c r="V389" t="b">
        <f t="shared" si="57"/>
        <v>1</v>
      </c>
      <c r="W389" t="b">
        <f t="shared" si="58"/>
        <v>1</v>
      </c>
      <c r="X389" t="b">
        <f t="shared" si="59"/>
        <v>1</v>
      </c>
      <c r="Y389" t="b">
        <f t="shared" si="60"/>
        <v>1</v>
      </c>
      <c r="Z389" t="b">
        <f t="shared" si="61"/>
        <v>1</v>
      </c>
      <c r="AA389" t="b">
        <f t="shared" si="62"/>
        <v>1</v>
      </c>
      <c r="AB389" t="b">
        <f t="shared" si="63"/>
        <v>1</v>
      </c>
    </row>
    <row r="390" spans="1:28" ht="14.4">
      <c r="A390" s="2" t="s">
        <v>126</v>
      </c>
      <c r="B390" s="2" t="s">
        <v>10</v>
      </c>
      <c r="C390" s="2" t="s">
        <v>15</v>
      </c>
      <c r="D390" s="2" t="s">
        <v>65</v>
      </c>
      <c r="E390" s="2" t="s">
        <v>28</v>
      </c>
      <c r="F390" s="2" t="s">
        <v>14</v>
      </c>
      <c r="G390" s="2" t="s">
        <v>13</v>
      </c>
      <c r="H390" s="2" t="s">
        <v>16</v>
      </c>
      <c r="I390" s="2" t="s">
        <v>12</v>
      </c>
      <c r="J390" t="b">
        <f t="shared" si="55"/>
        <v>1</v>
      </c>
      <c r="K390" s="6" t="s">
        <v>126</v>
      </c>
      <c r="L390" s="7" t="s">
        <v>10</v>
      </c>
      <c r="M390" s="7" t="s">
        <v>15</v>
      </c>
      <c r="N390" s="7" t="s">
        <v>65</v>
      </c>
      <c r="O390" s="7" t="s">
        <v>28</v>
      </c>
      <c r="P390" s="7" t="s">
        <v>14</v>
      </c>
      <c r="Q390" s="7" t="s">
        <v>13</v>
      </c>
      <c r="R390" s="7" t="s">
        <v>16</v>
      </c>
      <c r="S390" s="7" t="s">
        <v>12</v>
      </c>
      <c r="U390" t="b">
        <f t="shared" si="56"/>
        <v>1</v>
      </c>
      <c r="V390" t="b">
        <f t="shared" si="57"/>
        <v>1</v>
      </c>
      <c r="W390" t="b">
        <f t="shared" si="58"/>
        <v>1</v>
      </c>
      <c r="X390" t="b">
        <f t="shared" si="59"/>
        <v>1</v>
      </c>
      <c r="Y390" t="b">
        <f t="shared" si="60"/>
        <v>1</v>
      </c>
      <c r="Z390" t="b">
        <f t="shared" si="61"/>
        <v>1</v>
      </c>
      <c r="AA390" t="b">
        <f t="shared" si="62"/>
        <v>1</v>
      </c>
      <c r="AB390" t="b">
        <f t="shared" si="63"/>
        <v>1</v>
      </c>
    </row>
    <row r="391" spans="1:28" ht="14.4">
      <c r="A391" s="2" t="s">
        <v>125</v>
      </c>
      <c r="B391" s="2" t="s">
        <v>14</v>
      </c>
      <c r="C391" s="2" t="s">
        <v>15</v>
      </c>
      <c r="D391" s="2" t="s">
        <v>65</v>
      </c>
      <c r="E391" s="2" t="s">
        <v>28</v>
      </c>
      <c r="F391" s="2" t="s">
        <v>11</v>
      </c>
      <c r="G391" s="2" t="s">
        <v>13</v>
      </c>
      <c r="H391" s="2" t="s">
        <v>10</v>
      </c>
      <c r="I391" s="2" t="s">
        <v>17</v>
      </c>
      <c r="J391" t="b">
        <f t="shared" si="55"/>
        <v>1</v>
      </c>
      <c r="K391" s="8" t="s">
        <v>125</v>
      </c>
      <c r="L391" s="9" t="s">
        <v>14</v>
      </c>
      <c r="M391" s="9" t="s">
        <v>15</v>
      </c>
      <c r="N391" s="9" t="s">
        <v>65</v>
      </c>
      <c r="O391" s="9" t="s">
        <v>28</v>
      </c>
      <c r="P391" s="9" t="s">
        <v>11</v>
      </c>
      <c r="Q391" s="9" t="s">
        <v>13</v>
      </c>
      <c r="R391" s="9" t="s">
        <v>10</v>
      </c>
      <c r="S391" s="9" t="s">
        <v>17</v>
      </c>
      <c r="U391" t="b">
        <f t="shared" si="56"/>
        <v>1</v>
      </c>
      <c r="V391" t="b">
        <f t="shared" si="57"/>
        <v>1</v>
      </c>
      <c r="W391" t="b">
        <f t="shared" si="58"/>
        <v>1</v>
      </c>
      <c r="X391" t="b">
        <f t="shared" si="59"/>
        <v>1</v>
      </c>
      <c r="Y391" t="b">
        <f t="shared" si="60"/>
        <v>1</v>
      </c>
      <c r="Z391" t="b">
        <f t="shared" si="61"/>
        <v>1</v>
      </c>
      <c r="AA391" t="b">
        <f t="shared" si="62"/>
        <v>1</v>
      </c>
      <c r="AB391" t="b">
        <f t="shared" si="63"/>
        <v>1</v>
      </c>
    </row>
    <row r="392" spans="1:28" ht="14.4">
      <c r="A392" s="2" t="s">
        <v>124</v>
      </c>
      <c r="B392" s="2" t="s">
        <v>14</v>
      </c>
      <c r="C392" s="2" t="s">
        <v>15</v>
      </c>
      <c r="D392" s="2" t="s">
        <v>65</v>
      </c>
      <c r="E392" s="2" t="s">
        <v>28</v>
      </c>
      <c r="F392" s="2" t="s">
        <v>11</v>
      </c>
      <c r="G392" s="2" t="s">
        <v>13</v>
      </c>
      <c r="H392" s="2" t="s">
        <v>16</v>
      </c>
      <c r="I392" s="2" t="s">
        <v>10</v>
      </c>
      <c r="J392" t="b">
        <f t="shared" si="55"/>
        <v>1</v>
      </c>
      <c r="K392" s="6" t="s">
        <v>124</v>
      </c>
      <c r="L392" s="7" t="s">
        <v>14</v>
      </c>
      <c r="M392" s="7" t="s">
        <v>15</v>
      </c>
      <c r="N392" s="7" t="s">
        <v>65</v>
      </c>
      <c r="O392" s="7" t="s">
        <v>28</v>
      </c>
      <c r="P392" s="7" t="s">
        <v>11</v>
      </c>
      <c r="Q392" s="7" t="s">
        <v>13</v>
      </c>
      <c r="R392" s="7" t="s">
        <v>16</v>
      </c>
      <c r="S392" s="7" t="s">
        <v>10</v>
      </c>
      <c r="U392" t="b">
        <f t="shared" si="56"/>
        <v>1</v>
      </c>
      <c r="V392" t="b">
        <f t="shared" si="57"/>
        <v>1</v>
      </c>
      <c r="W392" t="b">
        <f t="shared" si="58"/>
        <v>1</v>
      </c>
      <c r="X392" t="b">
        <f t="shared" si="59"/>
        <v>1</v>
      </c>
      <c r="Y392" t="b">
        <f t="shared" si="60"/>
        <v>1</v>
      </c>
      <c r="Z392" t="b">
        <f t="shared" si="61"/>
        <v>1</v>
      </c>
      <c r="AA392" t="b">
        <f t="shared" si="62"/>
        <v>1</v>
      </c>
      <c r="AB392" t="b">
        <f t="shared" si="63"/>
        <v>1</v>
      </c>
    </row>
    <row r="393" spans="1:28" ht="14.4">
      <c r="A393" s="2" t="s">
        <v>123</v>
      </c>
      <c r="B393" s="2" t="s">
        <v>10</v>
      </c>
      <c r="C393" s="2" t="s">
        <v>15</v>
      </c>
      <c r="D393" s="2" t="s">
        <v>65</v>
      </c>
      <c r="E393" s="2" t="s">
        <v>28</v>
      </c>
      <c r="F393" s="2" t="s">
        <v>14</v>
      </c>
      <c r="G393" s="2" t="s">
        <v>13</v>
      </c>
      <c r="H393" s="2" t="s">
        <v>16</v>
      </c>
      <c r="I393" s="2" t="s">
        <v>17</v>
      </c>
      <c r="J393" t="b">
        <f t="shared" si="55"/>
        <v>1</v>
      </c>
      <c r="K393" s="8" t="s">
        <v>123</v>
      </c>
      <c r="L393" s="9" t="s">
        <v>10</v>
      </c>
      <c r="M393" s="9" t="s">
        <v>15</v>
      </c>
      <c r="N393" s="9" t="s">
        <v>65</v>
      </c>
      <c r="O393" s="9" t="s">
        <v>28</v>
      </c>
      <c r="P393" s="9" t="s">
        <v>14</v>
      </c>
      <c r="Q393" s="9" t="s">
        <v>13</v>
      </c>
      <c r="R393" s="9" t="s">
        <v>16</v>
      </c>
      <c r="S393" s="9" t="s">
        <v>17</v>
      </c>
      <c r="U393" t="b">
        <f t="shared" si="56"/>
        <v>1</v>
      </c>
      <c r="V393" t="b">
        <f t="shared" si="57"/>
        <v>1</v>
      </c>
      <c r="W393" t="b">
        <f t="shared" si="58"/>
        <v>1</v>
      </c>
      <c r="X393" t="b">
        <f t="shared" si="59"/>
        <v>1</v>
      </c>
      <c r="Y393" t="b">
        <f t="shared" si="60"/>
        <v>1</v>
      </c>
      <c r="Z393" t="b">
        <f t="shared" si="61"/>
        <v>1</v>
      </c>
      <c r="AA393" t="b">
        <f t="shared" si="62"/>
        <v>1</v>
      </c>
      <c r="AB393" t="b">
        <f t="shared" si="63"/>
        <v>1</v>
      </c>
    </row>
    <row r="394" spans="1:28" ht="14.4">
      <c r="A394" s="2" t="s">
        <v>122</v>
      </c>
      <c r="B394" s="2" t="s">
        <v>10</v>
      </c>
      <c r="C394" s="2" t="s">
        <v>15</v>
      </c>
      <c r="D394" s="2" t="s">
        <v>65</v>
      </c>
      <c r="E394" s="2" t="s">
        <v>28</v>
      </c>
      <c r="F394" s="2" t="s">
        <v>11</v>
      </c>
      <c r="G394" s="2" t="s">
        <v>13</v>
      </c>
      <c r="H394" s="2" t="s">
        <v>12</v>
      </c>
      <c r="I394" s="2" t="s">
        <v>17</v>
      </c>
      <c r="J394" t="b">
        <f t="shared" si="55"/>
        <v>1</v>
      </c>
      <c r="K394" s="6" t="s">
        <v>122</v>
      </c>
      <c r="L394" s="7" t="s">
        <v>10</v>
      </c>
      <c r="M394" s="7" t="s">
        <v>15</v>
      </c>
      <c r="N394" s="7" t="s">
        <v>65</v>
      </c>
      <c r="O394" s="7" t="s">
        <v>28</v>
      </c>
      <c r="P394" s="7" t="s">
        <v>11</v>
      </c>
      <c r="Q394" s="7" t="s">
        <v>13</v>
      </c>
      <c r="R394" s="7" t="s">
        <v>12</v>
      </c>
      <c r="S394" s="7" t="s">
        <v>17</v>
      </c>
      <c r="U394" t="b">
        <f t="shared" si="56"/>
        <v>1</v>
      </c>
      <c r="V394" t="b">
        <f t="shared" si="57"/>
        <v>1</v>
      </c>
      <c r="W394" t="b">
        <f t="shared" si="58"/>
        <v>1</v>
      </c>
      <c r="X394" t="b">
        <f t="shared" si="59"/>
        <v>1</v>
      </c>
      <c r="Y394" t="b">
        <f t="shared" si="60"/>
        <v>1</v>
      </c>
      <c r="Z394" t="b">
        <f t="shared" si="61"/>
        <v>1</v>
      </c>
      <c r="AA394" t="b">
        <f t="shared" si="62"/>
        <v>1</v>
      </c>
      <c r="AB394" t="b">
        <f t="shared" si="63"/>
        <v>1</v>
      </c>
    </row>
    <row r="395" spans="1:28" ht="14.4">
      <c r="A395" s="2" t="s">
        <v>121</v>
      </c>
      <c r="B395" s="2" t="s">
        <v>10</v>
      </c>
      <c r="C395" s="2" t="s">
        <v>15</v>
      </c>
      <c r="D395" s="2" t="s">
        <v>65</v>
      </c>
      <c r="E395" s="2" t="s">
        <v>28</v>
      </c>
      <c r="F395" s="2" t="s">
        <v>11</v>
      </c>
      <c r="G395" s="2" t="s">
        <v>13</v>
      </c>
      <c r="H395" s="2" t="s">
        <v>16</v>
      </c>
      <c r="I395" s="2" t="s">
        <v>12</v>
      </c>
      <c r="J395" t="b">
        <f t="shared" si="55"/>
        <v>1</v>
      </c>
      <c r="K395" s="8" t="s">
        <v>121</v>
      </c>
      <c r="L395" s="9" t="s">
        <v>10</v>
      </c>
      <c r="M395" s="9" t="s">
        <v>15</v>
      </c>
      <c r="N395" s="9" t="s">
        <v>65</v>
      </c>
      <c r="O395" s="9" t="s">
        <v>28</v>
      </c>
      <c r="P395" s="9" t="s">
        <v>11</v>
      </c>
      <c r="Q395" s="9" t="s">
        <v>13</v>
      </c>
      <c r="R395" s="9" t="s">
        <v>16</v>
      </c>
      <c r="S395" s="9" t="s">
        <v>12</v>
      </c>
      <c r="U395" t="b">
        <f t="shared" si="56"/>
        <v>1</v>
      </c>
      <c r="V395" t="b">
        <f t="shared" si="57"/>
        <v>1</v>
      </c>
      <c r="W395" t="b">
        <f t="shared" si="58"/>
        <v>1</v>
      </c>
      <c r="X395" t="b">
        <f t="shared" si="59"/>
        <v>1</v>
      </c>
      <c r="Y395" t="b">
        <f t="shared" si="60"/>
        <v>1</v>
      </c>
      <c r="Z395" t="b">
        <f t="shared" si="61"/>
        <v>1</v>
      </c>
      <c r="AA395" t="b">
        <f t="shared" si="62"/>
        <v>1</v>
      </c>
      <c r="AB395" t="b">
        <f t="shared" si="63"/>
        <v>1</v>
      </c>
    </row>
    <row r="396" spans="1:28" ht="14.4">
      <c r="A396" s="2" t="s">
        <v>120</v>
      </c>
      <c r="B396" s="2" t="s">
        <v>10</v>
      </c>
      <c r="C396" s="2" t="s">
        <v>15</v>
      </c>
      <c r="D396" s="2" t="s">
        <v>65</v>
      </c>
      <c r="E396" s="2" t="s">
        <v>28</v>
      </c>
      <c r="F396" s="2" t="s">
        <v>12</v>
      </c>
      <c r="G396" s="2" t="s">
        <v>13</v>
      </c>
      <c r="H396" s="2" t="s">
        <v>16</v>
      </c>
      <c r="I396" s="2" t="s">
        <v>17</v>
      </c>
      <c r="J396" t="b">
        <f t="shared" si="55"/>
        <v>1</v>
      </c>
      <c r="K396" s="6" t="s">
        <v>120</v>
      </c>
      <c r="L396" s="7" t="s">
        <v>10</v>
      </c>
      <c r="M396" s="7" t="s">
        <v>15</v>
      </c>
      <c r="N396" s="7" t="s">
        <v>65</v>
      </c>
      <c r="O396" s="7" t="s">
        <v>28</v>
      </c>
      <c r="P396" s="7" t="s">
        <v>12</v>
      </c>
      <c r="Q396" s="7" t="s">
        <v>13</v>
      </c>
      <c r="R396" s="7" t="s">
        <v>16</v>
      </c>
      <c r="S396" s="7" t="s">
        <v>17</v>
      </c>
      <c r="U396" t="b">
        <f t="shared" si="56"/>
        <v>1</v>
      </c>
      <c r="V396" t="b">
        <f t="shared" si="57"/>
        <v>1</v>
      </c>
      <c r="W396" t="b">
        <f t="shared" si="58"/>
        <v>1</v>
      </c>
      <c r="X396" t="b">
        <f t="shared" si="59"/>
        <v>1</v>
      </c>
      <c r="Y396" t="b">
        <f t="shared" si="60"/>
        <v>1</v>
      </c>
      <c r="Z396" t="b">
        <f t="shared" si="61"/>
        <v>1</v>
      </c>
      <c r="AA396" t="b">
        <f t="shared" si="62"/>
        <v>1</v>
      </c>
      <c r="AB396" t="b">
        <f t="shared" si="63"/>
        <v>1</v>
      </c>
    </row>
    <row r="397" spans="1:28" ht="14.4">
      <c r="A397" s="2" t="s">
        <v>119</v>
      </c>
      <c r="B397" s="2" t="s">
        <v>10</v>
      </c>
      <c r="C397" s="2" t="s">
        <v>15</v>
      </c>
      <c r="D397" s="2" t="s">
        <v>65</v>
      </c>
      <c r="E397" s="2" t="s">
        <v>28</v>
      </c>
      <c r="F397" s="2" t="s">
        <v>11</v>
      </c>
      <c r="G397" s="2" t="s">
        <v>13</v>
      </c>
      <c r="H397" s="2" t="s">
        <v>16</v>
      </c>
      <c r="I397" s="2" t="s">
        <v>17</v>
      </c>
      <c r="J397" t="b">
        <f t="shared" si="55"/>
        <v>1</v>
      </c>
      <c r="K397" s="8" t="s">
        <v>119</v>
      </c>
      <c r="L397" s="9" t="s">
        <v>10</v>
      </c>
      <c r="M397" s="9" t="s">
        <v>15</v>
      </c>
      <c r="N397" s="9" t="s">
        <v>65</v>
      </c>
      <c r="O397" s="9" t="s">
        <v>28</v>
      </c>
      <c r="P397" s="9" t="s">
        <v>11</v>
      </c>
      <c r="Q397" s="9" t="s">
        <v>13</v>
      </c>
      <c r="R397" s="9" t="s">
        <v>16</v>
      </c>
      <c r="S397" s="9" t="s">
        <v>17</v>
      </c>
      <c r="U397" t="b">
        <f t="shared" si="56"/>
        <v>1</v>
      </c>
      <c r="V397" t="b">
        <f t="shared" si="57"/>
        <v>1</v>
      </c>
      <c r="W397" t="b">
        <f t="shared" si="58"/>
        <v>1</v>
      </c>
      <c r="X397" t="b">
        <f t="shared" si="59"/>
        <v>1</v>
      </c>
      <c r="Y397" t="b">
        <f t="shared" si="60"/>
        <v>1</v>
      </c>
      <c r="Z397" t="b">
        <f t="shared" si="61"/>
        <v>1</v>
      </c>
      <c r="AA397" t="b">
        <f t="shared" si="62"/>
        <v>1</v>
      </c>
      <c r="AB397" t="b">
        <f t="shared" si="63"/>
        <v>1</v>
      </c>
    </row>
    <row r="398" spans="1:28" ht="14.4">
      <c r="A398" s="2" t="s">
        <v>118</v>
      </c>
      <c r="B398" s="2" t="s">
        <v>10</v>
      </c>
      <c r="C398" s="2" t="s">
        <v>11</v>
      </c>
      <c r="D398" s="2" t="s">
        <v>65</v>
      </c>
      <c r="E398" s="2" t="s">
        <v>28</v>
      </c>
      <c r="F398" s="2" t="s">
        <v>14</v>
      </c>
      <c r="G398" s="2" t="s">
        <v>13</v>
      </c>
      <c r="H398" s="2" t="s">
        <v>12</v>
      </c>
      <c r="I398" s="2" t="s">
        <v>17</v>
      </c>
      <c r="J398" t="b">
        <f t="shared" si="55"/>
        <v>1</v>
      </c>
      <c r="K398" s="6" t="s">
        <v>118</v>
      </c>
      <c r="L398" s="7" t="s">
        <v>10</v>
      </c>
      <c r="M398" s="7" t="s">
        <v>11</v>
      </c>
      <c r="N398" s="7" t="s">
        <v>65</v>
      </c>
      <c r="O398" s="7" t="s">
        <v>28</v>
      </c>
      <c r="P398" s="7" t="s">
        <v>14</v>
      </c>
      <c r="Q398" s="7" t="s">
        <v>13</v>
      </c>
      <c r="R398" s="7" t="s">
        <v>12</v>
      </c>
      <c r="S398" s="7" t="s">
        <v>17</v>
      </c>
      <c r="U398" t="b">
        <f t="shared" si="56"/>
        <v>1</v>
      </c>
      <c r="V398" t="b">
        <f t="shared" si="57"/>
        <v>1</v>
      </c>
      <c r="W398" t="b">
        <f t="shared" si="58"/>
        <v>1</v>
      </c>
      <c r="X398" t="b">
        <f t="shared" si="59"/>
        <v>1</v>
      </c>
      <c r="Y398" t="b">
        <f t="shared" si="60"/>
        <v>1</v>
      </c>
      <c r="Z398" t="b">
        <f t="shared" si="61"/>
        <v>1</v>
      </c>
      <c r="AA398" t="b">
        <f t="shared" si="62"/>
        <v>1</v>
      </c>
      <c r="AB398" t="b">
        <f t="shared" si="63"/>
        <v>1</v>
      </c>
    </row>
    <row r="399" spans="1:28" ht="14.4">
      <c r="A399" s="2" t="s">
        <v>117</v>
      </c>
      <c r="B399" s="2" t="s">
        <v>10</v>
      </c>
      <c r="C399" s="2" t="s">
        <v>11</v>
      </c>
      <c r="D399" s="2" t="s">
        <v>65</v>
      </c>
      <c r="E399" s="2" t="s">
        <v>28</v>
      </c>
      <c r="F399" s="2" t="s">
        <v>14</v>
      </c>
      <c r="G399" s="2" t="s">
        <v>13</v>
      </c>
      <c r="H399" s="2" t="s">
        <v>16</v>
      </c>
      <c r="I399" s="2" t="s">
        <v>12</v>
      </c>
      <c r="J399" t="b">
        <f t="shared" si="55"/>
        <v>1</v>
      </c>
      <c r="K399" s="8" t="s">
        <v>117</v>
      </c>
      <c r="L399" s="9" t="s">
        <v>10</v>
      </c>
      <c r="M399" s="9" t="s">
        <v>11</v>
      </c>
      <c r="N399" s="9" t="s">
        <v>65</v>
      </c>
      <c r="O399" s="9" t="s">
        <v>28</v>
      </c>
      <c r="P399" s="9" t="s">
        <v>14</v>
      </c>
      <c r="Q399" s="9" t="s">
        <v>13</v>
      </c>
      <c r="R399" s="9" t="s">
        <v>16</v>
      </c>
      <c r="S399" s="9" t="s">
        <v>12</v>
      </c>
      <c r="U399" t="b">
        <f t="shared" si="56"/>
        <v>1</v>
      </c>
      <c r="V399" t="b">
        <f t="shared" si="57"/>
        <v>1</v>
      </c>
      <c r="W399" t="b">
        <f t="shared" si="58"/>
        <v>1</v>
      </c>
      <c r="X399" t="b">
        <f t="shared" si="59"/>
        <v>1</v>
      </c>
      <c r="Y399" t="b">
        <f t="shared" si="60"/>
        <v>1</v>
      </c>
      <c r="Z399" t="b">
        <f t="shared" si="61"/>
        <v>1</v>
      </c>
      <c r="AA399" t="b">
        <f t="shared" si="62"/>
        <v>1</v>
      </c>
      <c r="AB399" t="b">
        <f t="shared" si="63"/>
        <v>1</v>
      </c>
    </row>
    <row r="400" spans="1:28" ht="14.4">
      <c r="A400" s="2" t="s">
        <v>116</v>
      </c>
      <c r="B400" s="2" t="s">
        <v>10</v>
      </c>
      <c r="C400" s="2" t="s">
        <v>12</v>
      </c>
      <c r="D400" s="2" t="s">
        <v>65</v>
      </c>
      <c r="E400" s="2" t="s">
        <v>28</v>
      </c>
      <c r="F400" s="2" t="s">
        <v>14</v>
      </c>
      <c r="G400" s="2" t="s">
        <v>13</v>
      </c>
      <c r="H400" s="2" t="s">
        <v>16</v>
      </c>
      <c r="I400" s="2" t="s">
        <v>17</v>
      </c>
      <c r="J400" t="b">
        <f t="shared" si="55"/>
        <v>1</v>
      </c>
      <c r="K400" s="6" t="s">
        <v>116</v>
      </c>
      <c r="L400" s="7" t="s">
        <v>10</v>
      </c>
      <c r="M400" s="7" t="s">
        <v>12</v>
      </c>
      <c r="N400" s="7" t="s">
        <v>65</v>
      </c>
      <c r="O400" s="7" t="s">
        <v>28</v>
      </c>
      <c r="P400" s="7" t="s">
        <v>14</v>
      </c>
      <c r="Q400" s="7" t="s">
        <v>13</v>
      </c>
      <c r="R400" s="7" t="s">
        <v>16</v>
      </c>
      <c r="S400" s="7" t="s">
        <v>17</v>
      </c>
      <c r="U400" t="b">
        <f t="shared" si="56"/>
        <v>1</v>
      </c>
      <c r="V400" t="b">
        <f t="shared" si="57"/>
        <v>1</v>
      </c>
      <c r="W400" t="b">
        <f t="shared" si="58"/>
        <v>1</v>
      </c>
      <c r="X400" t="b">
        <f t="shared" si="59"/>
        <v>1</v>
      </c>
      <c r="Y400" t="b">
        <f t="shared" si="60"/>
        <v>1</v>
      </c>
      <c r="Z400" t="b">
        <f t="shared" si="61"/>
        <v>1</v>
      </c>
      <c r="AA400" t="b">
        <f t="shared" si="62"/>
        <v>1</v>
      </c>
      <c r="AB400" t="b">
        <f t="shared" si="63"/>
        <v>1</v>
      </c>
    </row>
    <row r="401" spans="1:28" ht="14.4">
      <c r="A401" s="2" t="s">
        <v>115</v>
      </c>
      <c r="B401" s="2" t="s">
        <v>10</v>
      </c>
      <c r="C401" s="2" t="s">
        <v>11</v>
      </c>
      <c r="D401" s="2" t="s">
        <v>65</v>
      </c>
      <c r="E401" s="2" t="s">
        <v>28</v>
      </c>
      <c r="F401" s="2" t="s">
        <v>14</v>
      </c>
      <c r="G401" s="2" t="s">
        <v>13</v>
      </c>
      <c r="H401" s="2" t="s">
        <v>16</v>
      </c>
      <c r="I401" s="2" t="s">
        <v>17</v>
      </c>
      <c r="J401" t="b">
        <f t="shared" si="55"/>
        <v>1</v>
      </c>
      <c r="K401" s="8" t="s">
        <v>115</v>
      </c>
      <c r="L401" s="9" t="s">
        <v>10</v>
      </c>
      <c r="M401" s="9" t="s">
        <v>11</v>
      </c>
      <c r="N401" s="9" t="s">
        <v>65</v>
      </c>
      <c r="O401" s="9" t="s">
        <v>28</v>
      </c>
      <c r="P401" s="9" t="s">
        <v>14</v>
      </c>
      <c r="Q401" s="9" t="s">
        <v>13</v>
      </c>
      <c r="R401" s="9" t="s">
        <v>16</v>
      </c>
      <c r="S401" s="9" t="s">
        <v>17</v>
      </c>
      <c r="U401" t="b">
        <f t="shared" si="56"/>
        <v>1</v>
      </c>
      <c r="V401" t="b">
        <f t="shared" si="57"/>
        <v>1</v>
      </c>
      <c r="W401" t="b">
        <f t="shared" si="58"/>
        <v>1</v>
      </c>
      <c r="X401" t="b">
        <f t="shared" si="59"/>
        <v>1</v>
      </c>
      <c r="Y401" t="b">
        <f t="shared" si="60"/>
        <v>1</v>
      </c>
      <c r="Z401" t="b">
        <f t="shared" si="61"/>
        <v>1</v>
      </c>
      <c r="AA401" t="b">
        <f t="shared" si="62"/>
        <v>1</v>
      </c>
      <c r="AB401" t="b">
        <f t="shared" si="63"/>
        <v>1</v>
      </c>
    </row>
    <row r="402" spans="1:28" ht="14.4">
      <c r="A402" s="2" t="s">
        <v>114</v>
      </c>
      <c r="B402" s="2" t="s">
        <v>10</v>
      </c>
      <c r="C402" s="2" t="s">
        <v>11</v>
      </c>
      <c r="D402" s="2" t="s">
        <v>65</v>
      </c>
      <c r="E402" s="2" t="s">
        <v>28</v>
      </c>
      <c r="F402" s="2" t="s">
        <v>12</v>
      </c>
      <c r="G402" s="2" t="s">
        <v>13</v>
      </c>
      <c r="H402" s="2" t="s">
        <v>16</v>
      </c>
      <c r="I402" s="2" t="s">
        <v>17</v>
      </c>
      <c r="J402" t="b">
        <f t="shared" si="55"/>
        <v>1</v>
      </c>
      <c r="K402" s="6" t="s">
        <v>114</v>
      </c>
      <c r="L402" s="7" t="s">
        <v>10</v>
      </c>
      <c r="M402" s="7" t="s">
        <v>11</v>
      </c>
      <c r="N402" s="7" t="s">
        <v>65</v>
      </c>
      <c r="O402" s="7" t="s">
        <v>28</v>
      </c>
      <c r="P402" s="7" t="s">
        <v>12</v>
      </c>
      <c r="Q402" s="7" t="s">
        <v>13</v>
      </c>
      <c r="R402" s="7" t="s">
        <v>16</v>
      </c>
      <c r="S402" s="7" t="s">
        <v>17</v>
      </c>
      <c r="U402" t="b">
        <f t="shared" si="56"/>
        <v>1</v>
      </c>
      <c r="V402" t="b">
        <f t="shared" si="57"/>
        <v>1</v>
      </c>
      <c r="W402" t="b">
        <f t="shared" si="58"/>
        <v>1</v>
      </c>
      <c r="X402" t="b">
        <f t="shared" si="59"/>
        <v>1</v>
      </c>
      <c r="Y402" t="b">
        <f t="shared" si="60"/>
        <v>1</v>
      </c>
      <c r="Z402" t="b">
        <f t="shared" si="61"/>
        <v>1</v>
      </c>
      <c r="AA402" t="b">
        <f t="shared" si="62"/>
        <v>1</v>
      </c>
      <c r="AB402" t="b">
        <f t="shared" si="63"/>
        <v>1</v>
      </c>
    </row>
    <row r="403" spans="1:28" ht="14.4">
      <c r="A403" s="2" t="s">
        <v>113</v>
      </c>
      <c r="B403" s="2" t="s">
        <v>10</v>
      </c>
      <c r="C403" s="2" t="s">
        <v>11</v>
      </c>
      <c r="D403" s="2" t="s">
        <v>65</v>
      </c>
      <c r="E403" s="2" t="s">
        <v>28</v>
      </c>
      <c r="F403" s="2" t="s">
        <v>14</v>
      </c>
      <c r="G403" s="2" t="s">
        <v>15</v>
      </c>
      <c r="H403" s="2" t="s">
        <v>12</v>
      </c>
      <c r="I403" s="2" t="s">
        <v>17</v>
      </c>
      <c r="J403" t="b">
        <f t="shared" si="55"/>
        <v>1</v>
      </c>
      <c r="K403" s="8" t="s">
        <v>113</v>
      </c>
      <c r="L403" s="9" t="s">
        <v>10</v>
      </c>
      <c r="M403" s="9" t="s">
        <v>11</v>
      </c>
      <c r="N403" s="9" t="s">
        <v>65</v>
      </c>
      <c r="O403" s="9" t="s">
        <v>28</v>
      </c>
      <c r="P403" s="9" t="s">
        <v>14</v>
      </c>
      <c r="Q403" s="9" t="s">
        <v>15</v>
      </c>
      <c r="R403" s="9" t="s">
        <v>12</v>
      </c>
      <c r="S403" s="9" t="s">
        <v>17</v>
      </c>
      <c r="U403" t="b">
        <f t="shared" si="56"/>
        <v>1</v>
      </c>
      <c r="V403" t="b">
        <f t="shared" si="57"/>
        <v>1</v>
      </c>
      <c r="W403" t="b">
        <f t="shared" si="58"/>
        <v>1</v>
      </c>
      <c r="X403" t="b">
        <f t="shared" si="59"/>
        <v>1</v>
      </c>
      <c r="Y403" t="b">
        <f t="shared" si="60"/>
        <v>1</v>
      </c>
      <c r="Z403" t="b">
        <f t="shared" si="61"/>
        <v>1</v>
      </c>
      <c r="AA403" t="b">
        <f t="shared" si="62"/>
        <v>1</v>
      </c>
      <c r="AB403" t="b">
        <f t="shared" si="63"/>
        <v>1</v>
      </c>
    </row>
    <row r="404" spans="1:28" ht="14.4" hidden="1">
      <c r="A404" s="2" t="s">
        <v>112</v>
      </c>
      <c r="B404" s="2" t="s">
        <v>10</v>
      </c>
      <c r="C404" s="2" t="s">
        <v>11</v>
      </c>
      <c r="D404" s="2" t="s">
        <v>65</v>
      </c>
      <c r="E404" s="2" t="s">
        <v>28</v>
      </c>
      <c r="F404" s="2" t="s">
        <v>14</v>
      </c>
      <c r="G404" s="2" t="s">
        <v>15</v>
      </c>
      <c r="H404" s="2" t="s">
        <v>16</v>
      </c>
      <c r="I404" s="2" t="s">
        <v>12</v>
      </c>
      <c r="J404" t="b">
        <f t="shared" si="55"/>
        <v>1</v>
      </c>
      <c r="K404" s="6" t="s">
        <v>112</v>
      </c>
      <c r="L404" s="7" t="s">
        <v>10</v>
      </c>
      <c r="M404" s="7" t="s">
        <v>11</v>
      </c>
      <c r="N404" s="7" t="s">
        <v>65</v>
      </c>
      <c r="O404" s="7" t="s">
        <v>28</v>
      </c>
      <c r="P404" s="7" t="s">
        <v>12</v>
      </c>
      <c r="Q404" s="7" t="s">
        <v>15</v>
      </c>
      <c r="R404" s="7" t="s">
        <v>16</v>
      </c>
      <c r="S404" s="7" t="s">
        <v>17</v>
      </c>
      <c r="U404" t="b">
        <f t="shared" si="56"/>
        <v>1</v>
      </c>
      <c r="V404" t="b">
        <f t="shared" si="57"/>
        <v>1</v>
      </c>
      <c r="W404" t="b">
        <f t="shared" si="58"/>
        <v>1</v>
      </c>
      <c r="X404" t="b">
        <f t="shared" si="59"/>
        <v>1</v>
      </c>
      <c r="Y404" t="b">
        <f t="shared" si="60"/>
        <v>0</v>
      </c>
      <c r="Z404" t="b">
        <f t="shared" si="61"/>
        <v>1</v>
      </c>
      <c r="AA404" t="b">
        <f t="shared" si="62"/>
        <v>1</v>
      </c>
      <c r="AB404" t="b">
        <f t="shared" si="63"/>
        <v>0</v>
      </c>
    </row>
    <row r="405" spans="1:28" ht="14.4">
      <c r="A405" s="2" t="s">
        <v>111</v>
      </c>
      <c r="B405" s="2" t="s">
        <v>10</v>
      </c>
      <c r="C405" s="2" t="s">
        <v>15</v>
      </c>
      <c r="D405" s="2" t="s">
        <v>65</v>
      </c>
      <c r="E405" s="2" t="s">
        <v>28</v>
      </c>
      <c r="F405" s="2" t="s">
        <v>12</v>
      </c>
      <c r="G405" s="2" t="s">
        <v>14</v>
      </c>
      <c r="H405" s="2" t="s">
        <v>16</v>
      </c>
      <c r="I405" s="2" t="s">
        <v>17</v>
      </c>
      <c r="J405" t="b">
        <f t="shared" si="55"/>
        <v>1</v>
      </c>
      <c r="K405" s="8" t="s">
        <v>111</v>
      </c>
      <c r="L405" s="9" t="s">
        <v>10</v>
      </c>
      <c r="M405" s="9" t="s">
        <v>15</v>
      </c>
      <c r="N405" s="9" t="s">
        <v>65</v>
      </c>
      <c r="O405" s="9" t="s">
        <v>28</v>
      </c>
      <c r="P405" s="9" t="s">
        <v>12</v>
      </c>
      <c r="Q405" s="9" t="s">
        <v>14</v>
      </c>
      <c r="R405" s="9" t="s">
        <v>16</v>
      </c>
      <c r="S405" s="9" t="s">
        <v>17</v>
      </c>
      <c r="U405" t="b">
        <f t="shared" si="56"/>
        <v>1</v>
      </c>
      <c r="V405" t="b">
        <f t="shared" si="57"/>
        <v>1</v>
      </c>
      <c r="W405" t="b">
        <f t="shared" si="58"/>
        <v>1</v>
      </c>
      <c r="X405" t="b">
        <f t="shared" si="59"/>
        <v>1</v>
      </c>
      <c r="Y405" t="b">
        <f t="shared" si="60"/>
        <v>1</v>
      </c>
      <c r="Z405" t="b">
        <f t="shared" si="61"/>
        <v>1</v>
      </c>
      <c r="AA405" t="b">
        <f t="shared" si="62"/>
        <v>1</v>
      </c>
      <c r="AB405" t="b">
        <f t="shared" si="63"/>
        <v>1</v>
      </c>
    </row>
    <row r="406" spans="1:28" ht="14.4">
      <c r="A406" s="2" t="s">
        <v>110</v>
      </c>
      <c r="B406" s="2" t="s">
        <v>10</v>
      </c>
      <c r="C406" s="2" t="s">
        <v>11</v>
      </c>
      <c r="D406" s="2" t="s">
        <v>65</v>
      </c>
      <c r="E406" s="2" t="s">
        <v>28</v>
      </c>
      <c r="F406" s="2" t="s">
        <v>14</v>
      </c>
      <c r="G406" s="2" t="s">
        <v>15</v>
      </c>
      <c r="H406" s="2" t="s">
        <v>16</v>
      </c>
      <c r="I406" s="2" t="s">
        <v>17</v>
      </c>
      <c r="J406" t="b">
        <f t="shared" si="55"/>
        <v>1</v>
      </c>
      <c r="K406" s="6" t="s">
        <v>110</v>
      </c>
      <c r="L406" s="7" t="s">
        <v>10</v>
      </c>
      <c r="M406" s="7" t="s">
        <v>11</v>
      </c>
      <c r="N406" s="7" t="s">
        <v>65</v>
      </c>
      <c r="O406" s="7" t="s">
        <v>28</v>
      </c>
      <c r="P406" s="7" t="s">
        <v>14</v>
      </c>
      <c r="Q406" s="7" t="s">
        <v>15</v>
      </c>
      <c r="R406" s="7" t="s">
        <v>16</v>
      </c>
      <c r="S406" s="7" t="s">
        <v>17</v>
      </c>
      <c r="U406" t="b">
        <f t="shared" si="56"/>
        <v>1</v>
      </c>
      <c r="V406" t="b">
        <f t="shared" si="57"/>
        <v>1</v>
      </c>
      <c r="W406" t="b">
        <f t="shared" si="58"/>
        <v>1</v>
      </c>
      <c r="X406" t="b">
        <f t="shared" si="59"/>
        <v>1</v>
      </c>
      <c r="Y406" t="b">
        <f t="shared" si="60"/>
        <v>1</v>
      </c>
      <c r="Z406" t="b">
        <f t="shared" si="61"/>
        <v>1</v>
      </c>
      <c r="AA406" t="b">
        <f t="shared" si="62"/>
        <v>1</v>
      </c>
      <c r="AB406" t="b">
        <f t="shared" si="63"/>
        <v>1</v>
      </c>
    </row>
    <row r="407" spans="1:28" ht="14.4" hidden="1">
      <c r="A407" s="2" t="s">
        <v>109</v>
      </c>
      <c r="B407" s="2" t="s">
        <v>10</v>
      </c>
      <c r="C407" s="2" t="s">
        <v>11</v>
      </c>
      <c r="D407" s="2" t="s">
        <v>65</v>
      </c>
      <c r="E407" s="2" t="s">
        <v>28</v>
      </c>
      <c r="F407" s="2" t="s">
        <v>12</v>
      </c>
      <c r="G407" s="2" t="s">
        <v>15</v>
      </c>
      <c r="H407" s="2" t="s">
        <v>16</v>
      </c>
      <c r="I407" s="2" t="s">
        <v>17</v>
      </c>
      <c r="J407" t="b">
        <f t="shared" si="55"/>
        <v>1</v>
      </c>
      <c r="K407" s="8" t="s">
        <v>109</v>
      </c>
      <c r="L407" s="9" t="s">
        <v>14</v>
      </c>
      <c r="M407" s="9" t="s">
        <v>15</v>
      </c>
      <c r="N407" s="9" t="s">
        <v>65</v>
      </c>
      <c r="O407" s="9" t="s">
        <v>28</v>
      </c>
      <c r="P407" s="9" t="s">
        <v>186</v>
      </c>
      <c r="Q407" s="9" t="s">
        <v>13</v>
      </c>
      <c r="R407" s="9" t="s">
        <v>19</v>
      </c>
      <c r="S407" s="9" t="s">
        <v>10</v>
      </c>
      <c r="U407" t="b">
        <f t="shared" si="56"/>
        <v>0</v>
      </c>
      <c r="V407" t="b">
        <f t="shared" si="57"/>
        <v>0</v>
      </c>
      <c r="W407" t="b">
        <f t="shared" si="58"/>
        <v>1</v>
      </c>
      <c r="X407" t="b">
        <f t="shared" si="59"/>
        <v>1</v>
      </c>
      <c r="Y407" t="b">
        <f t="shared" si="60"/>
        <v>0</v>
      </c>
      <c r="Z407" t="b">
        <f t="shared" si="61"/>
        <v>0</v>
      </c>
      <c r="AA407" t="b">
        <f t="shared" si="62"/>
        <v>0</v>
      </c>
      <c r="AB407" t="b">
        <f t="shared" si="63"/>
        <v>0</v>
      </c>
    </row>
    <row r="408" spans="1:28" ht="14.4">
      <c r="A408" s="2" t="s">
        <v>108</v>
      </c>
      <c r="B408" s="2" t="s">
        <v>10</v>
      </c>
      <c r="C408" s="2" t="s">
        <v>11</v>
      </c>
      <c r="D408" s="2" t="s">
        <v>65</v>
      </c>
      <c r="E408" s="2" t="s">
        <v>28</v>
      </c>
      <c r="F408" s="2" t="s">
        <v>12</v>
      </c>
      <c r="G408" s="2" t="s">
        <v>14</v>
      </c>
      <c r="H408" s="2" t="s">
        <v>16</v>
      </c>
      <c r="I408" s="2" t="s">
        <v>17</v>
      </c>
      <c r="J408" t="b">
        <f t="shared" si="55"/>
        <v>1</v>
      </c>
      <c r="K408" s="6" t="s">
        <v>108</v>
      </c>
      <c r="L408" s="7" t="s">
        <v>10</v>
      </c>
      <c r="M408" s="7" t="s">
        <v>11</v>
      </c>
      <c r="N408" s="7" t="s">
        <v>65</v>
      </c>
      <c r="O408" s="7" t="s">
        <v>28</v>
      </c>
      <c r="P408" s="7" t="s">
        <v>12</v>
      </c>
      <c r="Q408" s="7" t="s">
        <v>14</v>
      </c>
      <c r="R408" s="7" t="s">
        <v>16</v>
      </c>
      <c r="S408" s="7" t="s">
        <v>17</v>
      </c>
      <c r="U408" t="b">
        <f t="shared" si="56"/>
        <v>1</v>
      </c>
      <c r="V408" t="b">
        <f t="shared" si="57"/>
        <v>1</v>
      </c>
      <c r="W408" t="b">
        <f t="shared" si="58"/>
        <v>1</v>
      </c>
      <c r="X408" t="b">
        <f t="shared" si="59"/>
        <v>1</v>
      </c>
      <c r="Y408" t="b">
        <f t="shared" si="60"/>
        <v>1</v>
      </c>
      <c r="Z408" t="b">
        <f t="shared" si="61"/>
        <v>1</v>
      </c>
      <c r="AA408" t="b">
        <f t="shared" si="62"/>
        <v>1</v>
      </c>
      <c r="AB408" t="b">
        <f t="shared" si="63"/>
        <v>1</v>
      </c>
    </row>
    <row r="409" spans="1:28" ht="14.4">
      <c r="A409" s="2" t="s">
        <v>107</v>
      </c>
      <c r="B409" s="2" t="s">
        <v>14</v>
      </c>
      <c r="C409" s="2" t="s">
        <v>15</v>
      </c>
      <c r="D409" s="2" t="s">
        <v>65</v>
      </c>
      <c r="E409" s="2" t="s">
        <v>28</v>
      </c>
      <c r="F409" s="2" t="s">
        <v>11</v>
      </c>
      <c r="G409" s="2" t="s">
        <v>13</v>
      </c>
      <c r="H409" s="2" t="s">
        <v>12</v>
      </c>
      <c r="I409" s="2" t="s">
        <v>17</v>
      </c>
      <c r="J409" t="b">
        <f t="shared" si="55"/>
        <v>1</v>
      </c>
      <c r="K409" s="8" t="s">
        <v>107</v>
      </c>
      <c r="L409" s="9" t="s">
        <v>14</v>
      </c>
      <c r="M409" s="9" t="s">
        <v>15</v>
      </c>
      <c r="N409" s="9" t="s">
        <v>65</v>
      </c>
      <c r="O409" s="9" t="s">
        <v>28</v>
      </c>
      <c r="P409" s="9" t="s">
        <v>11</v>
      </c>
      <c r="Q409" s="9" t="s">
        <v>13</v>
      </c>
      <c r="R409" s="9" t="s">
        <v>12</v>
      </c>
      <c r="S409" s="9" t="s">
        <v>17</v>
      </c>
      <c r="U409" t="b">
        <f t="shared" si="56"/>
        <v>1</v>
      </c>
      <c r="V409" t="b">
        <f t="shared" si="57"/>
        <v>1</v>
      </c>
      <c r="W409" t="b">
        <f t="shared" si="58"/>
        <v>1</v>
      </c>
      <c r="X409" t="b">
        <f t="shared" si="59"/>
        <v>1</v>
      </c>
      <c r="Y409" t="b">
        <f t="shared" si="60"/>
        <v>1</v>
      </c>
      <c r="Z409" t="b">
        <f t="shared" si="61"/>
        <v>1</v>
      </c>
      <c r="AA409" t="b">
        <f t="shared" si="62"/>
        <v>1</v>
      </c>
      <c r="AB409" t="b">
        <f t="shared" si="63"/>
        <v>1</v>
      </c>
    </row>
    <row r="410" spans="1:28" ht="14.4">
      <c r="A410" s="2" t="s">
        <v>106</v>
      </c>
      <c r="B410" s="2" t="s">
        <v>14</v>
      </c>
      <c r="C410" s="2" t="s">
        <v>15</v>
      </c>
      <c r="D410" s="2" t="s">
        <v>65</v>
      </c>
      <c r="E410" s="2" t="s">
        <v>28</v>
      </c>
      <c r="F410" s="2" t="s">
        <v>11</v>
      </c>
      <c r="G410" s="2" t="s">
        <v>13</v>
      </c>
      <c r="H410" s="2" t="s">
        <v>16</v>
      </c>
      <c r="I410" s="2" t="s">
        <v>12</v>
      </c>
      <c r="J410" t="b">
        <f t="shared" si="55"/>
        <v>1</v>
      </c>
      <c r="K410" s="6" t="s">
        <v>106</v>
      </c>
      <c r="L410" s="7" t="s">
        <v>14</v>
      </c>
      <c r="M410" s="7" t="s">
        <v>15</v>
      </c>
      <c r="N410" s="7" t="s">
        <v>65</v>
      </c>
      <c r="O410" s="7" t="s">
        <v>28</v>
      </c>
      <c r="P410" s="7" t="s">
        <v>11</v>
      </c>
      <c r="Q410" s="7" t="s">
        <v>13</v>
      </c>
      <c r="R410" s="7" t="s">
        <v>16</v>
      </c>
      <c r="S410" s="7" t="s">
        <v>12</v>
      </c>
      <c r="U410" t="b">
        <f t="shared" si="56"/>
        <v>1</v>
      </c>
      <c r="V410" t="b">
        <f t="shared" si="57"/>
        <v>1</v>
      </c>
      <c r="W410" t="b">
        <f t="shared" si="58"/>
        <v>1</v>
      </c>
      <c r="X410" t="b">
        <f t="shared" si="59"/>
        <v>1</v>
      </c>
      <c r="Y410" t="b">
        <f t="shared" si="60"/>
        <v>1</v>
      </c>
      <c r="Z410" t="b">
        <f t="shared" si="61"/>
        <v>1</v>
      </c>
      <c r="AA410" t="b">
        <f t="shared" si="62"/>
        <v>1</v>
      </c>
      <c r="AB410" t="b">
        <f t="shared" si="63"/>
        <v>1</v>
      </c>
    </row>
    <row r="411" spans="1:28" ht="14.4">
      <c r="A411" s="2" t="s">
        <v>105</v>
      </c>
      <c r="B411" s="2" t="s">
        <v>14</v>
      </c>
      <c r="C411" s="2" t="s">
        <v>15</v>
      </c>
      <c r="D411" s="2" t="s">
        <v>65</v>
      </c>
      <c r="E411" s="2" t="s">
        <v>28</v>
      </c>
      <c r="F411" s="2" t="s">
        <v>12</v>
      </c>
      <c r="G411" s="2" t="s">
        <v>13</v>
      </c>
      <c r="H411" s="2" t="s">
        <v>16</v>
      </c>
      <c r="I411" s="2" t="s">
        <v>17</v>
      </c>
      <c r="J411" t="b">
        <f t="shared" si="55"/>
        <v>1</v>
      </c>
      <c r="K411" s="8" t="s">
        <v>105</v>
      </c>
      <c r="L411" s="9" t="s">
        <v>14</v>
      </c>
      <c r="M411" s="9" t="s">
        <v>15</v>
      </c>
      <c r="N411" s="9" t="s">
        <v>65</v>
      </c>
      <c r="O411" s="9" t="s">
        <v>28</v>
      </c>
      <c r="P411" s="9" t="s">
        <v>12</v>
      </c>
      <c r="Q411" s="9" t="s">
        <v>13</v>
      </c>
      <c r="R411" s="9" t="s">
        <v>16</v>
      </c>
      <c r="S411" s="9" t="s">
        <v>17</v>
      </c>
      <c r="U411" t="b">
        <f t="shared" si="56"/>
        <v>1</v>
      </c>
      <c r="V411" t="b">
        <f t="shared" si="57"/>
        <v>1</v>
      </c>
      <c r="W411" t="b">
        <f t="shared" si="58"/>
        <v>1</v>
      </c>
      <c r="X411" t="b">
        <f t="shared" si="59"/>
        <v>1</v>
      </c>
      <c r="Y411" t="b">
        <f t="shared" si="60"/>
        <v>1</v>
      </c>
      <c r="Z411" t="b">
        <f t="shared" si="61"/>
        <v>1</v>
      </c>
      <c r="AA411" t="b">
        <f t="shared" si="62"/>
        <v>1</v>
      </c>
      <c r="AB411" t="b">
        <f t="shared" si="63"/>
        <v>1</v>
      </c>
    </row>
    <row r="412" spans="1:28" ht="14.4">
      <c r="A412" s="2" t="s">
        <v>104</v>
      </c>
      <c r="B412" s="2" t="s">
        <v>14</v>
      </c>
      <c r="C412" s="2" t="s">
        <v>15</v>
      </c>
      <c r="D412" s="2" t="s">
        <v>65</v>
      </c>
      <c r="E412" s="2" t="s">
        <v>28</v>
      </c>
      <c r="F412" s="2" t="s">
        <v>11</v>
      </c>
      <c r="G412" s="2" t="s">
        <v>13</v>
      </c>
      <c r="H412" s="2" t="s">
        <v>16</v>
      </c>
      <c r="I412" s="2" t="s">
        <v>17</v>
      </c>
      <c r="J412" t="b">
        <f t="shared" si="55"/>
        <v>1</v>
      </c>
      <c r="K412" s="6" t="s">
        <v>104</v>
      </c>
      <c r="L412" s="7" t="s">
        <v>14</v>
      </c>
      <c r="M412" s="7" t="s">
        <v>15</v>
      </c>
      <c r="N412" s="7" t="s">
        <v>65</v>
      </c>
      <c r="O412" s="7" t="s">
        <v>28</v>
      </c>
      <c r="P412" s="7" t="s">
        <v>11</v>
      </c>
      <c r="Q412" s="7" t="s">
        <v>13</v>
      </c>
      <c r="R412" s="7" t="s">
        <v>16</v>
      </c>
      <c r="S412" s="7" t="s">
        <v>17</v>
      </c>
      <c r="U412" t="b">
        <f t="shared" si="56"/>
        <v>1</v>
      </c>
      <c r="V412" t="b">
        <f t="shared" si="57"/>
        <v>1</v>
      </c>
      <c r="W412" t="b">
        <f t="shared" si="58"/>
        <v>1</v>
      </c>
      <c r="X412" t="b">
        <f t="shared" si="59"/>
        <v>1</v>
      </c>
      <c r="Y412" t="b">
        <f t="shared" si="60"/>
        <v>1</v>
      </c>
      <c r="Z412" t="b">
        <f t="shared" si="61"/>
        <v>1</v>
      </c>
      <c r="AA412" t="b">
        <f t="shared" si="62"/>
        <v>1</v>
      </c>
      <c r="AB412" t="b">
        <f t="shared" si="63"/>
        <v>1</v>
      </c>
    </row>
    <row r="413" spans="1:28" ht="14.4">
      <c r="A413" s="2" t="s">
        <v>103</v>
      </c>
      <c r="B413" s="2" t="s">
        <v>12</v>
      </c>
      <c r="C413" s="2" t="s">
        <v>15</v>
      </c>
      <c r="D413" s="2" t="s">
        <v>65</v>
      </c>
      <c r="E413" s="2" t="s">
        <v>28</v>
      </c>
      <c r="F413" s="2" t="s">
        <v>11</v>
      </c>
      <c r="G413" s="2" t="s">
        <v>13</v>
      </c>
      <c r="H413" s="2" t="s">
        <v>16</v>
      </c>
      <c r="I413" s="2" t="s">
        <v>17</v>
      </c>
      <c r="J413" t="b">
        <f t="shared" si="55"/>
        <v>1</v>
      </c>
      <c r="K413" s="8" t="s">
        <v>103</v>
      </c>
      <c r="L413" s="9" t="s">
        <v>12</v>
      </c>
      <c r="M413" s="9" t="s">
        <v>15</v>
      </c>
      <c r="N413" s="9" t="s">
        <v>65</v>
      </c>
      <c r="O413" s="9" t="s">
        <v>28</v>
      </c>
      <c r="P413" s="9" t="s">
        <v>11</v>
      </c>
      <c r="Q413" s="9" t="s">
        <v>13</v>
      </c>
      <c r="R413" s="9" t="s">
        <v>16</v>
      </c>
      <c r="S413" s="9" t="s">
        <v>17</v>
      </c>
      <c r="U413" t="b">
        <f t="shared" si="56"/>
        <v>1</v>
      </c>
      <c r="V413" t="b">
        <f t="shared" si="57"/>
        <v>1</v>
      </c>
      <c r="W413" t="b">
        <f t="shared" si="58"/>
        <v>1</v>
      </c>
      <c r="X413" t="b">
        <f t="shared" si="59"/>
        <v>1</v>
      </c>
      <c r="Y413" t="b">
        <f t="shared" si="60"/>
        <v>1</v>
      </c>
      <c r="Z413" t="b">
        <f t="shared" si="61"/>
        <v>1</v>
      </c>
      <c r="AA413" t="b">
        <f t="shared" si="62"/>
        <v>1</v>
      </c>
      <c r="AB413" t="b">
        <f t="shared" si="63"/>
        <v>1</v>
      </c>
    </row>
    <row r="414" spans="1:28" ht="14.4">
      <c r="A414" s="2" t="s">
        <v>102</v>
      </c>
      <c r="B414" s="2" t="s">
        <v>14</v>
      </c>
      <c r="C414" s="2" t="s">
        <v>11</v>
      </c>
      <c r="D414" s="2" t="s">
        <v>65</v>
      </c>
      <c r="E414" s="2" t="s">
        <v>28</v>
      </c>
      <c r="F414" s="2" t="s">
        <v>12</v>
      </c>
      <c r="G414" s="2" t="s">
        <v>13</v>
      </c>
      <c r="H414" s="2" t="s">
        <v>16</v>
      </c>
      <c r="I414" s="2" t="s">
        <v>17</v>
      </c>
      <c r="J414" t="b">
        <f t="shared" si="55"/>
        <v>1</v>
      </c>
      <c r="K414" s="6" t="s">
        <v>102</v>
      </c>
      <c r="L414" s="7" t="s">
        <v>14</v>
      </c>
      <c r="M414" s="7" t="s">
        <v>11</v>
      </c>
      <c r="N414" s="7" t="s">
        <v>65</v>
      </c>
      <c r="O414" s="7" t="s">
        <v>28</v>
      </c>
      <c r="P414" s="7" t="s">
        <v>12</v>
      </c>
      <c r="Q414" s="7" t="s">
        <v>13</v>
      </c>
      <c r="R414" s="7" t="s">
        <v>16</v>
      </c>
      <c r="S414" s="7" t="s">
        <v>17</v>
      </c>
      <c r="U414" t="b">
        <f t="shared" si="56"/>
        <v>1</v>
      </c>
      <c r="V414" t="b">
        <f t="shared" si="57"/>
        <v>1</v>
      </c>
      <c r="W414" t="b">
        <f t="shared" si="58"/>
        <v>1</v>
      </c>
      <c r="X414" t="b">
        <f t="shared" si="59"/>
        <v>1</v>
      </c>
      <c r="Y414" t="b">
        <f t="shared" si="60"/>
        <v>1</v>
      </c>
      <c r="Z414" t="b">
        <f t="shared" si="61"/>
        <v>1</v>
      </c>
      <c r="AA414" t="b">
        <f t="shared" si="62"/>
        <v>1</v>
      </c>
      <c r="AB414" t="b">
        <f t="shared" si="63"/>
        <v>1</v>
      </c>
    </row>
    <row r="415" spans="1:28" ht="14.4">
      <c r="A415" s="2" t="s">
        <v>101</v>
      </c>
      <c r="B415" s="2" t="s">
        <v>14</v>
      </c>
      <c r="C415" s="2" t="s">
        <v>11</v>
      </c>
      <c r="D415" s="2" t="s">
        <v>65</v>
      </c>
      <c r="E415" s="2" t="s">
        <v>28</v>
      </c>
      <c r="F415" s="2" t="s">
        <v>12</v>
      </c>
      <c r="G415" s="2" t="s">
        <v>15</v>
      </c>
      <c r="H415" s="2" t="s">
        <v>16</v>
      </c>
      <c r="I415" s="2" t="s">
        <v>17</v>
      </c>
      <c r="J415" t="b">
        <f t="shared" si="55"/>
        <v>1</v>
      </c>
      <c r="K415" s="8" t="s">
        <v>101</v>
      </c>
      <c r="L415" s="9" t="s">
        <v>14</v>
      </c>
      <c r="M415" s="9" t="s">
        <v>11</v>
      </c>
      <c r="N415" s="9" t="s">
        <v>65</v>
      </c>
      <c r="O415" s="9" t="s">
        <v>28</v>
      </c>
      <c r="P415" s="9" t="s">
        <v>12</v>
      </c>
      <c r="Q415" s="9" t="s">
        <v>15</v>
      </c>
      <c r="R415" s="9" t="s">
        <v>16</v>
      </c>
      <c r="S415" s="9" t="s">
        <v>17</v>
      </c>
      <c r="U415" t="b">
        <f t="shared" si="56"/>
        <v>1</v>
      </c>
      <c r="V415" t="b">
        <f t="shared" si="57"/>
        <v>1</v>
      </c>
      <c r="W415" t="b">
        <f t="shared" si="58"/>
        <v>1</v>
      </c>
      <c r="X415" t="b">
        <f t="shared" si="59"/>
        <v>1</v>
      </c>
      <c r="Y415" t="b">
        <f t="shared" si="60"/>
        <v>1</v>
      </c>
      <c r="Z415" t="b">
        <f t="shared" si="61"/>
        <v>1</v>
      </c>
      <c r="AA415" t="b">
        <f t="shared" si="62"/>
        <v>1</v>
      </c>
      <c r="AB415" t="b">
        <f t="shared" si="63"/>
        <v>1</v>
      </c>
    </row>
    <row r="416" spans="1:28" ht="14.4">
      <c r="A416" s="2" t="s">
        <v>100</v>
      </c>
      <c r="B416" s="2" t="s">
        <v>14</v>
      </c>
      <c r="C416" s="2" t="s">
        <v>15</v>
      </c>
      <c r="D416" s="2" t="s">
        <v>65</v>
      </c>
      <c r="E416" s="2" t="s">
        <v>19</v>
      </c>
      <c r="F416" s="2" t="s">
        <v>11</v>
      </c>
      <c r="G416" s="2" t="s">
        <v>13</v>
      </c>
      <c r="H416" s="2" t="s">
        <v>10</v>
      </c>
      <c r="I416" s="2" t="s">
        <v>12</v>
      </c>
      <c r="J416" t="b">
        <f t="shared" si="55"/>
        <v>1</v>
      </c>
      <c r="K416" s="6" t="s">
        <v>100</v>
      </c>
      <c r="L416" s="7" t="s">
        <v>14</v>
      </c>
      <c r="M416" s="7" t="s">
        <v>15</v>
      </c>
      <c r="N416" s="7" t="s">
        <v>65</v>
      </c>
      <c r="O416" s="7" t="s">
        <v>19</v>
      </c>
      <c r="P416" s="7" t="s">
        <v>11</v>
      </c>
      <c r="Q416" s="7" t="s">
        <v>13</v>
      </c>
      <c r="R416" s="7" t="s">
        <v>10</v>
      </c>
      <c r="S416" s="7" t="s">
        <v>12</v>
      </c>
      <c r="U416" t="b">
        <f t="shared" si="56"/>
        <v>1</v>
      </c>
      <c r="V416" t="b">
        <f t="shared" si="57"/>
        <v>1</v>
      </c>
      <c r="W416" t="b">
        <f t="shared" si="58"/>
        <v>1</v>
      </c>
      <c r="X416" t="b">
        <f t="shared" si="59"/>
        <v>1</v>
      </c>
      <c r="Y416" t="b">
        <f t="shared" si="60"/>
        <v>1</v>
      </c>
      <c r="Z416" t="b">
        <f t="shared" si="61"/>
        <v>1</v>
      </c>
      <c r="AA416" t="b">
        <f t="shared" si="62"/>
        <v>1</v>
      </c>
      <c r="AB416" t="b">
        <f t="shared" si="63"/>
        <v>1</v>
      </c>
    </row>
    <row r="417" spans="1:28" ht="14.4">
      <c r="A417" s="2" t="s">
        <v>99</v>
      </c>
      <c r="B417" s="2" t="s">
        <v>10</v>
      </c>
      <c r="C417" s="2" t="s">
        <v>15</v>
      </c>
      <c r="D417" s="2" t="s">
        <v>65</v>
      </c>
      <c r="E417" s="2" t="s">
        <v>19</v>
      </c>
      <c r="F417" s="2" t="s">
        <v>14</v>
      </c>
      <c r="G417" s="2" t="s">
        <v>13</v>
      </c>
      <c r="H417" s="2" t="s">
        <v>12</v>
      </c>
      <c r="I417" s="2" t="s">
        <v>17</v>
      </c>
      <c r="J417" t="b">
        <f t="shared" si="55"/>
        <v>1</v>
      </c>
      <c r="K417" s="8" t="s">
        <v>99</v>
      </c>
      <c r="L417" s="9" t="s">
        <v>10</v>
      </c>
      <c r="M417" s="9" t="s">
        <v>15</v>
      </c>
      <c r="N417" s="9" t="s">
        <v>65</v>
      </c>
      <c r="O417" s="9" t="s">
        <v>19</v>
      </c>
      <c r="P417" s="9" t="s">
        <v>14</v>
      </c>
      <c r="Q417" s="9" t="s">
        <v>13</v>
      </c>
      <c r="R417" s="9" t="s">
        <v>12</v>
      </c>
      <c r="S417" s="9" t="s">
        <v>17</v>
      </c>
      <c r="U417" t="b">
        <f t="shared" si="56"/>
        <v>1</v>
      </c>
      <c r="V417" t="b">
        <f t="shared" si="57"/>
        <v>1</v>
      </c>
      <c r="W417" t="b">
        <f t="shared" si="58"/>
        <v>1</v>
      </c>
      <c r="X417" t="b">
        <f t="shared" si="59"/>
        <v>1</v>
      </c>
      <c r="Y417" t="b">
        <f t="shared" si="60"/>
        <v>1</v>
      </c>
      <c r="Z417" t="b">
        <f t="shared" si="61"/>
        <v>1</v>
      </c>
      <c r="AA417" t="b">
        <f t="shared" si="62"/>
        <v>1</v>
      </c>
      <c r="AB417" t="b">
        <f t="shared" si="63"/>
        <v>1</v>
      </c>
    </row>
    <row r="418" spans="1:28" ht="14.4">
      <c r="A418" s="2" t="s">
        <v>98</v>
      </c>
      <c r="B418" s="2" t="s">
        <v>10</v>
      </c>
      <c r="C418" s="2" t="s">
        <v>15</v>
      </c>
      <c r="D418" s="2" t="s">
        <v>65</v>
      </c>
      <c r="E418" s="2" t="s">
        <v>19</v>
      </c>
      <c r="F418" s="2" t="s">
        <v>14</v>
      </c>
      <c r="G418" s="2" t="s">
        <v>13</v>
      </c>
      <c r="H418" s="2" t="s">
        <v>16</v>
      </c>
      <c r="I418" s="2" t="s">
        <v>12</v>
      </c>
      <c r="J418" t="b">
        <f t="shared" si="55"/>
        <v>1</v>
      </c>
      <c r="K418" s="6" t="s">
        <v>98</v>
      </c>
      <c r="L418" s="7" t="s">
        <v>10</v>
      </c>
      <c r="M418" s="7" t="s">
        <v>15</v>
      </c>
      <c r="N418" s="7" t="s">
        <v>65</v>
      </c>
      <c r="O418" s="7" t="s">
        <v>19</v>
      </c>
      <c r="P418" s="7" t="s">
        <v>14</v>
      </c>
      <c r="Q418" s="7" t="s">
        <v>13</v>
      </c>
      <c r="R418" s="7" t="s">
        <v>16</v>
      </c>
      <c r="S418" s="7" t="s">
        <v>12</v>
      </c>
      <c r="U418" t="b">
        <f t="shared" si="56"/>
        <v>1</v>
      </c>
      <c r="V418" t="b">
        <f t="shared" si="57"/>
        <v>1</v>
      </c>
      <c r="W418" t="b">
        <f t="shared" si="58"/>
        <v>1</v>
      </c>
      <c r="X418" t="b">
        <f t="shared" si="59"/>
        <v>1</v>
      </c>
      <c r="Y418" t="b">
        <f t="shared" si="60"/>
        <v>1</v>
      </c>
      <c r="Z418" t="b">
        <f t="shared" si="61"/>
        <v>1</v>
      </c>
      <c r="AA418" t="b">
        <f t="shared" si="62"/>
        <v>1</v>
      </c>
      <c r="AB418" t="b">
        <f t="shared" si="63"/>
        <v>1</v>
      </c>
    </row>
    <row r="419" spans="1:28" ht="14.4">
      <c r="A419" s="2" t="s">
        <v>97</v>
      </c>
      <c r="B419" s="2" t="s">
        <v>14</v>
      </c>
      <c r="C419" s="2" t="s">
        <v>15</v>
      </c>
      <c r="D419" s="2" t="s">
        <v>65</v>
      </c>
      <c r="E419" s="2" t="s">
        <v>19</v>
      </c>
      <c r="F419" s="2" t="s">
        <v>11</v>
      </c>
      <c r="G419" s="2" t="s">
        <v>13</v>
      </c>
      <c r="H419" s="2" t="s">
        <v>10</v>
      </c>
      <c r="I419" s="2" t="s">
        <v>17</v>
      </c>
      <c r="J419" t="b">
        <f t="shared" si="55"/>
        <v>1</v>
      </c>
      <c r="K419" s="8" t="s">
        <v>97</v>
      </c>
      <c r="L419" s="9" t="s">
        <v>14</v>
      </c>
      <c r="M419" s="9" t="s">
        <v>15</v>
      </c>
      <c r="N419" s="9" t="s">
        <v>65</v>
      </c>
      <c r="O419" s="9" t="s">
        <v>19</v>
      </c>
      <c r="P419" s="9" t="s">
        <v>11</v>
      </c>
      <c r="Q419" s="9" t="s">
        <v>13</v>
      </c>
      <c r="R419" s="9" t="s">
        <v>10</v>
      </c>
      <c r="S419" s="9" t="s">
        <v>17</v>
      </c>
      <c r="U419" t="b">
        <f t="shared" si="56"/>
        <v>1</v>
      </c>
      <c r="V419" t="b">
        <f t="shared" si="57"/>
        <v>1</v>
      </c>
      <c r="W419" t="b">
        <f t="shared" si="58"/>
        <v>1</v>
      </c>
      <c r="X419" t="b">
        <f t="shared" si="59"/>
        <v>1</v>
      </c>
      <c r="Y419" t="b">
        <f t="shared" si="60"/>
        <v>1</v>
      </c>
      <c r="Z419" t="b">
        <f t="shared" si="61"/>
        <v>1</v>
      </c>
      <c r="AA419" t="b">
        <f t="shared" si="62"/>
        <v>1</v>
      </c>
      <c r="AB419" t="b">
        <f t="shared" si="63"/>
        <v>1</v>
      </c>
    </row>
    <row r="420" spans="1:28" ht="14.4">
      <c r="A420" s="2" t="s">
        <v>96</v>
      </c>
      <c r="B420" s="2" t="s">
        <v>14</v>
      </c>
      <c r="C420" s="2" t="s">
        <v>15</v>
      </c>
      <c r="D420" s="2" t="s">
        <v>65</v>
      </c>
      <c r="E420" s="2" t="s">
        <v>19</v>
      </c>
      <c r="F420" s="2" t="s">
        <v>11</v>
      </c>
      <c r="G420" s="2" t="s">
        <v>13</v>
      </c>
      <c r="H420" s="2" t="s">
        <v>16</v>
      </c>
      <c r="I420" s="2" t="s">
        <v>10</v>
      </c>
      <c r="J420" t="b">
        <f t="shared" si="55"/>
        <v>1</v>
      </c>
      <c r="K420" s="6" t="s">
        <v>96</v>
      </c>
      <c r="L420" s="7" t="s">
        <v>14</v>
      </c>
      <c r="M420" s="7" t="s">
        <v>15</v>
      </c>
      <c r="N420" s="7" t="s">
        <v>65</v>
      </c>
      <c r="O420" s="7" t="s">
        <v>19</v>
      </c>
      <c r="P420" s="7" t="s">
        <v>11</v>
      </c>
      <c r="Q420" s="7" t="s">
        <v>13</v>
      </c>
      <c r="R420" s="7" t="s">
        <v>16</v>
      </c>
      <c r="S420" s="7" t="s">
        <v>10</v>
      </c>
      <c r="U420" t="b">
        <f t="shared" si="56"/>
        <v>1</v>
      </c>
      <c r="V420" t="b">
        <f t="shared" si="57"/>
        <v>1</v>
      </c>
      <c r="W420" t="b">
        <f t="shared" si="58"/>
        <v>1</v>
      </c>
      <c r="X420" t="b">
        <f t="shared" si="59"/>
        <v>1</v>
      </c>
      <c r="Y420" t="b">
        <f t="shared" si="60"/>
        <v>1</v>
      </c>
      <c r="Z420" t="b">
        <f t="shared" si="61"/>
        <v>1</v>
      </c>
      <c r="AA420" t="b">
        <f t="shared" si="62"/>
        <v>1</v>
      </c>
      <c r="AB420" t="b">
        <f t="shared" si="63"/>
        <v>1</v>
      </c>
    </row>
    <row r="421" spans="1:28" ht="14.4">
      <c r="A421" s="2" t="s">
        <v>95</v>
      </c>
      <c r="B421" s="2" t="s">
        <v>10</v>
      </c>
      <c r="C421" s="2" t="s">
        <v>15</v>
      </c>
      <c r="D421" s="2" t="s">
        <v>65</v>
      </c>
      <c r="E421" s="2" t="s">
        <v>19</v>
      </c>
      <c r="F421" s="2" t="s">
        <v>14</v>
      </c>
      <c r="G421" s="2" t="s">
        <v>13</v>
      </c>
      <c r="H421" s="2" t="s">
        <v>16</v>
      </c>
      <c r="I421" s="2" t="s">
        <v>17</v>
      </c>
      <c r="J421" t="b">
        <f t="shared" si="55"/>
        <v>1</v>
      </c>
      <c r="K421" s="8" t="s">
        <v>95</v>
      </c>
      <c r="L421" s="9" t="s">
        <v>10</v>
      </c>
      <c r="M421" s="9" t="s">
        <v>15</v>
      </c>
      <c r="N421" s="9" t="s">
        <v>65</v>
      </c>
      <c r="O421" s="9" t="s">
        <v>19</v>
      </c>
      <c r="P421" s="9" t="s">
        <v>14</v>
      </c>
      <c r="Q421" s="9" t="s">
        <v>13</v>
      </c>
      <c r="R421" s="9" t="s">
        <v>16</v>
      </c>
      <c r="S421" s="9" t="s">
        <v>17</v>
      </c>
      <c r="U421" t="b">
        <f t="shared" si="56"/>
        <v>1</v>
      </c>
      <c r="V421" t="b">
        <f t="shared" si="57"/>
        <v>1</v>
      </c>
      <c r="W421" t="b">
        <f t="shared" si="58"/>
        <v>1</v>
      </c>
      <c r="X421" t="b">
        <f t="shared" si="59"/>
        <v>1</v>
      </c>
      <c r="Y421" t="b">
        <f t="shared" si="60"/>
        <v>1</v>
      </c>
      <c r="Z421" t="b">
        <f t="shared" si="61"/>
        <v>1</v>
      </c>
      <c r="AA421" t="b">
        <f t="shared" si="62"/>
        <v>1</v>
      </c>
      <c r="AB421" t="b">
        <f t="shared" si="63"/>
        <v>1</v>
      </c>
    </row>
    <row r="422" spans="1:28" ht="14.4">
      <c r="A422" s="2" t="s">
        <v>94</v>
      </c>
      <c r="B422" s="2" t="s">
        <v>10</v>
      </c>
      <c r="C422" s="2" t="s">
        <v>15</v>
      </c>
      <c r="D422" s="2" t="s">
        <v>65</v>
      </c>
      <c r="E422" s="2" t="s">
        <v>19</v>
      </c>
      <c r="F422" s="2" t="s">
        <v>11</v>
      </c>
      <c r="G422" s="2" t="s">
        <v>13</v>
      </c>
      <c r="H422" s="2" t="s">
        <v>12</v>
      </c>
      <c r="I422" s="2" t="s">
        <v>17</v>
      </c>
      <c r="J422" t="b">
        <f t="shared" si="55"/>
        <v>1</v>
      </c>
      <c r="K422" s="6" t="s">
        <v>94</v>
      </c>
      <c r="L422" s="7" t="s">
        <v>10</v>
      </c>
      <c r="M422" s="7" t="s">
        <v>15</v>
      </c>
      <c r="N422" s="7" t="s">
        <v>65</v>
      </c>
      <c r="O422" s="7" t="s">
        <v>19</v>
      </c>
      <c r="P422" s="7" t="s">
        <v>11</v>
      </c>
      <c r="Q422" s="7" t="s">
        <v>13</v>
      </c>
      <c r="R422" s="7" t="s">
        <v>12</v>
      </c>
      <c r="S422" s="7" t="s">
        <v>17</v>
      </c>
      <c r="U422" t="b">
        <f t="shared" si="56"/>
        <v>1</v>
      </c>
      <c r="V422" t="b">
        <f t="shared" si="57"/>
        <v>1</v>
      </c>
      <c r="W422" t="b">
        <f t="shared" si="58"/>
        <v>1</v>
      </c>
      <c r="X422" t="b">
        <f t="shared" si="59"/>
        <v>1</v>
      </c>
      <c r="Y422" t="b">
        <f t="shared" si="60"/>
        <v>1</v>
      </c>
      <c r="Z422" t="b">
        <f t="shared" si="61"/>
        <v>1</v>
      </c>
      <c r="AA422" t="b">
        <f t="shared" si="62"/>
        <v>1</v>
      </c>
      <c r="AB422" t="b">
        <f t="shared" si="63"/>
        <v>1</v>
      </c>
    </row>
    <row r="423" spans="1:28" ht="14.4">
      <c r="A423" s="2" t="s">
        <v>93</v>
      </c>
      <c r="B423" s="2" t="s">
        <v>10</v>
      </c>
      <c r="C423" s="2" t="s">
        <v>15</v>
      </c>
      <c r="D423" s="2" t="s">
        <v>65</v>
      </c>
      <c r="E423" s="2" t="s">
        <v>19</v>
      </c>
      <c r="F423" s="2" t="s">
        <v>11</v>
      </c>
      <c r="G423" s="2" t="s">
        <v>13</v>
      </c>
      <c r="H423" s="2" t="s">
        <v>16</v>
      </c>
      <c r="I423" s="2" t="s">
        <v>12</v>
      </c>
      <c r="J423" t="b">
        <f t="shared" si="55"/>
        <v>1</v>
      </c>
      <c r="K423" s="8" t="s">
        <v>93</v>
      </c>
      <c r="L423" s="9" t="s">
        <v>10</v>
      </c>
      <c r="M423" s="9" t="s">
        <v>15</v>
      </c>
      <c r="N423" s="9" t="s">
        <v>65</v>
      </c>
      <c r="O423" s="9" t="s">
        <v>19</v>
      </c>
      <c r="P423" s="9" t="s">
        <v>11</v>
      </c>
      <c r="Q423" s="9" t="s">
        <v>13</v>
      </c>
      <c r="R423" s="9" t="s">
        <v>16</v>
      </c>
      <c r="S423" s="9" t="s">
        <v>12</v>
      </c>
      <c r="U423" t="b">
        <f t="shared" si="56"/>
        <v>1</v>
      </c>
      <c r="V423" t="b">
        <f t="shared" si="57"/>
        <v>1</v>
      </c>
      <c r="W423" t="b">
        <f t="shared" si="58"/>
        <v>1</v>
      </c>
      <c r="X423" t="b">
        <f t="shared" si="59"/>
        <v>1</v>
      </c>
      <c r="Y423" t="b">
        <f t="shared" si="60"/>
        <v>1</v>
      </c>
      <c r="Z423" t="b">
        <f t="shared" si="61"/>
        <v>1</v>
      </c>
      <c r="AA423" t="b">
        <f t="shared" si="62"/>
        <v>1</v>
      </c>
      <c r="AB423" t="b">
        <f t="shared" si="63"/>
        <v>1</v>
      </c>
    </row>
    <row r="424" spans="1:28" ht="14.4">
      <c r="A424" s="2" t="s">
        <v>92</v>
      </c>
      <c r="B424" s="2" t="s">
        <v>10</v>
      </c>
      <c r="C424" s="2" t="s">
        <v>15</v>
      </c>
      <c r="D424" s="2" t="s">
        <v>65</v>
      </c>
      <c r="E424" s="2" t="s">
        <v>19</v>
      </c>
      <c r="F424" s="2" t="s">
        <v>12</v>
      </c>
      <c r="G424" s="2" t="s">
        <v>13</v>
      </c>
      <c r="H424" s="2" t="s">
        <v>16</v>
      </c>
      <c r="I424" s="2" t="s">
        <v>17</v>
      </c>
      <c r="J424" t="b">
        <f t="shared" si="55"/>
        <v>1</v>
      </c>
      <c r="K424" s="6" t="s">
        <v>92</v>
      </c>
      <c r="L424" s="7" t="s">
        <v>10</v>
      </c>
      <c r="M424" s="7" t="s">
        <v>15</v>
      </c>
      <c r="N424" s="7" t="s">
        <v>65</v>
      </c>
      <c r="O424" s="7" t="s">
        <v>19</v>
      </c>
      <c r="P424" s="7" t="s">
        <v>12</v>
      </c>
      <c r="Q424" s="7" t="s">
        <v>13</v>
      </c>
      <c r="R424" s="7" t="s">
        <v>16</v>
      </c>
      <c r="S424" s="7" t="s">
        <v>17</v>
      </c>
      <c r="U424" t="b">
        <f t="shared" si="56"/>
        <v>1</v>
      </c>
      <c r="V424" t="b">
        <f t="shared" si="57"/>
        <v>1</v>
      </c>
      <c r="W424" t="b">
        <f t="shared" si="58"/>
        <v>1</v>
      </c>
      <c r="X424" t="b">
        <f t="shared" si="59"/>
        <v>1</v>
      </c>
      <c r="Y424" t="b">
        <f t="shared" si="60"/>
        <v>1</v>
      </c>
      <c r="Z424" t="b">
        <f t="shared" si="61"/>
        <v>1</v>
      </c>
      <c r="AA424" t="b">
        <f t="shared" si="62"/>
        <v>1</v>
      </c>
      <c r="AB424" t="b">
        <f t="shared" si="63"/>
        <v>1</v>
      </c>
    </row>
    <row r="425" spans="1:28" ht="14.4">
      <c r="A425" s="2" t="s">
        <v>91</v>
      </c>
      <c r="B425" s="2" t="s">
        <v>10</v>
      </c>
      <c r="C425" s="2" t="s">
        <v>15</v>
      </c>
      <c r="D425" s="2" t="s">
        <v>65</v>
      </c>
      <c r="E425" s="2" t="s">
        <v>19</v>
      </c>
      <c r="F425" s="2" t="s">
        <v>11</v>
      </c>
      <c r="G425" s="2" t="s">
        <v>13</v>
      </c>
      <c r="H425" s="2" t="s">
        <v>16</v>
      </c>
      <c r="I425" s="2" t="s">
        <v>17</v>
      </c>
      <c r="J425" t="b">
        <f t="shared" si="55"/>
        <v>1</v>
      </c>
      <c r="K425" s="8" t="s">
        <v>91</v>
      </c>
      <c r="L425" s="9" t="s">
        <v>10</v>
      </c>
      <c r="M425" s="9" t="s">
        <v>15</v>
      </c>
      <c r="N425" s="9" t="s">
        <v>65</v>
      </c>
      <c r="O425" s="9" t="s">
        <v>19</v>
      </c>
      <c r="P425" s="9" t="s">
        <v>11</v>
      </c>
      <c r="Q425" s="9" t="s">
        <v>13</v>
      </c>
      <c r="R425" s="9" t="s">
        <v>16</v>
      </c>
      <c r="S425" s="9" t="s">
        <v>17</v>
      </c>
      <c r="U425" t="b">
        <f t="shared" si="56"/>
        <v>1</v>
      </c>
      <c r="V425" t="b">
        <f t="shared" si="57"/>
        <v>1</v>
      </c>
      <c r="W425" t="b">
        <f t="shared" si="58"/>
        <v>1</v>
      </c>
      <c r="X425" t="b">
        <f t="shared" si="59"/>
        <v>1</v>
      </c>
      <c r="Y425" t="b">
        <f t="shared" si="60"/>
        <v>1</v>
      </c>
      <c r="Z425" t="b">
        <f t="shared" si="61"/>
        <v>1</v>
      </c>
      <c r="AA425" t="b">
        <f t="shared" si="62"/>
        <v>1</v>
      </c>
      <c r="AB425" t="b">
        <f t="shared" si="63"/>
        <v>1</v>
      </c>
    </row>
    <row r="426" spans="1:28" ht="14.4">
      <c r="A426" s="2" t="s">
        <v>90</v>
      </c>
      <c r="B426" s="2" t="s">
        <v>10</v>
      </c>
      <c r="C426" s="2" t="s">
        <v>11</v>
      </c>
      <c r="D426" s="2" t="s">
        <v>65</v>
      </c>
      <c r="E426" s="2" t="s">
        <v>19</v>
      </c>
      <c r="F426" s="2" t="s">
        <v>14</v>
      </c>
      <c r="G426" s="2" t="s">
        <v>13</v>
      </c>
      <c r="H426" s="2" t="s">
        <v>12</v>
      </c>
      <c r="I426" s="2" t="s">
        <v>17</v>
      </c>
      <c r="J426" t="b">
        <f t="shared" si="55"/>
        <v>1</v>
      </c>
      <c r="K426" s="6" t="s">
        <v>90</v>
      </c>
      <c r="L426" s="7" t="s">
        <v>10</v>
      </c>
      <c r="M426" s="7" t="s">
        <v>11</v>
      </c>
      <c r="N426" s="7" t="s">
        <v>65</v>
      </c>
      <c r="O426" s="7" t="s">
        <v>19</v>
      </c>
      <c r="P426" s="7" t="s">
        <v>14</v>
      </c>
      <c r="Q426" s="7" t="s">
        <v>13</v>
      </c>
      <c r="R426" s="7" t="s">
        <v>12</v>
      </c>
      <c r="S426" s="7" t="s">
        <v>17</v>
      </c>
      <c r="U426" t="b">
        <f t="shared" si="56"/>
        <v>1</v>
      </c>
      <c r="V426" t="b">
        <f t="shared" si="57"/>
        <v>1</v>
      </c>
      <c r="W426" t="b">
        <f t="shared" si="58"/>
        <v>1</v>
      </c>
      <c r="X426" t="b">
        <f t="shared" si="59"/>
        <v>1</v>
      </c>
      <c r="Y426" t="b">
        <f t="shared" si="60"/>
        <v>1</v>
      </c>
      <c r="Z426" t="b">
        <f t="shared" si="61"/>
        <v>1</v>
      </c>
      <c r="AA426" t="b">
        <f t="shared" si="62"/>
        <v>1</v>
      </c>
      <c r="AB426" t="b">
        <f t="shared" si="63"/>
        <v>1</v>
      </c>
    </row>
    <row r="427" spans="1:28" ht="14.4">
      <c r="A427" s="2" t="s">
        <v>89</v>
      </c>
      <c r="B427" s="2" t="s">
        <v>10</v>
      </c>
      <c r="C427" s="2" t="s">
        <v>11</v>
      </c>
      <c r="D427" s="2" t="s">
        <v>65</v>
      </c>
      <c r="E427" s="2" t="s">
        <v>19</v>
      </c>
      <c r="F427" s="2" t="s">
        <v>14</v>
      </c>
      <c r="G427" s="2" t="s">
        <v>13</v>
      </c>
      <c r="H427" s="2" t="s">
        <v>16</v>
      </c>
      <c r="I427" s="2" t="s">
        <v>12</v>
      </c>
      <c r="J427" t="b">
        <f t="shared" si="55"/>
        <v>1</v>
      </c>
      <c r="K427" s="8" t="s">
        <v>89</v>
      </c>
      <c r="L427" s="9" t="s">
        <v>10</v>
      </c>
      <c r="M427" s="9" t="s">
        <v>11</v>
      </c>
      <c r="N427" s="9" t="s">
        <v>65</v>
      </c>
      <c r="O427" s="9" t="s">
        <v>19</v>
      </c>
      <c r="P427" s="9" t="s">
        <v>14</v>
      </c>
      <c r="Q427" s="9" t="s">
        <v>13</v>
      </c>
      <c r="R427" s="9" t="s">
        <v>16</v>
      </c>
      <c r="S427" s="9" t="s">
        <v>12</v>
      </c>
      <c r="U427" t="b">
        <f t="shared" si="56"/>
        <v>1</v>
      </c>
      <c r="V427" t="b">
        <f t="shared" si="57"/>
        <v>1</v>
      </c>
      <c r="W427" t="b">
        <f t="shared" si="58"/>
        <v>1</v>
      </c>
      <c r="X427" t="b">
        <f t="shared" si="59"/>
        <v>1</v>
      </c>
      <c r="Y427" t="b">
        <f t="shared" si="60"/>
        <v>1</v>
      </c>
      <c r="Z427" t="b">
        <f t="shared" si="61"/>
        <v>1</v>
      </c>
      <c r="AA427" t="b">
        <f t="shared" si="62"/>
        <v>1</v>
      </c>
      <c r="AB427" t="b">
        <f t="shared" si="63"/>
        <v>1</v>
      </c>
    </row>
    <row r="428" spans="1:28" ht="14.4">
      <c r="A428" s="2" t="s">
        <v>88</v>
      </c>
      <c r="B428" s="2" t="s">
        <v>10</v>
      </c>
      <c r="C428" s="2" t="s">
        <v>12</v>
      </c>
      <c r="D428" s="2" t="s">
        <v>65</v>
      </c>
      <c r="E428" s="2" t="s">
        <v>19</v>
      </c>
      <c r="F428" s="2" t="s">
        <v>14</v>
      </c>
      <c r="G428" s="2" t="s">
        <v>13</v>
      </c>
      <c r="H428" s="2" t="s">
        <v>16</v>
      </c>
      <c r="I428" s="2" t="s">
        <v>17</v>
      </c>
      <c r="J428" t="b">
        <f t="shared" si="55"/>
        <v>1</v>
      </c>
      <c r="K428" s="6" t="s">
        <v>88</v>
      </c>
      <c r="L428" s="7" t="s">
        <v>10</v>
      </c>
      <c r="M428" s="7" t="s">
        <v>12</v>
      </c>
      <c r="N428" s="7" t="s">
        <v>65</v>
      </c>
      <c r="O428" s="7" t="s">
        <v>19</v>
      </c>
      <c r="P428" s="7" t="s">
        <v>14</v>
      </c>
      <c r="Q428" s="7" t="s">
        <v>13</v>
      </c>
      <c r="R428" s="7" t="s">
        <v>16</v>
      </c>
      <c r="S428" s="7" t="s">
        <v>17</v>
      </c>
      <c r="U428" t="b">
        <f t="shared" si="56"/>
        <v>1</v>
      </c>
      <c r="V428" t="b">
        <f t="shared" si="57"/>
        <v>1</v>
      </c>
      <c r="W428" t="b">
        <f t="shared" si="58"/>
        <v>1</v>
      </c>
      <c r="X428" t="b">
        <f t="shared" si="59"/>
        <v>1</v>
      </c>
      <c r="Y428" t="b">
        <f t="shared" si="60"/>
        <v>1</v>
      </c>
      <c r="Z428" t="b">
        <f t="shared" si="61"/>
        <v>1</v>
      </c>
      <c r="AA428" t="b">
        <f t="shared" si="62"/>
        <v>1</v>
      </c>
      <c r="AB428" t="b">
        <f t="shared" si="63"/>
        <v>1</v>
      </c>
    </row>
    <row r="429" spans="1:28" ht="14.4">
      <c r="A429" s="2" t="s">
        <v>87</v>
      </c>
      <c r="B429" s="2" t="s">
        <v>10</v>
      </c>
      <c r="C429" s="2" t="s">
        <v>11</v>
      </c>
      <c r="D429" s="2" t="s">
        <v>65</v>
      </c>
      <c r="E429" s="2" t="s">
        <v>19</v>
      </c>
      <c r="F429" s="2" t="s">
        <v>14</v>
      </c>
      <c r="G429" s="2" t="s">
        <v>13</v>
      </c>
      <c r="H429" s="2" t="s">
        <v>16</v>
      </c>
      <c r="I429" s="2" t="s">
        <v>17</v>
      </c>
      <c r="J429" t="b">
        <f t="shared" si="55"/>
        <v>1</v>
      </c>
      <c r="K429" s="8" t="s">
        <v>87</v>
      </c>
      <c r="L429" s="9" t="s">
        <v>10</v>
      </c>
      <c r="M429" s="9" t="s">
        <v>11</v>
      </c>
      <c r="N429" s="9" t="s">
        <v>65</v>
      </c>
      <c r="O429" s="9" t="s">
        <v>19</v>
      </c>
      <c r="P429" s="9" t="s">
        <v>14</v>
      </c>
      <c r="Q429" s="9" t="s">
        <v>13</v>
      </c>
      <c r="R429" s="9" t="s">
        <v>16</v>
      </c>
      <c r="S429" s="9" t="s">
        <v>17</v>
      </c>
      <c r="U429" t="b">
        <f t="shared" si="56"/>
        <v>1</v>
      </c>
      <c r="V429" t="b">
        <f t="shared" si="57"/>
        <v>1</v>
      </c>
      <c r="W429" t="b">
        <f t="shared" si="58"/>
        <v>1</v>
      </c>
      <c r="X429" t="b">
        <f t="shared" si="59"/>
        <v>1</v>
      </c>
      <c r="Y429" t="b">
        <f t="shared" si="60"/>
        <v>1</v>
      </c>
      <c r="Z429" t="b">
        <f t="shared" si="61"/>
        <v>1</v>
      </c>
      <c r="AA429" t="b">
        <f t="shared" si="62"/>
        <v>1</v>
      </c>
      <c r="AB429" t="b">
        <f t="shared" si="63"/>
        <v>1</v>
      </c>
    </row>
    <row r="430" spans="1:28" ht="14.4">
      <c r="A430" s="2" t="s">
        <v>86</v>
      </c>
      <c r="B430" s="2" t="s">
        <v>10</v>
      </c>
      <c r="C430" s="2" t="s">
        <v>11</v>
      </c>
      <c r="D430" s="2" t="s">
        <v>65</v>
      </c>
      <c r="E430" s="2" t="s">
        <v>19</v>
      </c>
      <c r="F430" s="2" t="s">
        <v>12</v>
      </c>
      <c r="G430" s="2" t="s">
        <v>13</v>
      </c>
      <c r="H430" s="2" t="s">
        <v>16</v>
      </c>
      <c r="I430" s="2" t="s">
        <v>17</v>
      </c>
      <c r="J430" t="b">
        <f t="shared" si="55"/>
        <v>1</v>
      </c>
      <c r="K430" s="6" t="s">
        <v>86</v>
      </c>
      <c r="L430" s="7" t="s">
        <v>10</v>
      </c>
      <c r="M430" s="7" t="s">
        <v>11</v>
      </c>
      <c r="N430" s="7" t="s">
        <v>65</v>
      </c>
      <c r="O430" s="7" t="s">
        <v>19</v>
      </c>
      <c r="P430" s="7" t="s">
        <v>12</v>
      </c>
      <c r="Q430" s="7" t="s">
        <v>13</v>
      </c>
      <c r="R430" s="7" t="s">
        <v>16</v>
      </c>
      <c r="S430" s="7" t="s">
        <v>17</v>
      </c>
      <c r="U430" t="b">
        <f t="shared" si="56"/>
        <v>1</v>
      </c>
      <c r="V430" t="b">
        <f t="shared" si="57"/>
        <v>1</v>
      </c>
      <c r="W430" t="b">
        <f t="shared" si="58"/>
        <v>1</v>
      </c>
      <c r="X430" t="b">
        <f t="shared" si="59"/>
        <v>1</v>
      </c>
      <c r="Y430" t="b">
        <f t="shared" si="60"/>
        <v>1</v>
      </c>
      <c r="Z430" t="b">
        <f t="shared" si="61"/>
        <v>1</v>
      </c>
      <c r="AA430" t="b">
        <f t="shared" si="62"/>
        <v>1</v>
      </c>
      <c r="AB430" t="b">
        <f t="shared" si="63"/>
        <v>1</v>
      </c>
    </row>
    <row r="431" spans="1:28" ht="14.4">
      <c r="A431" s="2" t="s">
        <v>85</v>
      </c>
      <c r="B431" s="2" t="s">
        <v>10</v>
      </c>
      <c r="C431" s="2" t="s">
        <v>11</v>
      </c>
      <c r="D431" s="2" t="s">
        <v>65</v>
      </c>
      <c r="E431" s="2" t="s">
        <v>19</v>
      </c>
      <c r="F431" s="2" t="s">
        <v>14</v>
      </c>
      <c r="G431" s="2" t="s">
        <v>15</v>
      </c>
      <c r="H431" s="2" t="s">
        <v>12</v>
      </c>
      <c r="I431" s="2" t="s">
        <v>17</v>
      </c>
      <c r="J431" t="b">
        <f t="shared" si="55"/>
        <v>1</v>
      </c>
      <c r="K431" s="8" t="s">
        <v>85</v>
      </c>
      <c r="L431" s="9" t="s">
        <v>10</v>
      </c>
      <c r="M431" s="9" t="s">
        <v>11</v>
      </c>
      <c r="N431" s="9" t="s">
        <v>65</v>
      </c>
      <c r="O431" s="9" t="s">
        <v>19</v>
      </c>
      <c r="P431" s="9" t="s">
        <v>14</v>
      </c>
      <c r="Q431" s="9" t="s">
        <v>15</v>
      </c>
      <c r="R431" s="9" t="s">
        <v>12</v>
      </c>
      <c r="S431" s="9" t="s">
        <v>17</v>
      </c>
      <c r="U431" t="b">
        <f t="shared" si="56"/>
        <v>1</v>
      </c>
      <c r="V431" t="b">
        <f t="shared" si="57"/>
        <v>1</v>
      </c>
      <c r="W431" t="b">
        <f t="shared" si="58"/>
        <v>1</v>
      </c>
      <c r="X431" t="b">
        <f t="shared" si="59"/>
        <v>1</v>
      </c>
      <c r="Y431" t="b">
        <f t="shared" si="60"/>
        <v>1</v>
      </c>
      <c r="Z431" t="b">
        <f t="shared" si="61"/>
        <v>1</v>
      </c>
      <c r="AA431" t="b">
        <f t="shared" si="62"/>
        <v>1</v>
      </c>
      <c r="AB431" t="b">
        <f t="shared" si="63"/>
        <v>1</v>
      </c>
    </row>
    <row r="432" spans="1:28" ht="14.4" hidden="1">
      <c r="A432" s="2" t="s">
        <v>84</v>
      </c>
      <c r="B432" s="2" t="s">
        <v>10</v>
      </c>
      <c r="C432" s="2" t="s">
        <v>11</v>
      </c>
      <c r="D432" s="2" t="s">
        <v>65</v>
      </c>
      <c r="E432" s="2" t="s">
        <v>19</v>
      </c>
      <c r="F432" s="2" t="s">
        <v>14</v>
      </c>
      <c r="G432" s="2" t="s">
        <v>15</v>
      </c>
      <c r="H432" s="2" t="s">
        <v>16</v>
      </c>
      <c r="I432" s="2" t="s">
        <v>12</v>
      </c>
      <c r="J432" t="b">
        <f t="shared" si="55"/>
        <v>1</v>
      </c>
      <c r="K432" s="6" t="s">
        <v>84</v>
      </c>
      <c r="L432" s="7" t="s">
        <v>10</v>
      </c>
      <c r="M432" s="7" t="s">
        <v>11</v>
      </c>
      <c r="N432" s="7" t="s">
        <v>65</v>
      </c>
      <c r="O432" s="7" t="s">
        <v>19</v>
      </c>
      <c r="P432" s="7" t="s">
        <v>12</v>
      </c>
      <c r="Q432" s="7" t="s">
        <v>15</v>
      </c>
      <c r="R432" s="7" t="s">
        <v>16</v>
      </c>
      <c r="S432" s="7" t="s">
        <v>17</v>
      </c>
      <c r="U432" t="b">
        <f t="shared" si="56"/>
        <v>1</v>
      </c>
      <c r="V432" t="b">
        <f t="shared" si="57"/>
        <v>1</v>
      </c>
      <c r="W432" t="b">
        <f t="shared" si="58"/>
        <v>1</v>
      </c>
      <c r="X432" t="b">
        <f t="shared" si="59"/>
        <v>1</v>
      </c>
      <c r="Y432" t="b">
        <f t="shared" si="60"/>
        <v>0</v>
      </c>
      <c r="Z432" t="b">
        <f t="shared" si="61"/>
        <v>1</v>
      </c>
      <c r="AA432" t="b">
        <f t="shared" si="62"/>
        <v>1</v>
      </c>
      <c r="AB432" t="b">
        <f t="shared" si="63"/>
        <v>0</v>
      </c>
    </row>
    <row r="433" spans="1:28" ht="14.4">
      <c r="A433" s="2" t="s">
        <v>83</v>
      </c>
      <c r="B433" s="2" t="s">
        <v>10</v>
      </c>
      <c r="C433" s="2" t="s">
        <v>15</v>
      </c>
      <c r="D433" s="2" t="s">
        <v>65</v>
      </c>
      <c r="E433" s="2" t="s">
        <v>19</v>
      </c>
      <c r="F433" s="2" t="s">
        <v>12</v>
      </c>
      <c r="G433" s="2" t="s">
        <v>14</v>
      </c>
      <c r="H433" s="2" t="s">
        <v>16</v>
      </c>
      <c r="I433" s="2" t="s">
        <v>17</v>
      </c>
      <c r="J433" t="b">
        <f t="shared" si="55"/>
        <v>1</v>
      </c>
      <c r="K433" s="8" t="s">
        <v>83</v>
      </c>
      <c r="L433" s="9" t="s">
        <v>10</v>
      </c>
      <c r="M433" s="9" t="s">
        <v>15</v>
      </c>
      <c r="N433" s="9" t="s">
        <v>65</v>
      </c>
      <c r="O433" s="9" t="s">
        <v>19</v>
      </c>
      <c r="P433" s="9" t="s">
        <v>12</v>
      </c>
      <c r="Q433" s="9" t="s">
        <v>14</v>
      </c>
      <c r="R433" s="9" t="s">
        <v>16</v>
      </c>
      <c r="S433" s="9" t="s">
        <v>17</v>
      </c>
      <c r="U433" t="b">
        <f t="shared" si="56"/>
        <v>1</v>
      </c>
      <c r="V433" t="b">
        <f t="shared" si="57"/>
        <v>1</v>
      </c>
      <c r="W433" t="b">
        <f t="shared" si="58"/>
        <v>1</v>
      </c>
      <c r="X433" t="b">
        <f t="shared" si="59"/>
        <v>1</v>
      </c>
      <c r="Y433" t="b">
        <f t="shared" si="60"/>
        <v>1</v>
      </c>
      <c r="Z433" t="b">
        <f t="shared" si="61"/>
        <v>1</v>
      </c>
      <c r="AA433" t="b">
        <f t="shared" si="62"/>
        <v>1</v>
      </c>
      <c r="AB433" t="b">
        <f t="shared" si="63"/>
        <v>1</v>
      </c>
    </row>
    <row r="434" spans="1:28" ht="14.4">
      <c r="A434" s="2" t="s">
        <v>82</v>
      </c>
      <c r="B434" s="2" t="s">
        <v>10</v>
      </c>
      <c r="C434" s="2" t="s">
        <v>11</v>
      </c>
      <c r="D434" s="2" t="s">
        <v>65</v>
      </c>
      <c r="E434" s="2" t="s">
        <v>19</v>
      </c>
      <c r="F434" s="2" t="s">
        <v>14</v>
      </c>
      <c r="G434" s="2" t="s">
        <v>15</v>
      </c>
      <c r="H434" s="2" t="s">
        <v>16</v>
      </c>
      <c r="I434" s="2" t="s">
        <v>17</v>
      </c>
      <c r="J434" t="b">
        <f t="shared" si="55"/>
        <v>1</v>
      </c>
      <c r="K434" s="6" t="s">
        <v>82</v>
      </c>
      <c r="L434" s="7" t="s">
        <v>10</v>
      </c>
      <c r="M434" s="7" t="s">
        <v>11</v>
      </c>
      <c r="N434" s="7" t="s">
        <v>65</v>
      </c>
      <c r="O434" s="7" t="s">
        <v>19</v>
      </c>
      <c r="P434" s="7" t="s">
        <v>14</v>
      </c>
      <c r="Q434" s="7" t="s">
        <v>15</v>
      </c>
      <c r="R434" s="7" t="s">
        <v>16</v>
      </c>
      <c r="S434" s="7" t="s">
        <v>17</v>
      </c>
      <c r="U434" t="b">
        <f t="shared" si="56"/>
        <v>1</v>
      </c>
      <c r="V434" t="b">
        <f t="shared" si="57"/>
        <v>1</v>
      </c>
      <c r="W434" t="b">
        <f t="shared" si="58"/>
        <v>1</v>
      </c>
      <c r="X434" t="b">
        <f t="shared" si="59"/>
        <v>1</v>
      </c>
      <c r="Y434" t="b">
        <f t="shared" si="60"/>
        <v>1</v>
      </c>
      <c r="Z434" t="b">
        <f t="shared" si="61"/>
        <v>1</v>
      </c>
      <c r="AA434" t="b">
        <f t="shared" si="62"/>
        <v>1</v>
      </c>
      <c r="AB434" t="b">
        <f t="shared" si="63"/>
        <v>1</v>
      </c>
    </row>
    <row r="435" spans="1:28" ht="14.4" hidden="1">
      <c r="A435" s="2" t="s">
        <v>81</v>
      </c>
      <c r="B435" s="2" t="s">
        <v>10</v>
      </c>
      <c r="C435" s="2" t="s">
        <v>11</v>
      </c>
      <c r="D435" s="2" t="s">
        <v>65</v>
      </c>
      <c r="E435" s="2" t="s">
        <v>19</v>
      </c>
      <c r="F435" s="2" t="s">
        <v>12</v>
      </c>
      <c r="G435" s="2" t="s">
        <v>15</v>
      </c>
      <c r="H435" s="2" t="s">
        <v>16</v>
      </c>
      <c r="I435" s="2" t="s">
        <v>17</v>
      </c>
      <c r="J435" t="b">
        <f t="shared" si="55"/>
        <v>1</v>
      </c>
      <c r="K435" s="8" t="s">
        <v>81</v>
      </c>
      <c r="L435" s="9" t="s">
        <v>14</v>
      </c>
      <c r="M435" s="9" t="s">
        <v>15</v>
      </c>
      <c r="N435" s="9" t="s">
        <v>65</v>
      </c>
      <c r="O435" s="9" t="s">
        <v>28</v>
      </c>
      <c r="P435" s="9" t="s">
        <v>186</v>
      </c>
      <c r="Q435" s="9" t="s">
        <v>13</v>
      </c>
      <c r="R435" s="9" t="s">
        <v>19</v>
      </c>
      <c r="S435" s="9" t="s">
        <v>10</v>
      </c>
      <c r="U435" t="b">
        <f t="shared" si="56"/>
        <v>0</v>
      </c>
      <c r="V435" t="b">
        <f t="shared" si="57"/>
        <v>0</v>
      </c>
      <c r="W435" t="b">
        <f t="shared" si="58"/>
        <v>1</v>
      </c>
      <c r="X435" t="b">
        <f t="shared" si="59"/>
        <v>0</v>
      </c>
      <c r="Y435" t="b">
        <f t="shared" si="60"/>
        <v>0</v>
      </c>
      <c r="Z435" t="b">
        <f t="shared" si="61"/>
        <v>0</v>
      </c>
      <c r="AA435" t="b">
        <f t="shared" si="62"/>
        <v>0</v>
      </c>
      <c r="AB435" t="b">
        <f t="shared" si="63"/>
        <v>0</v>
      </c>
    </row>
    <row r="436" spans="1:28" ht="14.4">
      <c r="A436" s="2" t="s">
        <v>80</v>
      </c>
      <c r="B436" s="2" t="s">
        <v>10</v>
      </c>
      <c r="C436" s="2" t="s">
        <v>11</v>
      </c>
      <c r="D436" s="2" t="s">
        <v>65</v>
      </c>
      <c r="E436" s="2" t="s">
        <v>19</v>
      </c>
      <c r="F436" s="2" t="s">
        <v>12</v>
      </c>
      <c r="G436" s="2" t="s">
        <v>14</v>
      </c>
      <c r="H436" s="2" t="s">
        <v>16</v>
      </c>
      <c r="I436" s="2" t="s">
        <v>17</v>
      </c>
      <c r="J436" t="b">
        <f t="shared" si="55"/>
        <v>1</v>
      </c>
      <c r="K436" s="6" t="s">
        <v>80</v>
      </c>
      <c r="L436" s="7" t="s">
        <v>10</v>
      </c>
      <c r="M436" s="7" t="s">
        <v>11</v>
      </c>
      <c r="N436" s="7" t="s">
        <v>65</v>
      </c>
      <c r="O436" s="7" t="s">
        <v>19</v>
      </c>
      <c r="P436" s="7" t="s">
        <v>12</v>
      </c>
      <c r="Q436" s="7" t="s">
        <v>14</v>
      </c>
      <c r="R436" s="7" t="s">
        <v>16</v>
      </c>
      <c r="S436" s="7" t="s">
        <v>17</v>
      </c>
      <c r="U436" t="b">
        <f t="shared" si="56"/>
        <v>1</v>
      </c>
      <c r="V436" t="b">
        <f t="shared" si="57"/>
        <v>1</v>
      </c>
      <c r="W436" t="b">
        <f t="shared" si="58"/>
        <v>1</v>
      </c>
      <c r="X436" t="b">
        <f t="shared" si="59"/>
        <v>1</v>
      </c>
      <c r="Y436" t="b">
        <f t="shared" si="60"/>
        <v>1</v>
      </c>
      <c r="Z436" t="b">
        <f t="shared" si="61"/>
        <v>1</v>
      </c>
      <c r="AA436" t="b">
        <f t="shared" si="62"/>
        <v>1</v>
      </c>
      <c r="AB436" t="b">
        <f t="shared" si="63"/>
        <v>1</v>
      </c>
    </row>
    <row r="437" spans="1:28" ht="14.4">
      <c r="A437" s="2" t="s">
        <v>79</v>
      </c>
      <c r="B437" s="2" t="s">
        <v>14</v>
      </c>
      <c r="C437" s="2" t="s">
        <v>15</v>
      </c>
      <c r="D437" s="2" t="s">
        <v>65</v>
      </c>
      <c r="E437" s="2" t="s">
        <v>19</v>
      </c>
      <c r="F437" s="2" t="s">
        <v>11</v>
      </c>
      <c r="G437" s="2" t="s">
        <v>13</v>
      </c>
      <c r="H437" s="2" t="s">
        <v>12</v>
      </c>
      <c r="I437" s="2" t="s">
        <v>17</v>
      </c>
      <c r="J437" t="b">
        <f t="shared" si="55"/>
        <v>1</v>
      </c>
      <c r="K437" s="8" t="s">
        <v>79</v>
      </c>
      <c r="L437" s="9" t="s">
        <v>14</v>
      </c>
      <c r="M437" s="9" t="s">
        <v>15</v>
      </c>
      <c r="N437" s="9" t="s">
        <v>65</v>
      </c>
      <c r="O437" s="9" t="s">
        <v>19</v>
      </c>
      <c r="P437" s="9" t="s">
        <v>11</v>
      </c>
      <c r="Q437" s="9" t="s">
        <v>13</v>
      </c>
      <c r="R437" s="9" t="s">
        <v>12</v>
      </c>
      <c r="S437" s="9" t="s">
        <v>17</v>
      </c>
      <c r="U437" t="b">
        <f t="shared" si="56"/>
        <v>1</v>
      </c>
      <c r="V437" t="b">
        <f t="shared" si="57"/>
        <v>1</v>
      </c>
      <c r="W437" t="b">
        <f t="shared" si="58"/>
        <v>1</v>
      </c>
      <c r="X437" t="b">
        <f t="shared" si="59"/>
        <v>1</v>
      </c>
      <c r="Y437" t="b">
        <f t="shared" si="60"/>
        <v>1</v>
      </c>
      <c r="Z437" t="b">
        <f t="shared" si="61"/>
        <v>1</v>
      </c>
      <c r="AA437" t="b">
        <f t="shared" si="62"/>
        <v>1</v>
      </c>
      <c r="AB437" t="b">
        <f t="shared" si="63"/>
        <v>1</v>
      </c>
    </row>
    <row r="438" spans="1:28" ht="14.4">
      <c r="A438" s="2" t="s">
        <v>78</v>
      </c>
      <c r="B438" s="2" t="s">
        <v>14</v>
      </c>
      <c r="C438" s="2" t="s">
        <v>15</v>
      </c>
      <c r="D438" s="2" t="s">
        <v>65</v>
      </c>
      <c r="E438" s="2" t="s">
        <v>19</v>
      </c>
      <c r="F438" s="2" t="s">
        <v>11</v>
      </c>
      <c r="G438" s="2" t="s">
        <v>13</v>
      </c>
      <c r="H438" s="2" t="s">
        <v>16</v>
      </c>
      <c r="I438" s="2" t="s">
        <v>12</v>
      </c>
      <c r="J438" t="b">
        <f t="shared" si="55"/>
        <v>1</v>
      </c>
      <c r="K438" s="6" t="s">
        <v>78</v>
      </c>
      <c r="L438" s="7" t="s">
        <v>14</v>
      </c>
      <c r="M438" s="7" t="s">
        <v>15</v>
      </c>
      <c r="N438" s="7" t="s">
        <v>65</v>
      </c>
      <c r="O438" s="7" t="s">
        <v>19</v>
      </c>
      <c r="P438" s="7" t="s">
        <v>11</v>
      </c>
      <c r="Q438" s="7" t="s">
        <v>13</v>
      </c>
      <c r="R438" s="7" t="s">
        <v>16</v>
      </c>
      <c r="S438" s="7" t="s">
        <v>12</v>
      </c>
      <c r="U438" t="b">
        <f t="shared" si="56"/>
        <v>1</v>
      </c>
      <c r="V438" t="b">
        <f t="shared" si="57"/>
        <v>1</v>
      </c>
      <c r="W438" t="b">
        <f t="shared" si="58"/>
        <v>1</v>
      </c>
      <c r="X438" t="b">
        <f t="shared" si="59"/>
        <v>1</v>
      </c>
      <c r="Y438" t="b">
        <f t="shared" si="60"/>
        <v>1</v>
      </c>
      <c r="Z438" t="b">
        <f t="shared" si="61"/>
        <v>1</v>
      </c>
      <c r="AA438" t="b">
        <f t="shared" si="62"/>
        <v>1</v>
      </c>
      <c r="AB438" t="b">
        <f t="shared" si="63"/>
        <v>1</v>
      </c>
    </row>
    <row r="439" spans="1:28" ht="14.4">
      <c r="A439" s="2" t="s">
        <v>77</v>
      </c>
      <c r="B439" s="2" t="s">
        <v>14</v>
      </c>
      <c r="C439" s="2" t="s">
        <v>15</v>
      </c>
      <c r="D439" s="2" t="s">
        <v>65</v>
      </c>
      <c r="E439" s="2" t="s">
        <v>19</v>
      </c>
      <c r="F439" s="2" t="s">
        <v>12</v>
      </c>
      <c r="G439" s="2" t="s">
        <v>13</v>
      </c>
      <c r="H439" s="2" t="s">
        <v>16</v>
      </c>
      <c r="I439" s="2" t="s">
        <v>17</v>
      </c>
      <c r="J439" t="b">
        <f t="shared" si="55"/>
        <v>1</v>
      </c>
      <c r="K439" s="8" t="s">
        <v>77</v>
      </c>
      <c r="L439" s="9" t="s">
        <v>14</v>
      </c>
      <c r="M439" s="9" t="s">
        <v>15</v>
      </c>
      <c r="N439" s="9" t="s">
        <v>65</v>
      </c>
      <c r="O439" s="9" t="s">
        <v>19</v>
      </c>
      <c r="P439" s="9" t="s">
        <v>12</v>
      </c>
      <c r="Q439" s="9" t="s">
        <v>13</v>
      </c>
      <c r="R439" s="9" t="s">
        <v>16</v>
      </c>
      <c r="S439" s="9" t="s">
        <v>17</v>
      </c>
      <c r="U439" t="b">
        <f t="shared" si="56"/>
        <v>1</v>
      </c>
      <c r="V439" t="b">
        <f t="shared" si="57"/>
        <v>1</v>
      </c>
      <c r="W439" t="b">
        <f t="shared" si="58"/>
        <v>1</v>
      </c>
      <c r="X439" t="b">
        <f t="shared" si="59"/>
        <v>1</v>
      </c>
      <c r="Y439" t="b">
        <f t="shared" si="60"/>
        <v>1</v>
      </c>
      <c r="Z439" t="b">
        <f t="shared" si="61"/>
        <v>1</v>
      </c>
      <c r="AA439" t="b">
        <f t="shared" si="62"/>
        <v>1</v>
      </c>
      <c r="AB439" t="b">
        <f t="shared" si="63"/>
        <v>1</v>
      </c>
    </row>
    <row r="440" spans="1:28" ht="14.4">
      <c r="A440" s="2" t="s">
        <v>76</v>
      </c>
      <c r="B440" s="2" t="s">
        <v>14</v>
      </c>
      <c r="C440" s="2" t="s">
        <v>15</v>
      </c>
      <c r="D440" s="2" t="s">
        <v>65</v>
      </c>
      <c r="E440" s="2" t="s">
        <v>19</v>
      </c>
      <c r="F440" s="2" t="s">
        <v>11</v>
      </c>
      <c r="G440" s="2" t="s">
        <v>13</v>
      </c>
      <c r="H440" s="2" t="s">
        <v>16</v>
      </c>
      <c r="I440" s="2" t="s">
        <v>17</v>
      </c>
      <c r="J440" t="b">
        <f t="shared" si="55"/>
        <v>1</v>
      </c>
      <c r="K440" s="6" t="s">
        <v>76</v>
      </c>
      <c r="L440" s="7" t="s">
        <v>14</v>
      </c>
      <c r="M440" s="7" t="s">
        <v>15</v>
      </c>
      <c r="N440" s="7" t="s">
        <v>65</v>
      </c>
      <c r="O440" s="7" t="s">
        <v>19</v>
      </c>
      <c r="P440" s="7" t="s">
        <v>11</v>
      </c>
      <c r="Q440" s="7" t="s">
        <v>13</v>
      </c>
      <c r="R440" s="7" t="s">
        <v>16</v>
      </c>
      <c r="S440" s="7" t="s">
        <v>17</v>
      </c>
      <c r="U440" t="b">
        <f t="shared" si="56"/>
        <v>1</v>
      </c>
      <c r="V440" t="b">
        <f t="shared" si="57"/>
        <v>1</v>
      </c>
      <c r="W440" t="b">
        <f t="shared" si="58"/>
        <v>1</v>
      </c>
      <c r="X440" t="b">
        <f t="shared" si="59"/>
        <v>1</v>
      </c>
      <c r="Y440" t="b">
        <f t="shared" si="60"/>
        <v>1</v>
      </c>
      <c r="Z440" t="b">
        <f t="shared" si="61"/>
        <v>1</v>
      </c>
      <c r="AA440" t="b">
        <f t="shared" si="62"/>
        <v>1</v>
      </c>
      <c r="AB440" t="b">
        <f t="shared" si="63"/>
        <v>1</v>
      </c>
    </row>
    <row r="441" spans="1:28" ht="14.4">
      <c r="A441" s="2" t="s">
        <v>75</v>
      </c>
      <c r="B441" s="2" t="s">
        <v>12</v>
      </c>
      <c r="C441" s="2" t="s">
        <v>15</v>
      </c>
      <c r="D441" s="2" t="s">
        <v>65</v>
      </c>
      <c r="E441" s="2" t="s">
        <v>19</v>
      </c>
      <c r="F441" s="2" t="s">
        <v>11</v>
      </c>
      <c r="G441" s="2" t="s">
        <v>13</v>
      </c>
      <c r="H441" s="2" t="s">
        <v>16</v>
      </c>
      <c r="I441" s="2" t="s">
        <v>17</v>
      </c>
      <c r="J441" t="b">
        <f t="shared" si="55"/>
        <v>1</v>
      </c>
      <c r="K441" s="8" t="s">
        <v>75</v>
      </c>
      <c r="L441" s="9" t="s">
        <v>12</v>
      </c>
      <c r="M441" s="9" t="s">
        <v>15</v>
      </c>
      <c r="N441" s="9" t="s">
        <v>65</v>
      </c>
      <c r="O441" s="9" t="s">
        <v>19</v>
      </c>
      <c r="P441" s="9" t="s">
        <v>11</v>
      </c>
      <c r="Q441" s="9" t="s">
        <v>13</v>
      </c>
      <c r="R441" s="9" t="s">
        <v>16</v>
      </c>
      <c r="S441" s="9" t="s">
        <v>17</v>
      </c>
      <c r="U441" t="b">
        <f t="shared" si="56"/>
        <v>1</v>
      </c>
      <c r="V441" t="b">
        <f t="shared" si="57"/>
        <v>1</v>
      </c>
      <c r="W441" t="b">
        <f t="shared" si="58"/>
        <v>1</v>
      </c>
      <c r="X441" t="b">
        <f t="shared" si="59"/>
        <v>1</v>
      </c>
      <c r="Y441" t="b">
        <f t="shared" si="60"/>
        <v>1</v>
      </c>
      <c r="Z441" t="b">
        <f t="shared" si="61"/>
        <v>1</v>
      </c>
      <c r="AA441" t="b">
        <f t="shared" si="62"/>
        <v>1</v>
      </c>
      <c r="AB441" t="b">
        <f t="shared" si="63"/>
        <v>1</v>
      </c>
    </row>
    <row r="442" spans="1:28" ht="14.4">
      <c r="A442" s="2" t="s">
        <v>74</v>
      </c>
      <c r="B442" s="2" t="s">
        <v>14</v>
      </c>
      <c r="C442" s="2" t="s">
        <v>11</v>
      </c>
      <c r="D442" s="2" t="s">
        <v>65</v>
      </c>
      <c r="E442" s="2" t="s">
        <v>19</v>
      </c>
      <c r="F442" s="2" t="s">
        <v>12</v>
      </c>
      <c r="G442" s="2" t="s">
        <v>13</v>
      </c>
      <c r="H442" s="2" t="s">
        <v>16</v>
      </c>
      <c r="I442" s="2" t="s">
        <v>17</v>
      </c>
      <c r="J442" t="b">
        <f t="shared" si="55"/>
        <v>1</v>
      </c>
      <c r="K442" s="6" t="s">
        <v>74</v>
      </c>
      <c r="L442" s="7" t="s">
        <v>14</v>
      </c>
      <c r="M442" s="7" t="s">
        <v>11</v>
      </c>
      <c r="N442" s="7" t="s">
        <v>65</v>
      </c>
      <c r="O442" s="7" t="s">
        <v>19</v>
      </c>
      <c r="P442" s="7" t="s">
        <v>12</v>
      </c>
      <c r="Q442" s="7" t="s">
        <v>13</v>
      </c>
      <c r="R442" s="7" t="s">
        <v>16</v>
      </c>
      <c r="S442" s="7" t="s">
        <v>17</v>
      </c>
      <c r="U442" t="b">
        <f t="shared" si="56"/>
        <v>1</v>
      </c>
      <c r="V442" t="b">
        <f t="shared" si="57"/>
        <v>1</v>
      </c>
      <c r="W442" t="b">
        <f t="shared" si="58"/>
        <v>1</v>
      </c>
      <c r="X442" t="b">
        <f t="shared" si="59"/>
        <v>1</v>
      </c>
      <c r="Y442" t="b">
        <f t="shared" si="60"/>
        <v>1</v>
      </c>
      <c r="Z442" t="b">
        <f t="shared" si="61"/>
        <v>1</v>
      </c>
      <c r="AA442" t="b">
        <f t="shared" si="62"/>
        <v>1</v>
      </c>
      <c r="AB442" t="b">
        <f t="shared" si="63"/>
        <v>1</v>
      </c>
    </row>
    <row r="443" spans="1:28" ht="14.4">
      <c r="A443" s="2" t="s">
        <v>73</v>
      </c>
      <c r="B443" s="2" t="s">
        <v>14</v>
      </c>
      <c r="C443" s="2" t="s">
        <v>11</v>
      </c>
      <c r="D443" s="2" t="s">
        <v>65</v>
      </c>
      <c r="E443" s="2" t="s">
        <v>19</v>
      </c>
      <c r="F443" s="2" t="s">
        <v>12</v>
      </c>
      <c r="G443" s="2" t="s">
        <v>15</v>
      </c>
      <c r="H443" s="2" t="s">
        <v>16</v>
      </c>
      <c r="I443" s="2" t="s">
        <v>17</v>
      </c>
      <c r="J443" t="b">
        <f t="shared" si="55"/>
        <v>1</v>
      </c>
      <c r="K443" s="8" t="s">
        <v>73</v>
      </c>
      <c r="L443" s="9" t="s">
        <v>14</v>
      </c>
      <c r="M443" s="9" t="s">
        <v>11</v>
      </c>
      <c r="N443" s="9" t="s">
        <v>65</v>
      </c>
      <c r="O443" s="9" t="s">
        <v>19</v>
      </c>
      <c r="P443" s="9" t="s">
        <v>12</v>
      </c>
      <c r="Q443" s="9" t="s">
        <v>15</v>
      </c>
      <c r="R443" s="9" t="s">
        <v>16</v>
      </c>
      <c r="S443" s="9" t="s">
        <v>17</v>
      </c>
      <c r="U443" t="b">
        <f t="shared" si="56"/>
        <v>1</v>
      </c>
      <c r="V443" t="b">
        <f t="shared" si="57"/>
        <v>1</v>
      </c>
      <c r="W443" t="b">
        <f t="shared" si="58"/>
        <v>1</v>
      </c>
      <c r="X443" t="b">
        <f t="shared" si="59"/>
        <v>1</v>
      </c>
      <c r="Y443" t="b">
        <f t="shared" si="60"/>
        <v>1</v>
      </c>
      <c r="Z443" t="b">
        <f t="shared" si="61"/>
        <v>1</v>
      </c>
      <c r="AA443" t="b">
        <f t="shared" si="62"/>
        <v>1</v>
      </c>
      <c r="AB443" t="b">
        <f t="shared" si="63"/>
        <v>1</v>
      </c>
    </row>
    <row r="444" spans="1:28" ht="14.4">
      <c r="A444" s="2" t="s">
        <v>72</v>
      </c>
      <c r="B444" s="2" t="s">
        <v>10</v>
      </c>
      <c r="C444" s="2" t="s">
        <v>11</v>
      </c>
      <c r="D444" s="2" t="s">
        <v>65</v>
      </c>
      <c r="E444" s="2" t="s">
        <v>13</v>
      </c>
      <c r="F444" s="2" t="s">
        <v>14</v>
      </c>
      <c r="G444" s="2" t="s">
        <v>15</v>
      </c>
      <c r="H444" s="2" t="s">
        <v>12</v>
      </c>
      <c r="I444" s="2" t="s">
        <v>17</v>
      </c>
      <c r="J444" t="b">
        <f t="shared" si="55"/>
        <v>1</v>
      </c>
      <c r="K444" s="6" t="s">
        <v>72</v>
      </c>
      <c r="L444" s="7" t="s">
        <v>10</v>
      </c>
      <c r="M444" s="7" t="s">
        <v>11</v>
      </c>
      <c r="N444" s="7" t="s">
        <v>65</v>
      </c>
      <c r="O444" s="7" t="s">
        <v>13</v>
      </c>
      <c r="P444" s="7" t="s">
        <v>14</v>
      </c>
      <c r="Q444" s="7" t="s">
        <v>15</v>
      </c>
      <c r="R444" s="7" t="s">
        <v>12</v>
      </c>
      <c r="S444" s="7" t="s">
        <v>17</v>
      </c>
      <c r="U444" t="b">
        <f t="shared" si="56"/>
        <v>1</v>
      </c>
      <c r="V444" t="b">
        <f t="shared" si="57"/>
        <v>1</v>
      </c>
      <c r="W444" t="b">
        <f t="shared" si="58"/>
        <v>1</v>
      </c>
      <c r="X444" t="b">
        <f t="shared" si="59"/>
        <v>1</v>
      </c>
      <c r="Y444" t="b">
        <f t="shared" si="60"/>
        <v>1</v>
      </c>
      <c r="Z444" t="b">
        <f t="shared" si="61"/>
        <v>1</v>
      </c>
      <c r="AA444" t="b">
        <f t="shared" si="62"/>
        <v>1</v>
      </c>
      <c r="AB444" t="b">
        <f t="shared" si="63"/>
        <v>1</v>
      </c>
    </row>
    <row r="445" spans="1:28" ht="14.4">
      <c r="A445" s="2" t="s">
        <v>71</v>
      </c>
      <c r="B445" s="2" t="s">
        <v>10</v>
      </c>
      <c r="C445" s="2" t="s">
        <v>11</v>
      </c>
      <c r="D445" s="2" t="s">
        <v>65</v>
      </c>
      <c r="E445" s="2" t="s">
        <v>13</v>
      </c>
      <c r="F445" s="2" t="s">
        <v>14</v>
      </c>
      <c r="G445" s="2" t="s">
        <v>15</v>
      </c>
      <c r="H445" s="2" t="s">
        <v>16</v>
      </c>
      <c r="I445" s="2" t="s">
        <v>12</v>
      </c>
      <c r="J445" t="b">
        <f t="shared" si="55"/>
        <v>1</v>
      </c>
      <c r="K445" s="8" t="s">
        <v>71</v>
      </c>
      <c r="L445" s="9" t="s">
        <v>10</v>
      </c>
      <c r="M445" s="9" t="s">
        <v>11</v>
      </c>
      <c r="N445" s="9" t="s">
        <v>65</v>
      </c>
      <c r="O445" s="9" t="s">
        <v>13</v>
      </c>
      <c r="P445" s="9" t="s">
        <v>14</v>
      </c>
      <c r="Q445" s="9" t="s">
        <v>15</v>
      </c>
      <c r="R445" s="9" t="s">
        <v>16</v>
      </c>
      <c r="S445" s="9" t="s">
        <v>12</v>
      </c>
      <c r="U445" t="b">
        <f t="shared" si="56"/>
        <v>1</v>
      </c>
      <c r="V445" t="b">
        <f t="shared" si="57"/>
        <v>1</v>
      </c>
      <c r="W445" t="b">
        <f t="shared" si="58"/>
        <v>1</v>
      </c>
      <c r="X445" t="b">
        <f t="shared" si="59"/>
        <v>1</v>
      </c>
      <c r="Y445" t="b">
        <f t="shared" si="60"/>
        <v>1</v>
      </c>
      <c r="Z445" t="b">
        <f t="shared" si="61"/>
        <v>1</v>
      </c>
      <c r="AA445" t="b">
        <f t="shared" si="62"/>
        <v>1</v>
      </c>
      <c r="AB445" t="b">
        <f t="shared" si="63"/>
        <v>1</v>
      </c>
    </row>
    <row r="446" spans="1:28" ht="14.4">
      <c r="A446" s="2" t="s">
        <v>70</v>
      </c>
      <c r="B446" s="2" t="s">
        <v>10</v>
      </c>
      <c r="C446" s="2" t="s">
        <v>15</v>
      </c>
      <c r="D446" s="2" t="s">
        <v>65</v>
      </c>
      <c r="E446" s="2" t="s">
        <v>13</v>
      </c>
      <c r="F446" s="2" t="s">
        <v>12</v>
      </c>
      <c r="G446" s="2" t="s">
        <v>14</v>
      </c>
      <c r="H446" s="2" t="s">
        <v>16</v>
      </c>
      <c r="I446" s="2" t="s">
        <v>17</v>
      </c>
      <c r="J446" t="b">
        <f t="shared" si="55"/>
        <v>1</v>
      </c>
      <c r="K446" s="6" t="s">
        <v>70</v>
      </c>
      <c r="L446" s="7" t="s">
        <v>10</v>
      </c>
      <c r="M446" s="7" t="s">
        <v>15</v>
      </c>
      <c r="N446" s="7" t="s">
        <v>65</v>
      </c>
      <c r="O446" s="7" t="s">
        <v>13</v>
      </c>
      <c r="P446" s="7" t="s">
        <v>12</v>
      </c>
      <c r="Q446" s="7" t="s">
        <v>14</v>
      </c>
      <c r="R446" s="7" t="s">
        <v>16</v>
      </c>
      <c r="S446" s="7" t="s">
        <v>17</v>
      </c>
      <c r="U446" t="b">
        <f t="shared" si="56"/>
        <v>1</v>
      </c>
      <c r="V446" t="b">
        <f t="shared" si="57"/>
        <v>1</v>
      </c>
      <c r="W446" t="b">
        <f t="shared" si="58"/>
        <v>1</v>
      </c>
      <c r="X446" t="b">
        <f t="shared" si="59"/>
        <v>1</v>
      </c>
      <c r="Y446" t="b">
        <f t="shared" si="60"/>
        <v>1</v>
      </c>
      <c r="Z446" t="b">
        <f t="shared" si="61"/>
        <v>1</v>
      </c>
      <c r="AA446" t="b">
        <f t="shared" si="62"/>
        <v>1</v>
      </c>
      <c r="AB446" t="b">
        <f t="shared" si="63"/>
        <v>1</v>
      </c>
    </row>
    <row r="447" spans="1:28" ht="14.4">
      <c r="A447" s="2" t="s">
        <v>69</v>
      </c>
      <c r="B447" s="2" t="s">
        <v>10</v>
      </c>
      <c r="C447" s="2" t="s">
        <v>11</v>
      </c>
      <c r="D447" s="2" t="s">
        <v>65</v>
      </c>
      <c r="E447" s="2" t="s">
        <v>13</v>
      </c>
      <c r="F447" s="2" t="s">
        <v>14</v>
      </c>
      <c r="G447" s="2" t="s">
        <v>15</v>
      </c>
      <c r="H447" s="2" t="s">
        <v>16</v>
      </c>
      <c r="I447" s="2" t="s">
        <v>17</v>
      </c>
      <c r="J447" t="b">
        <f t="shared" si="55"/>
        <v>1</v>
      </c>
      <c r="K447" s="8" t="s">
        <v>69</v>
      </c>
      <c r="L447" s="9" t="s">
        <v>10</v>
      </c>
      <c r="M447" s="9" t="s">
        <v>11</v>
      </c>
      <c r="N447" s="9" t="s">
        <v>65</v>
      </c>
      <c r="O447" s="9" t="s">
        <v>13</v>
      </c>
      <c r="P447" s="9" t="s">
        <v>14</v>
      </c>
      <c r="Q447" s="9" t="s">
        <v>15</v>
      </c>
      <c r="R447" s="9" t="s">
        <v>16</v>
      </c>
      <c r="S447" s="9" t="s">
        <v>17</v>
      </c>
      <c r="U447" t="b">
        <f t="shared" si="56"/>
        <v>1</v>
      </c>
      <c r="V447" t="b">
        <f t="shared" si="57"/>
        <v>1</v>
      </c>
      <c r="W447" t="b">
        <f t="shared" si="58"/>
        <v>1</v>
      </c>
      <c r="X447" t="b">
        <f t="shared" si="59"/>
        <v>1</v>
      </c>
      <c r="Y447" t="b">
        <f t="shared" si="60"/>
        <v>1</v>
      </c>
      <c r="Z447" t="b">
        <f t="shared" si="61"/>
        <v>1</v>
      </c>
      <c r="AA447" t="b">
        <f t="shared" si="62"/>
        <v>1</v>
      </c>
      <c r="AB447" t="b">
        <f t="shared" si="63"/>
        <v>1</v>
      </c>
    </row>
    <row r="448" spans="1:28" ht="14.4">
      <c r="A448" s="2" t="s">
        <v>68</v>
      </c>
      <c r="B448" s="2" t="s">
        <v>10</v>
      </c>
      <c r="C448" s="2" t="s">
        <v>11</v>
      </c>
      <c r="D448" s="2" t="s">
        <v>65</v>
      </c>
      <c r="E448" s="2" t="s">
        <v>13</v>
      </c>
      <c r="F448" s="2" t="s">
        <v>12</v>
      </c>
      <c r="G448" s="2" t="s">
        <v>15</v>
      </c>
      <c r="H448" s="2" t="s">
        <v>16</v>
      </c>
      <c r="I448" s="2" t="s">
        <v>17</v>
      </c>
      <c r="J448" t="b">
        <f t="shared" si="55"/>
        <v>1</v>
      </c>
      <c r="K448" s="6" t="s">
        <v>68</v>
      </c>
      <c r="L448" s="7" t="s">
        <v>10</v>
      </c>
      <c r="M448" s="7" t="s">
        <v>11</v>
      </c>
      <c r="N448" s="7" t="s">
        <v>65</v>
      </c>
      <c r="O448" s="7" t="s">
        <v>13</v>
      </c>
      <c r="P448" s="7" t="s">
        <v>12</v>
      </c>
      <c r="Q448" s="7" t="s">
        <v>15</v>
      </c>
      <c r="R448" s="7" t="s">
        <v>16</v>
      </c>
      <c r="S448" s="7" t="s">
        <v>17</v>
      </c>
      <c r="U448" t="b">
        <f t="shared" si="56"/>
        <v>1</v>
      </c>
      <c r="V448" t="b">
        <f t="shared" si="57"/>
        <v>1</v>
      </c>
      <c r="W448" t="b">
        <f t="shared" si="58"/>
        <v>1</v>
      </c>
      <c r="X448" t="b">
        <f t="shared" si="59"/>
        <v>1</v>
      </c>
      <c r="Y448" t="b">
        <f t="shared" si="60"/>
        <v>1</v>
      </c>
      <c r="Z448" t="b">
        <f t="shared" si="61"/>
        <v>1</v>
      </c>
      <c r="AA448" t="b">
        <f t="shared" si="62"/>
        <v>1</v>
      </c>
      <c r="AB448" t="b">
        <f t="shared" si="63"/>
        <v>1</v>
      </c>
    </row>
    <row r="449" spans="1:28" ht="14.4">
      <c r="A449" s="2" t="s">
        <v>67</v>
      </c>
      <c r="B449" s="2" t="s">
        <v>10</v>
      </c>
      <c r="C449" s="2" t="s">
        <v>11</v>
      </c>
      <c r="D449" s="2" t="s">
        <v>65</v>
      </c>
      <c r="E449" s="2" t="s">
        <v>13</v>
      </c>
      <c r="F449" s="2" t="s">
        <v>12</v>
      </c>
      <c r="G449" s="2" t="s">
        <v>14</v>
      </c>
      <c r="H449" s="2" t="s">
        <v>16</v>
      </c>
      <c r="I449" s="2" t="s">
        <v>17</v>
      </c>
      <c r="J449" t="b">
        <f t="shared" si="55"/>
        <v>1</v>
      </c>
      <c r="K449" s="8" t="s">
        <v>67</v>
      </c>
      <c r="L449" s="9" t="s">
        <v>10</v>
      </c>
      <c r="M449" s="9" t="s">
        <v>11</v>
      </c>
      <c r="N449" s="9" t="s">
        <v>65</v>
      </c>
      <c r="O449" s="9" t="s">
        <v>13</v>
      </c>
      <c r="P449" s="9" t="s">
        <v>12</v>
      </c>
      <c r="Q449" s="9" t="s">
        <v>14</v>
      </c>
      <c r="R449" s="9" t="s">
        <v>16</v>
      </c>
      <c r="S449" s="9" t="s">
        <v>17</v>
      </c>
      <c r="U449" t="b">
        <f t="shared" si="56"/>
        <v>1</v>
      </c>
      <c r="V449" t="b">
        <f t="shared" si="57"/>
        <v>1</v>
      </c>
      <c r="W449" t="b">
        <f t="shared" si="58"/>
        <v>1</v>
      </c>
      <c r="X449" t="b">
        <f t="shared" si="59"/>
        <v>1</v>
      </c>
      <c r="Y449" t="b">
        <f t="shared" si="60"/>
        <v>1</v>
      </c>
      <c r="Z449" t="b">
        <f t="shared" si="61"/>
        <v>1</v>
      </c>
      <c r="AA449" t="b">
        <f t="shared" si="62"/>
        <v>1</v>
      </c>
      <c r="AB449" t="b">
        <f t="shared" si="63"/>
        <v>1</v>
      </c>
    </row>
    <row r="450" spans="1:28" ht="14.4">
      <c r="A450" s="2" t="s">
        <v>66</v>
      </c>
      <c r="B450" s="2" t="s">
        <v>10</v>
      </c>
      <c r="C450" s="2" t="s">
        <v>11</v>
      </c>
      <c r="D450" s="2" t="s">
        <v>12</v>
      </c>
      <c r="E450" s="2" t="s">
        <v>65</v>
      </c>
      <c r="F450" s="2" t="s">
        <v>14</v>
      </c>
      <c r="G450" s="2" t="s">
        <v>15</v>
      </c>
      <c r="H450" s="2" t="s">
        <v>16</v>
      </c>
      <c r="I450" s="2" t="s">
        <v>17</v>
      </c>
      <c r="J450" t="b">
        <f t="shared" si="55"/>
        <v>1</v>
      </c>
      <c r="K450" s="6" t="s">
        <v>66</v>
      </c>
      <c r="L450" s="7" t="s">
        <v>10</v>
      </c>
      <c r="M450" s="7" t="s">
        <v>11</v>
      </c>
      <c r="N450" s="7" t="s">
        <v>12</v>
      </c>
      <c r="O450" s="7" t="s">
        <v>65</v>
      </c>
      <c r="P450" s="7" t="s">
        <v>14</v>
      </c>
      <c r="Q450" s="7" t="s">
        <v>15</v>
      </c>
      <c r="R450" s="7" t="s">
        <v>16</v>
      </c>
      <c r="S450" s="7" t="s">
        <v>17</v>
      </c>
      <c r="U450" t="b">
        <f t="shared" si="56"/>
        <v>1</v>
      </c>
      <c r="V450" t="b">
        <f t="shared" si="57"/>
        <v>1</v>
      </c>
      <c r="W450" t="b">
        <f t="shared" si="58"/>
        <v>1</v>
      </c>
      <c r="X450" t="b">
        <f t="shared" si="59"/>
        <v>1</v>
      </c>
      <c r="Y450" t="b">
        <f t="shared" si="60"/>
        <v>1</v>
      </c>
      <c r="Z450" t="b">
        <f t="shared" si="61"/>
        <v>1</v>
      </c>
      <c r="AA450" t="b">
        <f t="shared" si="62"/>
        <v>1</v>
      </c>
      <c r="AB450" t="b">
        <f t="shared" si="63"/>
        <v>1</v>
      </c>
    </row>
    <row r="451" spans="1:28" ht="14.4">
      <c r="A451" s="2" t="s">
        <v>64</v>
      </c>
      <c r="B451" s="2" t="s">
        <v>14</v>
      </c>
      <c r="C451" s="2" t="s">
        <v>11</v>
      </c>
      <c r="D451" s="2" t="s">
        <v>65</v>
      </c>
      <c r="E451" s="2" t="s">
        <v>13</v>
      </c>
      <c r="F451" s="2" t="s">
        <v>12</v>
      </c>
      <c r="G451" s="2" t="s">
        <v>15</v>
      </c>
      <c r="H451" s="2" t="s">
        <v>16</v>
      </c>
      <c r="I451" s="2" t="s">
        <v>17</v>
      </c>
      <c r="J451" t="b">
        <f t="shared" ref="J451:J496" si="64">K451=A451</f>
        <v>1</v>
      </c>
      <c r="K451" s="8" t="s">
        <v>64</v>
      </c>
      <c r="L451" s="9" t="s">
        <v>14</v>
      </c>
      <c r="M451" s="9" t="s">
        <v>11</v>
      </c>
      <c r="N451" s="9" t="s">
        <v>65</v>
      </c>
      <c r="O451" s="9" t="s">
        <v>13</v>
      </c>
      <c r="P451" s="9" t="s">
        <v>12</v>
      </c>
      <c r="Q451" s="9" t="s">
        <v>15</v>
      </c>
      <c r="R451" s="9" t="s">
        <v>16</v>
      </c>
      <c r="S451" s="9" t="s">
        <v>17</v>
      </c>
      <c r="U451" t="b">
        <f t="shared" ref="U451:U496" si="65">B451=L451</f>
        <v>1</v>
      </c>
      <c r="V451" t="b">
        <f t="shared" ref="V451:V496" si="66">C451=M451</f>
        <v>1</v>
      </c>
      <c r="W451" t="b">
        <f t="shared" ref="W451:W496" si="67">D451=N451</f>
        <v>1</v>
      </c>
      <c r="X451" t="b">
        <f t="shared" ref="X451:X496" si="68">E451=O451</f>
        <v>1</v>
      </c>
      <c r="Y451" t="b">
        <f t="shared" ref="Y451:Y496" si="69">F451=P451</f>
        <v>1</v>
      </c>
      <c r="Z451" t="b">
        <f t="shared" ref="Z451:Z496" si="70">G451=Q451</f>
        <v>1</v>
      </c>
      <c r="AA451" t="b">
        <f t="shared" ref="AA451:AA496" si="71">H451=R451</f>
        <v>1</v>
      </c>
      <c r="AB451" t="b">
        <f t="shared" ref="AB451:AB496" si="72">I451=S451</f>
        <v>1</v>
      </c>
    </row>
    <row r="452" spans="1:28" ht="14.4">
      <c r="A452" s="2" t="s">
        <v>63</v>
      </c>
      <c r="B452" s="2" t="s">
        <v>28</v>
      </c>
      <c r="C452" s="2" t="s">
        <v>15</v>
      </c>
      <c r="D452" s="2" t="s">
        <v>11</v>
      </c>
      <c r="E452" s="2" t="s">
        <v>19</v>
      </c>
      <c r="F452" s="2" t="s">
        <v>14</v>
      </c>
      <c r="G452" s="2" t="s">
        <v>13</v>
      </c>
      <c r="H452" s="2" t="s">
        <v>10</v>
      </c>
      <c r="I452" s="2" t="s">
        <v>12</v>
      </c>
      <c r="J452" t="b">
        <f t="shared" si="64"/>
        <v>1</v>
      </c>
      <c r="K452" s="6" t="s">
        <v>63</v>
      </c>
      <c r="L452" s="7" t="s">
        <v>28</v>
      </c>
      <c r="M452" s="7" t="s">
        <v>15</v>
      </c>
      <c r="N452" s="7" t="s">
        <v>11</v>
      </c>
      <c r="O452" s="7" t="s">
        <v>19</v>
      </c>
      <c r="P452" s="7" t="s">
        <v>14</v>
      </c>
      <c r="Q452" s="7" t="s">
        <v>13</v>
      </c>
      <c r="R452" s="7" t="s">
        <v>10</v>
      </c>
      <c r="S452" s="7" t="s">
        <v>12</v>
      </c>
      <c r="U452" t="b">
        <f t="shared" si="65"/>
        <v>1</v>
      </c>
      <c r="V452" t="b">
        <f t="shared" si="66"/>
        <v>1</v>
      </c>
      <c r="W452" t="b">
        <f t="shared" si="67"/>
        <v>1</v>
      </c>
      <c r="X452" t="b">
        <f t="shared" si="68"/>
        <v>1</v>
      </c>
      <c r="Y452" t="b">
        <f t="shared" si="69"/>
        <v>1</v>
      </c>
      <c r="Z452" t="b">
        <f t="shared" si="70"/>
        <v>1</v>
      </c>
      <c r="AA452" t="b">
        <f t="shared" si="71"/>
        <v>1</v>
      </c>
      <c r="AB452" t="b">
        <f t="shared" si="72"/>
        <v>1</v>
      </c>
    </row>
    <row r="453" spans="1:28" ht="14.4">
      <c r="A453" s="2" t="s">
        <v>62</v>
      </c>
      <c r="B453" s="2" t="s">
        <v>28</v>
      </c>
      <c r="C453" s="2" t="s">
        <v>15</v>
      </c>
      <c r="D453" s="2" t="s">
        <v>10</v>
      </c>
      <c r="E453" s="2" t="s">
        <v>19</v>
      </c>
      <c r="F453" s="2" t="s">
        <v>14</v>
      </c>
      <c r="G453" s="2" t="s">
        <v>13</v>
      </c>
      <c r="H453" s="2" t="s">
        <v>12</v>
      </c>
      <c r="I453" s="2" t="s">
        <v>17</v>
      </c>
      <c r="J453" t="b">
        <f t="shared" si="64"/>
        <v>1</v>
      </c>
      <c r="K453" s="8" t="s">
        <v>62</v>
      </c>
      <c r="L453" s="9" t="s">
        <v>28</v>
      </c>
      <c r="M453" s="9" t="s">
        <v>15</v>
      </c>
      <c r="N453" s="9" t="s">
        <v>10</v>
      </c>
      <c r="O453" s="9" t="s">
        <v>19</v>
      </c>
      <c r="P453" s="9" t="s">
        <v>14</v>
      </c>
      <c r="Q453" s="9" t="s">
        <v>13</v>
      </c>
      <c r="R453" s="9" t="s">
        <v>12</v>
      </c>
      <c r="S453" s="9" t="s">
        <v>17</v>
      </c>
      <c r="U453" t="b">
        <f t="shared" si="65"/>
        <v>1</v>
      </c>
      <c r="V453" t="b">
        <f t="shared" si="66"/>
        <v>1</v>
      </c>
      <c r="W453" t="b">
        <f t="shared" si="67"/>
        <v>1</v>
      </c>
      <c r="X453" t="b">
        <f t="shared" si="68"/>
        <v>1</v>
      </c>
      <c r="Y453" t="b">
        <f t="shared" si="69"/>
        <v>1</v>
      </c>
      <c r="Z453" t="b">
        <f t="shared" si="70"/>
        <v>1</v>
      </c>
      <c r="AA453" t="b">
        <f t="shared" si="71"/>
        <v>1</v>
      </c>
      <c r="AB453" t="b">
        <f t="shared" si="72"/>
        <v>1</v>
      </c>
    </row>
    <row r="454" spans="1:28" ht="14.4">
      <c r="A454" s="2" t="s">
        <v>61</v>
      </c>
      <c r="B454" s="2" t="s">
        <v>28</v>
      </c>
      <c r="C454" s="2" t="s">
        <v>15</v>
      </c>
      <c r="D454" s="2" t="s">
        <v>10</v>
      </c>
      <c r="E454" s="2" t="s">
        <v>19</v>
      </c>
      <c r="F454" s="2" t="s">
        <v>14</v>
      </c>
      <c r="G454" s="2" t="s">
        <v>13</v>
      </c>
      <c r="H454" s="2" t="s">
        <v>16</v>
      </c>
      <c r="I454" s="2" t="s">
        <v>12</v>
      </c>
      <c r="J454" t="b">
        <f t="shared" si="64"/>
        <v>1</v>
      </c>
      <c r="K454" s="6" t="s">
        <v>61</v>
      </c>
      <c r="L454" s="7" t="s">
        <v>28</v>
      </c>
      <c r="M454" s="7" t="s">
        <v>15</v>
      </c>
      <c r="N454" s="7" t="s">
        <v>10</v>
      </c>
      <c r="O454" s="7" t="s">
        <v>19</v>
      </c>
      <c r="P454" s="7" t="s">
        <v>14</v>
      </c>
      <c r="Q454" s="7" t="s">
        <v>13</v>
      </c>
      <c r="R454" s="7" t="s">
        <v>16</v>
      </c>
      <c r="S454" s="7" t="s">
        <v>12</v>
      </c>
      <c r="U454" t="b">
        <f t="shared" si="65"/>
        <v>1</v>
      </c>
      <c r="V454" t="b">
        <f t="shared" si="66"/>
        <v>1</v>
      </c>
      <c r="W454" t="b">
        <f t="shared" si="67"/>
        <v>1</v>
      </c>
      <c r="X454" t="b">
        <f t="shared" si="68"/>
        <v>1</v>
      </c>
      <c r="Y454" t="b">
        <f t="shared" si="69"/>
        <v>1</v>
      </c>
      <c r="Z454" t="b">
        <f t="shared" si="70"/>
        <v>1</v>
      </c>
      <c r="AA454" t="b">
        <f t="shared" si="71"/>
        <v>1</v>
      </c>
      <c r="AB454" t="b">
        <f t="shared" si="72"/>
        <v>1</v>
      </c>
    </row>
    <row r="455" spans="1:28" ht="14.4">
      <c r="A455" s="2" t="s">
        <v>60</v>
      </c>
      <c r="B455" s="2" t="s">
        <v>28</v>
      </c>
      <c r="C455" s="2" t="s">
        <v>15</v>
      </c>
      <c r="D455" s="2" t="s">
        <v>11</v>
      </c>
      <c r="E455" s="2" t="s">
        <v>19</v>
      </c>
      <c r="F455" s="2" t="s">
        <v>14</v>
      </c>
      <c r="G455" s="2" t="s">
        <v>13</v>
      </c>
      <c r="H455" s="2" t="s">
        <v>10</v>
      </c>
      <c r="I455" s="2" t="s">
        <v>17</v>
      </c>
      <c r="J455" t="b">
        <f t="shared" si="64"/>
        <v>1</v>
      </c>
      <c r="K455" s="8" t="s">
        <v>60</v>
      </c>
      <c r="L455" s="9" t="s">
        <v>28</v>
      </c>
      <c r="M455" s="9" t="s">
        <v>15</v>
      </c>
      <c r="N455" s="9" t="s">
        <v>11</v>
      </c>
      <c r="O455" s="9" t="s">
        <v>19</v>
      </c>
      <c r="P455" s="9" t="s">
        <v>14</v>
      </c>
      <c r="Q455" s="9" t="s">
        <v>13</v>
      </c>
      <c r="R455" s="9" t="s">
        <v>10</v>
      </c>
      <c r="S455" s="9" t="s">
        <v>17</v>
      </c>
      <c r="U455" t="b">
        <f t="shared" si="65"/>
        <v>1</v>
      </c>
      <c r="V455" t="b">
        <f t="shared" si="66"/>
        <v>1</v>
      </c>
      <c r="W455" t="b">
        <f t="shared" si="67"/>
        <v>1</v>
      </c>
      <c r="X455" t="b">
        <f t="shared" si="68"/>
        <v>1</v>
      </c>
      <c r="Y455" t="b">
        <f t="shared" si="69"/>
        <v>1</v>
      </c>
      <c r="Z455" t="b">
        <f t="shared" si="70"/>
        <v>1</v>
      </c>
      <c r="AA455" t="b">
        <f t="shared" si="71"/>
        <v>1</v>
      </c>
      <c r="AB455" t="b">
        <f t="shared" si="72"/>
        <v>1</v>
      </c>
    </row>
    <row r="456" spans="1:28" ht="14.4">
      <c r="A456" s="2" t="s">
        <v>59</v>
      </c>
      <c r="B456" s="2" t="s">
        <v>28</v>
      </c>
      <c r="C456" s="2" t="s">
        <v>15</v>
      </c>
      <c r="D456" s="2" t="s">
        <v>11</v>
      </c>
      <c r="E456" s="2" t="s">
        <v>19</v>
      </c>
      <c r="F456" s="2" t="s">
        <v>14</v>
      </c>
      <c r="G456" s="2" t="s">
        <v>13</v>
      </c>
      <c r="H456" s="2" t="s">
        <v>16</v>
      </c>
      <c r="I456" s="2" t="s">
        <v>10</v>
      </c>
      <c r="J456" t="b">
        <f t="shared" si="64"/>
        <v>1</v>
      </c>
      <c r="K456" s="6" t="s">
        <v>59</v>
      </c>
      <c r="L456" s="7" t="s">
        <v>28</v>
      </c>
      <c r="M456" s="7" t="s">
        <v>15</v>
      </c>
      <c r="N456" s="7" t="s">
        <v>11</v>
      </c>
      <c r="O456" s="7" t="s">
        <v>19</v>
      </c>
      <c r="P456" s="7" t="s">
        <v>14</v>
      </c>
      <c r="Q456" s="7" t="s">
        <v>13</v>
      </c>
      <c r="R456" s="7" t="s">
        <v>16</v>
      </c>
      <c r="S456" s="7" t="s">
        <v>10</v>
      </c>
      <c r="U456" t="b">
        <f t="shared" si="65"/>
        <v>1</v>
      </c>
      <c r="V456" t="b">
        <f t="shared" si="66"/>
        <v>1</v>
      </c>
      <c r="W456" t="b">
        <f t="shared" si="67"/>
        <v>1</v>
      </c>
      <c r="X456" t="b">
        <f t="shared" si="68"/>
        <v>1</v>
      </c>
      <c r="Y456" t="b">
        <f t="shared" si="69"/>
        <v>1</v>
      </c>
      <c r="Z456" t="b">
        <f t="shared" si="70"/>
        <v>1</v>
      </c>
      <c r="AA456" t="b">
        <f t="shared" si="71"/>
        <v>1</v>
      </c>
      <c r="AB456" t="b">
        <f t="shared" si="72"/>
        <v>1</v>
      </c>
    </row>
    <row r="457" spans="1:28" ht="14.4">
      <c r="A457" s="2" t="s">
        <v>58</v>
      </c>
      <c r="B457" s="2" t="s">
        <v>28</v>
      </c>
      <c r="C457" s="2" t="s">
        <v>15</v>
      </c>
      <c r="D457" s="2" t="s">
        <v>10</v>
      </c>
      <c r="E457" s="2" t="s">
        <v>19</v>
      </c>
      <c r="F457" s="2" t="s">
        <v>14</v>
      </c>
      <c r="G457" s="2" t="s">
        <v>13</v>
      </c>
      <c r="H457" s="2" t="s">
        <v>16</v>
      </c>
      <c r="I457" s="2" t="s">
        <v>17</v>
      </c>
      <c r="J457" t="b">
        <f t="shared" si="64"/>
        <v>1</v>
      </c>
      <c r="K457" s="8" t="s">
        <v>58</v>
      </c>
      <c r="L457" s="9" t="s">
        <v>28</v>
      </c>
      <c r="M457" s="9" t="s">
        <v>15</v>
      </c>
      <c r="N457" s="9" t="s">
        <v>10</v>
      </c>
      <c r="O457" s="9" t="s">
        <v>19</v>
      </c>
      <c r="P457" s="9" t="s">
        <v>14</v>
      </c>
      <c r="Q457" s="9" t="s">
        <v>13</v>
      </c>
      <c r="R457" s="9" t="s">
        <v>16</v>
      </c>
      <c r="S457" s="9" t="s">
        <v>17</v>
      </c>
      <c r="U457" t="b">
        <f t="shared" si="65"/>
        <v>1</v>
      </c>
      <c r="V457" t="b">
        <f t="shared" si="66"/>
        <v>1</v>
      </c>
      <c r="W457" t="b">
        <f t="shared" si="67"/>
        <v>1</v>
      </c>
      <c r="X457" t="b">
        <f t="shared" si="68"/>
        <v>1</v>
      </c>
      <c r="Y457" t="b">
        <f t="shared" si="69"/>
        <v>1</v>
      </c>
      <c r="Z457" t="b">
        <f t="shared" si="70"/>
        <v>1</v>
      </c>
      <c r="AA457" t="b">
        <f t="shared" si="71"/>
        <v>1</v>
      </c>
      <c r="AB457" t="b">
        <f t="shared" si="72"/>
        <v>1</v>
      </c>
    </row>
    <row r="458" spans="1:28" ht="14.4">
      <c r="A458" s="2" t="s">
        <v>57</v>
      </c>
      <c r="B458" s="2" t="s">
        <v>28</v>
      </c>
      <c r="C458" s="2" t="s">
        <v>15</v>
      </c>
      <c r="D458" s="2" t="s">
        <v>10</v>
      </c>
      <c r="E458" s="2" t="s">
        <v>19</v>
      </c>
      <c r="F458" s="2" t="s">
        <v>11</v>
      </c>
      <c r="G458" s="2" t="s">
        <v>13</v>
      </c>
      <c r="H458" s="2" t="s">
        <v>12</v>
      </c>
      <c r="I458" s="2" t="s">
        <v>17</v>
      </c>
      <c r="J458" t="b">
        <f t="shared" si="64"/>
        <v>1</v>
      </c>
      <c r="K458" s="6" t="s">
        <v>57</v>
      </c>
      <c r="L458" s="7" t="s">
        <v>28</v>
      </c>
      <c r="M458" s="7" t="s">
        <v>15</v>
      </c>
      <c r="N458" s="7" t="s">
        <v>10</v>
      </c>
      <c r="O458" s="7" t="s">
        <v>19</v>
      </c>
      <c r="P458" s="7" t="s">
        <v>11</v>
      </c>
      <c r="Q458" s="7" t="s">
        <v>13</v>
      </c>
      <c r="R458" s="7" t="s">
        <v>12</v>
      </c>
      <c r="S458" s="7" t="s">
        <v>17</v>
      </c>
      <c r="U458" t="b">
        <f t="shared" si="65"/>
        <v>1</v>
      </c>
      <c r="V458" t="b">
        <f t="shared" si="66"/>
        <v>1</v>
      </c>
      <c r="W458" t="b">
        <f t="shared" si="67"/>
        <v>1</v>
      </c>
      <c r="X458" t="b">
        <f t="shared" si="68"/>
        <v>1</v>
      </c>
      <c r="Y458" t="b">
        <f t="shared" si="69"/>
        <v>1</v>
      </c>
      <c r="Z458" t="b">
        <f t="shared" si="70"/>
        <v>1</v>
      </c>
      <c r="AA458" t="b">
        <f t="shared" si="71"/>
        <v>1</v>
      </c>
      <c r="AB458" t="b">
        <f t="shared" si="72"/>
        <v>1</v>
      </c>
    </row>
    <row r="459" spans="1:28" ht="14.4">
      <c r="A459" s="2" t="s">
        <v>56</v>
      </c>
      <c r="B459" s="2" t="s">
        <v>28</v>
      </c>
      <c r="C459" s="2" t="s">
        <v>15</v>
      </c>
      <c r="D459" s="2" t="s">
        <v>10</v>
      </c>
      <c r="E459" s="2" t="s">
        <v>19</v>
      </c>
      <c r="F459" s="2" t="s">
        <v>11</v>
      </c>
      <c r="G459" s="2" t="s">
        <v>13</v>
      </c>
      <c r="H459" s="2" t="s">
        <v>16</v>
      </c>
      <c r="I459" s="2" t="s">
        <v>12</v>
      </c>
      <c r="J459" t="b">
        <f t="shared" si="64"/>
        <v>1</v>
      </c>
      <c r="K459" s="8" t="s">
        <v>56</v>
      </c>
      <c r="L459" s="9" t="s">
        <v>28</v>
      </c>
      <c r="M459" s="9" t="s">
        <v>15</v>
      </c>
      <c r="N459" s="9" t="s">
        <v>10</v>
      </c>
      <c r="O459" s="9" t="s">
        <v>19</v>
      </c>
      <c r="P459" s="9" t="s">
        <v>11</v>
      </c>
      <c r="Q459" s="9" t="s">
        <v>13</v>
      </c>
      <c r="R459" s="9" t="s">
        <v>16</v>
      </c>
      <c r="S459" s="9" t="s">
        <v>12</v>
      </c>
      <c r="U459" t="b">
        <f t="shared" si="65"/>
        <v>1</v>
      </c>
      <c r="V459" t="b">
        <f t="shared" si="66"/>
        <v>1</v>
      </c>
      <c r="W459" t="b">
        <f t="shared" si="67"/>
        <v>1</v>
      </c>
      <c r="X459" t="b">
        <f t="shared" si="68"/>
        <v>1</v>
      </c>
      <c r="Y459" t="b">
        <f t="shared" si="69"/>
        <v>1</v>
      </c>
      <c r="Z459" t="b">
        <f t="shared" si="70"/>
        <v>1</v>
      </c>
      <c r="AA459" t="b">
        <f t="shared" si="71"/>
        <v>1</v>
      </c>
      <c r="AB459" t="b">
        <f t="shared" si="72"/>
        <v>1</v>
      </c>
    </row>
    <row r="460" spans="1:28" ht="14.4">
      <c r="A460" s="2" t="s">
        <v>55</v>
      </c>
      <c r="B460" s="2" t="s">
        <v>28</v>
      </c>
      <c r="C460" s="2" t="s">
        <v>15</v>
      </c>
      <c r="D460" s="2" t="s">
        <v>10</v>
      </c>
      <c r="E460" s="2" t="s">
        <v>19</v>
      </c>
      <c r="F460" s="2" t="s">
        <v>12</v>
      </c>
      <c r="G460" s="2" t="s">
        <v>13</v>
      </c>
      <c r="H460" s="2" t="s">
        <v>16</v>
      </c>
      <c r="I460" s="2" t="s">
        <v>17</v>
      </c>
      <c r="J460" t="b">
        <f t="shared" si="64"/>
        <v>1</v>
      </c>
      <c r="K460" s="6" t="s">
        <v>55</v>
      </c>
      <c r="L460" s="7" t="s">
        <v>28</v>
      </c>
      <c r="M460" s="7" t="s">
        <v>15</v>
      </c>
      <c r="N460" s="7" t="s">
        <v>10</v>
      </c>
      <c r="O460" s="7" t="s">
        <v>19</v>
      </c>
      <c r="P460" s="7" t="s">
        <v>12</v>
      </c>
      <c r="Q460" s="7" t="s">
        <v>13</v>
      </c>
      <c r="R460" s="7" t="s">
        <v>16</v>
      </c>
      <c r="S460" s="7" t="s">
        <v>17</v>
      </c>
      <c r="U460" t="b">
        <f t="shared" si="65"/>
        <v>1</v>
      </c>
      <c r="V460" t="b">
        <f t="shared" si="66"/>
        <v>1</v>
      </c>
      <c r="W460" t="b">
        <f t="shared" si="67"/>
        <v>1</v>
      </c>
      <c r="X460" t="b">
        <f t="shared" si="68"/>
        <v>1</v>
      </c>
      <c r="Y460" t="b">
        <f t="shared" si="69"/>
        <v>1</v>
      </c>
      <c r="Z460" t="b">
        <f t="shared" si="70"/>
        <v>1</v>
      </c>
      <c r="AA460" t="b">
        <f t="shared" si="71"/>
        <v>1</v>
      </c>
      <c r="AB460" t="b">
        <f t="shared" si="72"/>
        <v>1</v>
      </c>
    </row>
    <row r="461" spans="1:28" ht="14.4">
      <c r="A461" s="2" t="s">
        <v>54</v>
      </c>
      <c r="B461" s="2" t="s">
        <v>28</v>
      </c>
      <c r="C461" s="2" t="s">
        <v>15</v>
      </c>
      <c r="D461" s="2" t="s">
        <v>10</v>
      </c>
      <c r="E461" s="2" t="s">
        <v>19</v>
      </c>
      <c r="F461" s="2" t="s">
        <v>11</v>
      </c>
      <c r="G461" s="2" t="s">
        <v>13</v>
      </c>
      <c r="H461" s="2" t="s">
        <v>16</v>
      </c>
      <c r="I461" s="2" t="s">
        <v>17</v>
      </c>
      <c r="J461" t="b">
        <f t="shared" si="64"/>
        <v>1</v>
      </c>
      <c r="K461" s="8" t="s">
        <v>54</v>
      </c>
      <c r="L461" s="9" t="s">
        <v>28</v>
      </c>
      <c r="M461" s="9" t="s">
        <v>15</v>
      </c>
      <c r="N461" s="9" t="s">
        <v>10</v>
      </c>
      <c r="O461" s="9" t="s">
        <v>19</v>
      </c>
      <c r="P461" s="9" t="s">
        <v>11</v>
      </c>
      <c r="Q461" s="9" t="s">
        <v>13</v>
      </c>
      <c r="R461" s="9" t="s">
        <v>16</v>
      </c>
      <c r="S461" s="9" t="s">
        <v>17</v>
      </c>
      <c r="U461" t="b">
        <f t="shared" si="65"/>
        <v>1</v>
      </c>
      <c r="V461" t="b">
        <f t="shared" si="66"/>
        <v>1</v>
      </c>
      <c r="W461" t="b">
        <f t="shared" si="67"/>
        <v>1</v>
      </c>
      <c r="X461" t="b">
        <f t="shared" si="68"/>
        <v>1</v>
      </c>
      <c r="Y461" t="b">
        <f t="shared" si="69"/>
        <v>1</v>
      </c>
      <c r="Z461" t="b">
        <f t="shared" si="70"/>
        <v>1</v>
      </c>
      <c r="AA461" t="b">
        <f t="shared" si="71"/>
        <v>1</v>
      </c>
      <c r="AB461" t="b">
        <f t="shared" si="72"/>
        <v>1</v>
      </c>
    </row>
    <row r="462" spans="1:28" ht="14.4">
      <c r="A462" s="2" t="s">
        <v>53</v>
      </c>
      <c r="B462" s="2" t="s">
        <v>28</v>
      </c>
      <c r="C462" s="2" t="s">
        <v>11</v>
      </c>
      <c r="D462" s="2" t="s">
        <v>10</v>
      </c>
      <c r="E462" s="2" t="s">
        <v>19</v>
      </c>
      <c r="F462" s="2" t="s">
        <v>14</v>
      </c>
      <c r="G462" s="2" t="s">
        <v>13</v>
      </c>
      <c r="H462" s="2" t="s">
        <v>12</v>
      </c>
      <c r="I462" s="2" t="s">
        <v>17</v>
      </c>
      <c r="J462" t="b">
        <f t="shared" si="64"/>
        <v>1</v>
      </c>
      <c r="K462" s="6" t="s">
        <v>53</v>
      </c>
      <c r="L462" s="7" t="s">
        <v>28</v>
      </c>
      <c r="M462" s="7" t="s">
        <v>11</v>
      </c>
      <c r="N462" s="7" t="s">
        <v>10</v>
      </c>
      <c r="O462" s="7" t="s">
        <v>19</v>
      </c>
      <c r="P462" s="7" t="s">
        <v>14</v>
      </c>
      <c r="Q462" s="7" t="s">
        <v>13</v>
      </c>
      <c r="R462" s="7" t="s">
        <v>12</v>
      </c>
      <c r="S462" s="7" t="s">
        <v>17</v>
      </c>
      <c r="U462" t="b">
        <f t="shared" si="65"/>
        <v>1</v>
      </c>
      <c r="V462" t="b">
        <f t="shared" si="66"/>
        <v>1</v>
      </c>
      <c r="W462" t="b">
        <f t="shared" si="67"/>
        <v>1</v>
      </c>
      <c r="X462" t="b">
        <f t="shared" si="68"/>
        <v>1</v>
      </c>
      <c r="Y462" t="b">
        <f t="shared" si="69"/>
        <v>1</v>
      </c>
      <c r="Z462" t="b">
        <f t="shared" si="70"/>
        <v>1</v>
      </c>
      <c r="AA462" t="b">
        <f t="shared" si="71"/>
        <v>1</v>
      </c>
      <c r="AB462" t="b">
        <f t="shared" si="72"/>
        <v>1</v>
      </c>
    </row>
    <row r="463" spans="1:28" ht="14.4">
      <c r="A463" s="2" t="s">
        <v>52</v>
      </c>
      <c r="B463" s="2" t="s">
        <v>28</v>
      </c>
      <c r="C463" s="2" t="s">
        <v>11</v>
      </c>
      <c r="D463" s="2" t="s">
        <v>10</v>
      </c>
      <c r="E463" s="2" t="s">
        <v>19</v>
      </c>
      <c r="F463" s="2" t="s">
        <v>14</v>
      </c>
      <c r="G463" s="2" t="s">
        <v>13</v>
      </c>
      <c r="H463" s="2" t="s">
        <v>16</v>
      </c>
      <c r="I463" s="2" t="s">
        <v>12</v>
      </c>
      <c r="J463" t="b">
        <f t="shared" si="64"/>
        <v>1</v>
      </c>
      <c r="K463" s="8" t="s">
        <v>52</v>
      </c>
      <c r="L463" s="9" t="s">
        <v>28</v>
      </c>
      <c r="M463" s="9" t="s">
        <v>11</v>
      </c>
      <c r="N463" s="9" t="s">
        <v>10</v>
      </c>
      <c r="O463" s="9" t="s">
        <v>19</v>
      </c>
      <c r="P463" s="9" t="s">
        <v>14</v>
      </c>
      <c r="Q463" s="9" t="s">
        <v>13</v>
      </c>
      <c r="R463" s="9" t="s">
        <v>16</v>
      </c>
      <c r="S463" s="9" t="s">
        <v>12</v>
      </c>
      <c r="U463" t="b">
        <f t="shared" si="65"/>
        <v>1</v>
      </c>
      <c r="V463" t="b">
        <f t="shared" si="66"/>
        <v>1</v>
      </c>
      <c r="W463" t="b">
        <f t="shared" si="67"/>
        <v>1</v>
      </c>
      <c r="X463" t="b">
        <f t="shared" si="68"/>
        <v>1</v>
      </c>
      <c r="Y463" t="b">
        <f t="shared" si="69"/>
        <v>1</v>
      </c>
      <c r="Z463" t="b">
        <f t="shared" si="70"/>
        <v>1</v>
      </c>
      <c r="AA463" t="b">
        <f t="shared" si="71"/>
        <v>1</v>
      </c>
      <c r="AB463" t="b">
        <f t="shared" si="72"/>
        <v>1</v>
      </c>
    </row>
    <row r="464" spans="1:28" ht="14.4">
      <c r="A464" s="2" t="s">
        <v>51</v>
      </c>
      <c r="B464" s="2" t="s">
        <v>28</v>
      </c>
      <c r="C464" s="2" t="s">
        <v>10</v>
      </c>
      <c r="D464" s="2" t="s">
        <v>12</v>
      </c>
      <c r="E464" s="2" t="s">
        <v>19</v>
      </c>
      <c r="F464" s="2" t="s">
        <v>14</v>
      </c>
      <c r="G464" s="2" t="s">
        <v>13</v>
      </c>
      <c r="H464" s="2" t="s">
        <v>16</v>
      </c>
      <c r="I464" s="2" t="s">
        <v>17</v>
      </c>
      <c r="J464" t="b">
        <f t="shared" si="64"/>
        <v>1</v>
      </c>
      <c r="K464" s="6" t="s">
        <v>51</v>
      </c>
      <c r="L464" s="7" t="s">
        <v>28</v>
      </c>
      <c r="M464" s="7" t="s">
        <v>10</v>
      </c>
      <c r="N464" s="7" t="s">
        <v>12</v>
      </c>
      <c r="O464" s="7" t="s">
        <v>19</v>
      </c>
      <c r="P464" s="7" t="s">
        <v>14</v>
      </c>
      <c r="Q464" s="7" t="s">
        <v>13</v>
      </c>
      <c r="R464" s="7" t="s">
        <v>16</v>
      </c>
      <c r="S464" s="7" t="s">
        <v>17</v>
      </c>
      <c r="U464" t="b">
        <f t="shared" si="65"/>
        <v>1</v>
      </c>
      <c r="V464" t="b">
        <f t="shared" si="66"/>
        <v>1</v>
      </c>
      <c r="W464" t="b">
        <f t="shared" si="67"/>
        <v>1</v>
      </c>
      <c r="X464" t="b">
        <f t="shared" si="68"/>
        <v>1</v>
      </c>
      <c r="Y464" t="b">
        <f t="shared" si="69"/>
        <v>1</v>
      </c>
      <c r="Z464" t="b">
        <f t="shared" si="70"/>
        <v>1</v>
      </c>
      <c r="AA464" t="b">
        <f t="shared" si="71"/>
        <v>1</v>
      </c>
      <c r="AB464" t="b">
        <f t="shared" si="72"/>
        <v>1</v>
      </c>
    </row>
    <row r="465" spans="1:28" ht="14.4">
      <c r="A465" s="2" t="s">
        <v>50</v>
      </c>
      <c r="B465" s="2" t="s">
        <v>28</v>
      </c>
      <c r="C465" s="2" t="s">
        <v>11</v>
      </c>
      <c r="D465" s="2" t="s">
        <v>10</v>
      </c>
      <c r="E465" s="2" t="s">
        <v>19</v>
      </c>
      <c r="F465" s="2" t="s">
        <v>14</v>
      </c>
      <c r="G465" s="2" t="s">
        <v>13</v>
      </c>
      <c r="H465" s="2" t="s">
        <v>16</v>
      </c>
      <c r="I465" s="2" t="s">
        <v>17</v>
      </c>
      <c r="J465" t="b">
        <f t="shared" si="64"/>
        <v>1</v>
      </c>
      <c r="K465" s="8" t="s">
        <v>50</v>
      </c>
      <c r="L465" s="9" t="s">
        <v>28</v>
      </c>
      <c r="M465" s="9" t="s">
        <v>11</v>
      </c>
      <c r="N465" s="9" t="s">
        <v>10</v>
      </c>
      <c r="O465" s="9" t="s">
        <v>19</v>
      </c>
      <c r="P465" s="9" t="s">
        <v>14</v>
      </c>
      <c r="Q465" s="9" t="s">
        <v>13</v>
      </c>
      <c r="R465" s="9" t="s">
        <v>16</v>
      </c>
      <c r="S465" s="9" t="s">
        <v>17</v>
      </c>
      <c r="U465" t="b">
        <f t="shared" si="65"/>
        <v>1</v>
      </c>
      <c r="V465" t="b">
        <f t="shared" si="66"/>
        <v>1</v>
      </c>
      <c r="W465" t="b">
        <f t="shared" si="67"/>
        <v>1</v>
      </c>
      <c r="X465" t="b">
        <f t="shared" si="68"/>
        <v>1</v>
      </c>
      <c r="Y465" t="b">
        <f t="shared" si="69"/>
        <v>1</v>
      </c>
      <c r="Z465" t="b">
        <f t="shared" si="70"/>
        <v>1</v>
      </c>
      <c r="AA465" t="b">
        <f t="shared" si="71"/>
        <v>1</v>
      </c>
      <c r="AB465" t="b">
        <f t="shared" si="72"/>
        <v>1</v>
      </c>
    </row>
    <row r="466" spans="1:28" ht="14.4">
      <c r="A466" s="2" t="s">
        <v>49</v>
      </c>
      <c r="B466" s="2" t="s">
        <v>28</v>
      </c>
      <c r="C466" s="2" t="s">
        <v>11</v>
      </c>
      <c r="D466" s="2" t="s">
        <v>10</v>
      </c>
      <c r="E466" s="2" t="s">
        <v>19</v>
      </c>
      <c r="F466" s="2" t="s">
        <v>12</v>
      </c>
      <c r="G466" s="2" t="s">
        <v>13</v>
      </c>
      <c r="H466" s="2" t="s">
        <v>16</v>
      </c>
      <c r="I466" s="2" t="s">
        <v>17</v>
      </c>
      <c r="J466" t="b">
        <f t="shared" si="64"/>
        <v>1</v>
      </c>
      <c r="K466" s="6" t="s">
        <v>49</v>
      </c>
      <c r="L466" s="7" t="s">
        <v>28</v>
      </c>
      <c r="M466" s="7" t="s">
        <v>11</v>
      </c>
      <c r="N466" s="7" t="s">
        <v>10</v>
      </c>
      <c r="O466" s="7" t="s">
        <v>19</v>
      </c>
      <c r="P466" s="7" t="s">
        <v>12</v>
      </c>
      <c r="Q466" s="7" t="s">
        <v>13</v>
      </c>
      <c r="R466" s="7" t="s">
        <v>16</v>
      </c>
      <c r="S466" s="7" t="s">
        <v>17</v>
      </c>
      <c r="U466" t="b">
        <f t="shared" si="65"/>
        <v>1</v>
      </c>
      <c r="V466" t="b">
        <f t="shared" si="66"/>
        <v>1</v>
      </c>
      <c r="W466" t="b">
        <f t="shared" si="67"/>
        <v>1</v>
      </c>
      <c r="X466" t="b">
        <f t="shared" si="68"/>
        <v>1</v>
      </c>
      <c r="Y466" t="b">
        <f t="shared" si="69"/>
        <v>1</v>
      </c>
      <c r="Z466" t="b">
        <f t="shared" si="70"/>
        <v>1</v>
      </c>
      <c r="AA466" t="b">
        <f t="shared" si="71"/>
        <v>1</v>
      </c>
      <c r="AB466" t="b">
        <f t="shared" si="72"/>
        <v>1</v>
      </c>
    </row>
    <row r="467" spans="1:28" ht="14.4">
      <c r="A467" s="2" t="s">
        <v>48</v>
      </c>
      <c r="B467" s="2" t="s">
        <v>10</v>
      </c>
      <c r="C467" s="2" t="s">
        <v>15</v>
      </c>
      <c r="D467" s="2" t="s">
        <v>11</v>
      </c>
      <c r="E467" s="2" t="s">
        <v>28</v>
      </c>
      <c r="F467" s="2" t="s">
        <v>14</v>
      </c>
      <c r="G467" s="2" t="s">
        <v>19</v>
      </c>
      <c r="H467" s="2" t="s">
        <v>12</v>
      </c>
      <c r="I467" s="2" t="s">
        <v>17</v>
      </c>
      <c r="J467" t="b">
        <f t="shared" si="64"/>
        <v>1</v>
      </c>
      <c r="K467" s="8" t="s">
        <v>48</v>
      </c>
      <c r="L467" s="9" t="s">
        <v>10</v>
      </c>
      <c r="M467" s="9" t="s">
        <v>15</v>
      </c>
      <c r="N467" s="9" t="s">
        <v>11</v>
      </c>
      <c r="O467" s="9" t="s">
        <v>28</v>
      </c>
      <c r="P467" s="9" t="s">
        <v>14</v>
      </c>
      <c r="Q467" s="9" t="s">
        <v>19</v>
      </c>
      <c r="R467" s="9" t="s">
        <v>12</v>
      </c>
      <c r="S467" s="9" t="s">
        <v>17</v>
      </c>
      <c r="U467" t="b">
        <f t="shared" si="65"/>
        <v>1</v>
      </c>
      <c r="V467" t="b">
        <f t="shared" si="66"/>
        <v>1</v>
      </c>
      <c r="W467" t="b">
        <f t="shared" si="67"/>
        <v>1</v>
      </c>
      <c r="X467" t="b">
        <f t="shared" si="68"/>
        <v>1</v>
      </c>
      <c r="Y467" t="b">
        <f t="shared" si="69"/>
        <v>1</v>
      </c>
      <c r="Z467" t="b">
        <f t="shared" si="70"/>
        <v>1</v>
      </c>
      <c r="AA467" t="b">
        <f t="shared" si="71"/>
        <v>1</v>
      </c>
      <c r="AB467" t="b">
        <f t="shared" si="72"/>
        <v>1</v>
      </c>
    </row>
    <row r="468" spans="1:28" ht="14.4" hidden="1">
      <c r="A468" s="2" t="s">
        <v>47</v>
      </c>
      <c r="B468" s="2" t="s">
        <v>10</v>
      </c>
      <c r="C468" s="2" t="s">
        <v>15</v>
      </c>
      <c r="D468" s="2" t="s">
        <v>11</v>
      </c>
      <c r="E468" s="2" t="s">
        <v>28</v>
      </c>
      <c r="F468" s="2" t="s">
        <v>14</v>
      </c>
      <c r="G468" s="2" t="s">
        <v>19</v>
      </c>
      <c r="H468" s="2" t="s">
        <v>16</v>
      </c>
      <c r="I468" s="2" t="s">
        <v>12</v>
      </c>
      <c r="J468" t="b">
        <f t="shared" si="64"/>
        <v>1</v>
      </c>
      <c r="K468" s="6" t="s">
        <v>47</v>
      </c>
      <c r="L468" s="7" t="s">
        <v>10</v>
      </c>
      <c r="M468" s="7" t="s">
        <v>15</v>
      </c>
      <c r="N468" s="7" t="s">
        <v>12</v>
      </c>
      <c r="O468" s="7" t="s">
        <v>28</v>
      </c>
      <c r="P468" s="7" t="s">
        <v>11</v>
      </c>
      <c r="Q468" s="7" t="s">
        <v>19</v>
      </c>
      <c r="R468" s="7" t="s">
        <v>16</v>
      </c>
      <c r="S468" s="7" t="s">
        <v>17</v>
      </c>
      <c r="U468" t="b">
        <f t="shared" si="65"/>
        <v>1</v>
      </c>
      <c r="V468" t="b">
        <f t="shared" si="66"/>
        <v>1</v>
      </c>
      <c r="W468" t="b">
        <f t="shared" si="67"/>
        <v>0</v>
      </c>
      <c r="X468" t="b">
        <f t="shared" si="68"/>
        <v>1</v>
      </c>
      <c r="Y468" t="b">
        <f t="shared" si="69"/>
        <v>0</v>
      </c>
      <c r="Z468" t="b">
        <f t="shared" si="70"/>
        <v>1</v>
      </c>
      <c r="AA468" t="b">
        <f t="shared" si="71"/>
        <v>1</v>
      </c>
      <c r="AB468" t="b">
        <f t="shared" si="72"/>
        <v>0</v>
      </c>
    </row>
    <row r="469" spans="1:28" ht="14.4">
      <c r="A469" s="2" t="s">
        <v>46</v>
      </c>
      <c r="B469" s="2" t="s">
        <v>10</v>
      </c>
      <c r="C469" s="2" t="s">
        <v>15</v>
      </c>
      <c r="D469" s="2" t="s">
        <v>12</v>
      </c>
      <c r="E469" s="2" t="s">
        <v>28</v>
      </c>
      <c r="F469" s="2" t="s">
        <v>14</v>
      </c>
      <c r="G469" s="2" t="s">
        <v>19</v>
      </c>
      <c r="H469" s="2" t="s">
        <v>16</v>
      </c>
      <c r="I469" s="2" t="s">
        <v>17</v>
      </c>
      <c r="J469" t="b">
        <f t="shared" si="64"/>
        <v>1</v>
      </c>
      <c r="K469" s="8" t="s">
        <v>46</v>
      </c>
      <c r="L469" s="9" t="s">
        <v>10</v>
      </c>
      <c r="M469" s="9" t="s">
        <v>15</v>
      </c>
      <c r="N469" s="9" t="s">
        <v>12</v>
      </c>
      <c r="O469" s="9" t="s">
        <v>28</v>
      </c>
      <c r="P469" s="9" t="s">
        <v>14</v>
      </c>
      <c r="Q469" s="9" t="s">
        <v>19</v>
      </c>
      <c r="R469" s="9" t="s">
        <v>16</v>
      </c>
      <c r="S469" s="9" t="s">
        <v>17</v>
      </c>
      <c r="U469" t="b">
        <f t="shared" si="65"/>
        <v>1</v>
      </c>
      <c r="V469" t="b">
        <f t="shared" si="66"/>
        <v>1</v>
      </c>
      <c r="W469" t="b">
        <f t="shared" si="67"/>
        <v>1</v>
      </c>
      <c r="X469" t="b">
        <f t="shared" si="68"/>
        <v>1</v>
      </c>
      <c r="Y469" t="b">
        <f t="shared" si="69"/>
        <v>1</v>
      </c>
      <c r="Z469" t="b">
        <f t="shared" si="70"/>
        <v>1</v>
      </c>
      <c r="AA469" t="b">
        <f t="shared" si="71"/>
        <v>1</v>
      </c>
      <c r="AB469" t="b">
        <f t="shared" si="72"/>
        <v>1</v>
      </c>
    </row>
    <row r="470" spans="1:28" ht="14.4">
      <c r="A470" s="2" t="s">
        <v>45</v>
      </c>
      <c r="B470" s="2" t="s">
        <v>10</v>
      </c>
      <c r="C470" s="2" t="s">
        <v>15</v>
      </c>
      <c r="D470" s="2" t="s">
        <v>11</v>
      </c>
      <c r="E470" s="2" t="s">
        <v>28</v>
      </c>
      <c r="F470" s="2" t="s">
        <v>14</v>
      </c>
      <c r="G470" s="2" t="s">
        <v>19</v>
      </c>
      <c r="H470" s="2" t="s">
        <v>16</v>
      </c>
      <c r="I470" s="2" t="s">
        <v>17</v>
      </c>
      <c r="J470" t="b">
        <f t="shared" si="64"/>
        <v>1</v>
      </c>
      <c r="K470" s="6" t="s">
        <v>45</v>
      </c>
      <c r="L470" s="7" t="s">
        <v>10</v>
      </c>
      <c r="M470" s="7" t="s">
        <v>15</v>
      </c>
      <c r="N470" s="7" t="s">
        <v>11</v>
      </c>
      <c r="O470" s="7" t="s">
        <v>28</v>
      </c>
      <c r="P470" s="7" t="s">
        <v>14</v>
      </c>
      <c r="Q470" s="7" t="s">
        <v>19</v>
      </c>
      <c r="R470" s="7" t="s">
        <v>16</v>
      </c>
      <c r="S470" s="7" t="s">
        <v>17</v>
      </c>
      <c r="U470" t="b">
        <f t="shared" si="65"/>
        <v>1</v>
      </c>
      <c r="V470" t="b">
        <f t="shared" si="66"/>
        <v>1</v>
      </c>
      <c r="W470" t="b">
        <f t="shared" si="67"/>
        <v>1</v>
      </c>
      <c r="X470" t="b">
        <f t="shared" si="68"/>
        <v>1</v>
      </c>
      <c r="Y470" t="b">
        <f t="shared" si="69"/>
        <v>1</v>
      </c>
      <c r="Z470" t="b">
        <f t="shared" si="70"/>
        <v>1</v>
      </c>
      <c r="AA470" t="b">
        <f t="shared" si="71"/>
        <v>1</v>
      </c>
      <c r="AB470" t="b">
        <f t="shared" si="72"/>
        <v>1</v>
      </c>
    </row>
    <row r="471" spans="1:28" ht="14.4" hidden="1">
      <c r="A471" s="2" t="s">
        <v>44</v>
      </c>
      <c r="B471" s="2" t="s">
        <v>10</v>
      </c>
      <c r="C471" s="2" t="s">
        <v>15</v>
      </c>
      <c r="D471" s="2" t="s">
        <v>12</v>
      </c>
      <c r="E471" s="2" t="s">
        <v>28</v>
      </c>
      <c r="F471" s="2" t="s">
        <v>11</v>
      </c>
      <c r="G471" s="2" t="s">
        <v>19</v>
      </c>
      <c r="H471" s="2" t="s">
        <v>16</v>
      </c>
      <c r="I471" s="2" t="s">
        <v>17</v>
      </c>
      <c r="J471" t="b">
        <f t="shared" si="64"/>
        <v>1</v>
      </c>
      <c r="K471" s="8" t="s">
        <v>44</v>
      </c>
      <c r="L471" s="9" t="s">
        <v>14</v>
      </c>
      <c r="M471" s="9" t="s">
        <v>15</v>
      </c>
      <c r="N471" s="9" t="s">
        <v>65</v>
      </c>
      <c r="O471" s="9" t="s">
        <v>28</v>
      </c>
      <c r="P471" s="9" t="s">
        <v>186</v>
      </c>
      <c r="Q471" s="9" t="s">
        <v>13</v>
      </c>
      <c r="R471" s="9" t="s">
        <v>19</v>
      </c>
      <c r="S471" s="9" t="s">
        <v>10</v>
      </c>
      <c r="U471" t="b">
        <f t="shared" si="65"/>
        <v>0</v>
      </c>
      <c r="V471" t="b">
        <f t="shared" si="66"/>
        <v>1</v>
      </c>
      <c r="W471" t="b">
        <f t="shared" si="67"/>
        <v>0</v>
      </c>
      <c r="X471" t="b">
        <f t="shared" si="68"/>
        <v>1</v>
      </c>
      <c r="Y471" t="b">
        <f t="shared" si="69"/>
        <v>0</v>
      </c>
      <c r="Z471" t="b">
        <f t="shared" si="70"/>
        <v>0</v>
      </c>
      <c r="AA471" t="b">
        <f t="shared" si="71"/>
        <v>0</v>
      </c>
      <c r="AB471" t="b">
        <f t="shared" si="72"/>
        <v>0</v>
      </c>
    </row>
    <row r="472" spans="1:28" ht="14.4">
      <c r="A472" s="2" t="s">
        <v>43</v>
      </c>
      <c r="B472" s="2" t="s">
        <v>10</v>
      </c>
      <c r="C472" s="2" t="s">
        <v>11</v>
      </c>
      <c r="D472" s="2" t="s">
        <v>12</v>
      </c>
      <c r="E472" s="2" t="s">
        <v>28</v>
      </c>
      <c r="F472" s="2" t="s">
        <v>14</v>
      </c>
      <c r="G472" s="2" t="s">
        <v>19</v>
      </c>
      <c r="H472" s="2" t="s">
        <v>16</v>
      </c>
      <c r="I472" s="2" t="s">
        <v>17</v>
      </c>
      <c r="J472" t="b">
        <f t="shared" si="64"/>
        <v>1</v>
      </c>
      <c r="K472" s="6" t="s">
        <v>43</v>
      </c>
      <c r="L472" s="7" t="s">
        <v>10</v>
      </c>
      <c r="M472" s="7" t="s">
        <v>11</v>
      </c>
      <c r="N472" s="7" t="s">
        <v>12</v>
      </c>
      <c r="O472" s="7" t="s">
        <v>28</v>
      </c>
      <c r="P472" s="7" t="s">
        <v>14</v>
      </c>
      <c r="Q472" s="7" t="s">
        <v>19</v>
      </c>
      <c r="R472" s="7" t="s">
        <v>16</v>
      </c>
      <c r="S472" s="7" t="s">
        <v>17</v>
      </c>
      <c r="U472" t="b">
        <f t="shared" si="65"/>
        <v>1</v>
      </c>
      <c r="V472" t="b">
        <f t="shared" si="66"/>
        <v>1</v>
      </c>
      <c r="W472" t="b">
        <f t="shared" si="67"/>
        <v>1</v>
      </c>
      <c r="X472" t="b">
        <f t="shared" si="68"/>
        <v>1</v>
      </c>
      <c r="Y472" t="b">
        <f t="shared" si="69"/>
        <v>1</v>
      </c>
      <c r="Z472" t="b">
        <f t="shared" si="70"/>
        <v>1</v>
      </c>
      <c r="AA472" t="b">
        <f t="shared" si="71"/>
        <v>1</v>
      </c>
      <c r="AB472" t="b">
        <f t="shared" si="72"/>
        <v>1</v>
      </c>
    </row>
    <row r="473" spans="1:28" ht="14.4">
      <c r="A473" s="2" t="s">
        <v>42</v>
      </c>
      <c r="B473" s="2" t="s">
        <v>28</v>
      </c>
      <c r="C473" s="2" t="s">
        <v>15</v>
      </c>
      <c r="D473" s="2" t="s">
        <v>11</v>
      </c>
      <c r="E473" s="2" t="s">
        <v>19</v>
      </c>
      <c r="F473" s="2" t="s">
        <v>14</v>
      </c>
      <c r="G473" s="2" t="s">
        <v>13</v>
      </c>
      <c r="H473" s="2" t="s">
        <v>12</v>
      </c>
      <c r="I473" s="2" t="s">
        <v>17</v>
      </c>
      <c r="J473" t="b">
        <f t="shared" si="64"/>
        <v>1</v>
      </c>
      <c r="K473" s="8" t="s">
        <v>42</v>
      </c>
      <c r="L473" s="9" t="s">
        <v>28</v>
      </c>
      <c r="M473" s="9" t="s">
        <v>15</v>
      </c>
      <c r="N473" s="9" t="s">
        <v>11</v>
      </c>
      <c r="O473" s="9" t="s">
        <v>19</v>
      </c>
      <c r="P473" s="9" t="s">
        <v>14</v>
      </c>
      <c r="Q473" s="9" t="s">
        <v>13</v>
      </c>
      <c r="R473" s="9" t="s">
        <v>12</v>
      </c>
      <c r="S473" s="9" t="s">
        <v>17</v>
      </c>
      <c r="U473" t="b">
        <f t="shared" si="65"/>
        <v>1</v>
      </c>
      <c r="V473" t="b">
        <f t="shared" si="66"/>
        <v>1</v>
      </c>
      <c r="W473" t="b">
        <f t="shared" si="67"/>
        <v>1</v>
      </c>
      <c r="X473" t="b">
        <f t="shared" si="68"/>
        <v>1</v>
      </c>
      <c r="Y473" t="b">
        <f t="shared" si="69"/>
        <v>1</v>
      </c>
      <c r="Z473" t="b">
        <f t="shared" si="70"/>
        <v>1</v>
      </c>
      <c r="AA473" t="b">
        <f t="shared" si="71"/>
        <v>1</v>
      </c>
      <c r="AB473" t="b">
        <f t="shared" si="72"/>
        <v>1</v>
      </c>
    </row>
    <row r="474" spans="1:28" ht="14.4">
      <c r="A474" s="2" t="s">
        <v>41</v>
      </c>
      <c r="B474" s="2" t="s">
        <v>28</v>
      </c>
      <c r="C474" s="2" t="s">
        <v>15</v>
      </c>
      <c r="D474" s="2" t="s">
        <v>11</v>
      </c>
      <c r="E474" s="2" t="s">
        <v>19</v>
      </c>
      <c r="F474" s="2" t="s">
        <v>14</v>
      </c>
      <c r="G474" s="2" t="s">
        <v>13</v>
      </c>
      <c r="H474" s="2" t="s">
        <v>16</v>
      </c>
      <c r="I474" s="2" t="s">
        <v>12</v>
      </c>
      <c r="J474" t="b">
        <f t="shared" si="64"/>
        <v>1</v>
      </c>
      <c r="K474" s="6" t="s">
        <v>41</v>
      </c>
      <c r="L474" s="7" t="s">
        <v>28</v>
      </c>
      <c r="M474" s="7" t="s">
        <v>15</v>
      </c>
      <c r="N474" s="7" t="s">
        <v>11</v>
      </c>
      <c r="O474" s="7" t="s">
        <v>19</v>
      </c>
      <c r="P474" s="7" t="s">
        <v>14</v>
      </c>
      <c r="Q474" s="7" t="s">
        <v>13</v>
      </c>
      <c r="R474" s="7" t="s">
        <v>16</v>
      </c>
      <c r="S474" s="7" t="s">
        <v>12</v>
      </c>
      <c r="U474" t="b">
        <f t="shared" si="65"/>
        <v>1</v>
      </c>
      <c r="V474" t="b">
        <f t="shared" si="66"/>
        <v>1</v>
      </c>
      <c r="W474" t="b">
        <f t="shared" si="67"/>
        <v>1</v>
      </c>
      <c r="X474" t="b">
        <f t="shared" si="68"/>
        <v>1</v>
      </c>
      <c r="Y474" t="b">
        <f t="shared" si="69"/>
        <v>1</v>
      </c>
      <c r="Z474" t="b">
        <f t="shared" si="70"/>
        <v>1</v>
      </c>
      <c r="AA474" t="b">
        <f t="shared" si="71"/>
        <v>1</v>
      </c>
      <c r="AB474" t="b">
        <f t="shared" si="72"/>
        <v>1</v>
      </c>
    </row>
    <row r="475" spans="1:28" ht="14.4">
      <c r="A475" s="2" t="s">
        <v>40</v>
      </c>
      <c r="B475" s="2" t="s">
        <v>28</v>
      </c>
      <c r="C475" s="2" t="s">
        <v>15</v>
      </c>
      <c r="D475" s="2" t="s">
        <v>12</v>
      </c>
      <c r="E475" s="2" t="s">
        <v>19</v>
      </c>
      <c r="F475" s="2" t="s">
        <v>14</v>
      </c>
      <c r="G475" s="2" t="s">
        <v>13</v>
      </c>
      <c r="H475" s="2" t="s">
        <v>16</v>
      </c>
      <c r="I475" s="2" t="s">
        <v>17</v>
      </c>
      <c r="J475" t="b">
        <f t="shared" si="64"/>
        <v>1</v>
      </c>
      <c r="K475" s="8" t="s">
        <v>40</v>
      </c>
      <c r="L475" s="9" t="s">
        <v>28</v>
      </c>
      <c r="M475" s="9" t="s">
        <v>15</v>
      </c>
      <c r="N475" s="9" t="s">
        <v>12</v>
      </c>
      <c r="O475" s="9" t="s">
        <v>19</v>
      </c>
      <c r="P475" s="9" t="s">
        <v>14</v>
      </c>
      <c r="Q475" s="9" t="s">
        <v>13</v>
      </c>
      <c r="R475" s="9" t="s">
        <v>16</v>
      </c>
      <c r="S475" s="9" t="s">
        <v>17</v>
      </c>
      <c r="U475" t="b">
        <f t="shared" si="65"/>
        <v>1</v>
      </c>
      <c r="V475" t="b">
        <f t="shared" si="66"/>
        <v>1</v>
      </c>
      <c r="W475" t="b">
        <f t="shared" si="67"/>
        <v>1</v>
      </c>
      <c r="X475" t="b">
        <f t="shared" si="68"/>
        <v>1</v>
      </c>
      <c r="Y475" t="b">
        <f t="shared" si="69"/>
        <v>1</v>
      </c>
      <c r="Z475" t="b">
        <f t="shared" si="70"/>
        <v>1</v>
      </c>
      <c r="AA475" t="b">
        <f t="shared" si="71"/>
        <v>1</v>
      </c>
      <c r="AB475" t="b">
        <f t="shared" si="72"/>
        <v>1</v>
      </c>
    </row>
    <row r="476" spans="1:28" ht="14.4">
      <c r="A476" s="2" t="s">
        <v>39</v>
      </c>
      <c r="B476" s="2" t="s">
        <v>28</v>
      </c>
      <c r="C476" s="2" t="s">
        <v>15</v>
      </c>
      <c r="D476" s="2" t="s">
        <v>11</v>
      </c>
      <c r="E476" s="2" t="s">
        <v>19</v>
      </c>
      <c r="F476" s="2" t="s">
        <v>14</v>
      </c>
      <c r="G476" s="2" t="s">
        <v>13</v>
      </c>
      <c r="H476" s="2" t="s">
        <v>16</v>
      </c>
      <c r="I476" s="2" t="s">
        <v>17</v>
      </c>
      <c r="J476" t="b">
        <f t="shared" si="64"/>
        <v>1</v>
      </c>
      <c r="K476" s="6" t="s">
        <v>39</v>
      </c>
      <c r="L476" s="7" t="s">
        <v>28</v>
      </c>
      <c r="M476" s="7" t="s">
        <v>15</v>
      </c>
      <c r="N476" s="7" t="s">
        <v>11</v>
      </c>
      <c r="O476" s="7" t="s">
        <v>19</v>
      </c>
      <c r="P476" s="7" t="s">
        <v>14</v>
      </c>
      <c r="Q476" s="7" t="s">
        <v>13</v>
      </c>
      <c r="R476" s="7" t="s">
        <v>16</v>
      </c>
      <c r="S476" s="7" t="s">
        <v>17</v>
      </c>
      <c r="U476" t="b">
        <f t="shared" si="65"/>
        <v>1</v>
      </c>
      <c r="V476" t="b">
        <f t="shared" si="66"/>
        <v>1</v>
      </c>
      <c r="W476" t="b">
        <f t="shared" si="67"/>
        <v>1</v>
      </c>
      <c r="X476" t="b">
        <f t="shared" si="68"/>
        <v>1</v>
      </c>
      <c r="Y476" t="b">
        <f t="shared" si="69"/>
        <v>1</v>
      </c>
      <c r="Z476" t="b">
        <f t="shared" si="70"/>
        <v>1</v>
      </c>
      <c r="AA476" t="b">
        <f t="shared" si="71"/>
        <v>1</v>
      </c>
      <c r="AB476" t="b">
        <f t="shared" si="72"/>
        <v>1</v>
      </c>
    </row>
    <row r="477" spans="1:28" ht="14.4">
      <c r="A477" s="2" t="s">
        <v>38</v>
      </c>
      <c r="B477" s="2" t="s">
        <v>28</v>
      </c>
      <c r="C477" s="2" t="s">
        <v>15</v>
      </c>
      <c r="D477" s="2" t="s">
        <v>12</v>
      </c>
      <c r="E477" s="2" t="s">
        <v>19</v>
      </c>
      <c r="F477" s="2" t="s">
        <v>11</v>
      </c>
      <c r="G477" s="2" t="s">
        <v>13</v>
      </c>
      <c r="H477" s="2" t="s">
        <v>16</v>
      </c>
      <c r="I477" s="2" t="s">
        <v>17</v>
      </c>
      <c r="J477" t="b">
        <f t="shared" si="64"/>
        <v>1</v>
      </c>
      <c r="K477" s="8" t="s">
        <v>38</v>
      </c>
      <c r="L477" s="9" t="s">
        <v>28</v>
      </c>
      <c r="M477" s="9" t="s">
        <v>15</v>
      </c>
      <c r="N477" s="9" t="s">
        <v>12</v>
      </c>
      <c r="O477" s="9" t="s">
        <v>19</v>
      </c>
      <c r="P477" s="9" t="s">
        <v>11</v>
      </c>
      <c r="Q477" s="9" t="s">
        <v>13</v>
      </c>
      <c r="R477" s="9" t="s">
        <v>16</v>
      </c>
      <c r="S477" s="9" t="s">
        <v>17</v>
      </c>
      <c r="U477" t="b">
        <f t="shared" si="65"/>
        <v>1</v>
      </c>
      <c r="V477" t="b">
        <f t="shared" si="66"/>
        <v>1</v>
      </c>
      <c r="W477" t="b">
        <f t="shared" si="67"/>
        <v>1</v>
      </c>
      <c r="X477" t="b">
        <f t="shared" si="68"/>
        <v>1</v>
      </c>
      <c r="Y477" t="b">
        <f t="shared" si="69"/>
        <v>1</v>
      </c>
      <c r="Z477" t="b">
        <f t="shared" si="70"/>
        <v>1</v>
      </c>
      <c r="AA477" t="b">
        <f t="shared" si="71"/>
        <v>1</v>
      </c>
      <c r="AB477" t="b">
        <f t="shared" si="72"/>
        <v>1</v>
      </c>
    </row>
    <row r="478" spans="1:28" ht="14.4">
      <c r="A478" s="2" t="s">
        <v>37</v>
      </c>
      <c r="B478" s="2" t="s">
        <v>28</v>
      </c>
      <c r="C478" s="2" t="s">
        <v>11</v>
      </c>
      <c r="D478" s="2" t="s">
        <v>12</v>
      </c>
      <c r="E478" s="2" t="s">
        <v>19</v>
      </c>
      <c r="F478" s="2" t="s">
        <v>14</v>
      </c>
      <c r="G478" s="2" t="s">
        <v>13</v>
      </c>
      <c r="H478" s="2" t="s">
        <v>16</v>
      </c>
      <c r="I478" s="2" t="s">
        <v>17</v>
      </c>
      <c r="J478" t="b">
        <f t="shared" si="64"/>
        <v>1</v>
      </c>
      <c r="K478" s="6" t="s">
        <v>37</v>
      </c>
      <c r="L478" s="7" t="s">
        <v>28</v>
      </c>
      <c r="M478" s="7" t="s">
        <v>11</v>
      </c>
      <c r="N478" s="7" t="s">
        <v>12</v>
      </c>
      <c r="O478" s="7" t="s">
        <v>19</v>
      </c>
      <c r="P478" s="7" t="s">
        <v>14</v>
      </c>
      <c r="Q478" s="7" t="s">
        <v>13</v>
      </c>
      <c r="R478" s="7" t="s">
        <v>16</v>
      </c>
      <c r="S478" s="7" t="s">
        <v>17</v>
      </c>
      <c r="U478" t="b">
        <f t="shared" si="65"/>
        <v>1</v>
      </c>
      <c r="V478" t="b">
        <f t="shared" si="66"/>
        <v>1</v>
      </c>
      <c r="W478" t="b">
        <f t="shared" si="67"/>
        <v>1</v>
      </c>
      <c r="X478" t="b">
        <f t="shared" si="68"/>
        <v>1</v>
      </c>
      <c r="Y478" t="b">
        <f t="shared" si="69"/>
        <v>1</v>
      </c>
      <c r="Z478" t="b">
        <f t="shared" si="70"/>
        <v>1</v>
      </c>
      <c r="AA478" t="b">
        <f t="shared" si="71"/>
        <v>1</v>
      </c>
      <c r="AB478" t="b">
        <f t="shared" si="72"/>
        <v>1</v>
      </c>
    </row>
    <row r="479" spans="1:28" ht="14.4">
      <c r="A479" s="2" t="s">
        <v>36</v>
      </c>
      <c r="B479" s="2" t="s">
        <v>14</v>
      </c>
      <c r="C479" s="2" t="s">
        <v>15</v>
      </c>
      <c r="D479" s="2" t="s">
        <v>12</v>
      </c>
      <c r="E479" s="2" t="s">
        <v>28</v>
      </c>
      <c r="F479" s="2" t="s">
        <v>11</v>
      </c>
      <c r="G479" s="2" t="s">
        <v>19</v>
      </c>
      <c r="H479" s="2" t="s">
        <v>16</v>
      </c>
      <c r="I479" s="2" t="s">
        <v>17</v>
      </c>
      <c r="J479" t="b">
        <f t="shared" si="64"/>
        <v>1</v>
      </c>
      <c r="K479" s="8" t="s">
        <v>36</v>
      </c>
      <c r="L479" s="9" t="s">
        <v>14</v>
      </c>
      <c r="M479" s="9" t="s">
        <v>15</v>
      </c>
      <c r="N479" s="9" t="s">
        <v>12</v>
      </c>
      <c r="O479" s="9" t="s">
        <v>28</v>
      </c>
      <c r="P479" s="9" t="s">
        <v>11</v>
      </c>
      <c r="Q479" s="9" t="s">
        <v>19</v>
      </c>
      <c r="R479" s="9" t="s">
        <v>16</v>
      </c>
      <c r="S479" s="9" t="s">
        <v>17</v>
      </c>
      <c r="U479" t="b">
        <f t="shared" si="65"/>
        <v>1</v>
      </c>
      <c r="V479" t="b">
        <f t="shared" si="66"/>
        <v>1</v>
      </c>
      <c r="W479" t="b">
        <f t="shared" si="67"/>
        <v>1</v>
      </c>
      <c r="X479" t="b">
        <f t="shared" si="68"/>
        <v>1</v>
      </c>
      <c r="Y479" t="b">
        <f t="shared" si="69"/>
        <v>1</v>
      </c>
      <c r="Z479" t="b">
        <f t="shared" si="70"/>
        <v>1</v>
      </c>
      <c r="AA479" t="b">
        <f t="shared" si="71"/>
        <v>1</v>
      </c>
      <c r="AB479" t="b">
        <f t="shared" si="72"/>
        <v>1</v>
      </c>
    </row>
    <row r="480" spans="1:28" ht="14.4">
      <c r="A480" s="2" t="s">
        <v>35</v>
      </c>
      <c r="B480" s="2" t="s">
        <v>10</v>
      </c>
      <c r="C480" s="2" t="s">
        <v>15</v>
      </c>
      <c r="D480" s="2" t="s">
        <v>11</v>
      </c>
      <c r="E480" s="2" t="s">
        <v>28</v>
      </c>
      <c r="F480" s="2" t="s">
        <v>14</v>
      </c>
      <c r="G480" s="2" t="s">
        <v>13</v>
      </c>
      <c r="H480" s="2" t="s">
        <v>12</v>
      </c>
      <c r="I480" s="2" t="s">
        <v>17</v>
      </c>
      <c r="J480" t="b">
        <f t="shared" si="64"/>
        <v>1</v>
      </c>
      <c r="K480" s="6" t="s">
        <v>35</v>
      </c>
      <c r="L480" s="7" t="s">
        <v>10</v>
      </c>
      <c r="M480" s="7" t="s">
        <v>15</v>
      </c>
      <c r="N480" s="7" t="s">
        <v>11</v>
      </c>
      <c r="O480" s="7" t="s">
        <v>28</v>
      </c>
      <c r="P480" s="7" t="s">
        <v>14</v>
      </c>
      <c r="Q480" s="7" t="s">
        <v>13</v>
      </c>
      <c r="R480" s="7" t="s">
        <v>12</v>
      </c>
      <c r="S480" s="7" t="s">
        <v>17</v>
      </c>
      <c r="U480" t="b">
        <f t="shared" si="65"/>
        <v>1</v>
      </c>
      <c r="V480" t="b">
        <f t="shared" si="66"/>
        <v>1</v>
      </c>
      <c r="W480" t="b">
        <f t="shared" si="67"/>
        <v>1</v>
      </c>
      <c r="X480" t="b">
        <f t="shared" si="68"/>
        <v>1</v>
      </c>
      <c r="Y480" t="b">
        <f t="shared" si="69"/>
        <v>1</v>
      </c>
      <c r="Z480" t="b">
        <f t="shared" si="70"/>
        <v>1</v>
      </c>
      <c r="AA480" t="b">
        <f t="shared" si="71"/>
        <v>1</v>
      </c>
      <c r="AB480" t="b">
        <f t="shared" si="72"/>
        <v>1</v>
      </c>
    </row>
    <row r="481" spans="1:28" ht="14.4">
      <c r="A481" s="2" t="s">
        <v>34</v>
      </c>
      <c r="B481" s="2" t="s">
        <v>10</v>
      </c>
      <c r="C481" s="2" t="s">
        <v>15</v>
      </c>
      <c r="D481" s="2" t="s">
        <v>11</v>
      </c>
      <c r="E481" s="2" t="s">
        <v>28</v>
      </c>
      <c r="F481" s="2" t="s">
        <v>14</v>
      </c>
      <c r="G481" s="2" t="s">
        <v>13</v>
      </c>
      <c r="H481" s="2" t="s">
        <v>16</v>
      </c>
      <c r="I481" s="2" t="s">
        <v>12</v>
      </c>
      <c r="J481" t="b">
        <f t="shared" si="64"/>
        <v>1</v>
      </c>
      <c r="K481" s="8" t="s">
        <v>34</v>
      </c>
      <c r="L481" s="9" t="s">
        <v>10</v>
      </c>
      <c r="M481" s="9" t="s">
        <v>15</v>
      </c>
      <c r="N481" s="9" t="s">
        <v>11</v>
      </c>
      <c r="O481" s="9" t="s">
        <v>28</v>
      </c>
      <c r="P481" s="9" t="s">
        <v>14</v>
      </c>
      <c r="Q481" s="9" t="s">
        <v>13</v>
      </c>
      <c r="R481" s="9" t="s">
        <v>16</v>
      </c>
      <c r="S481" s="9" t="s">
        <v>12</v>
      </c>
      <c r="U481" t="b">
        <f t="shared" si="65"/>
        <v>1</v>
      </c>
      <c r="V481" t="b">
        <f t="shared" si="66"/>
        <v>1</v>
      </c>
      <c r="W481" t="b">
        <f t="shared" si="67"/>
        <v>1</v>
      </c>
      <c r="X481" t="b">
        <f t="shared" si="68"/>
        <v>1</v>
      </c>
      <c r="Y481" t="b">
        <f t="shared" si="69"/>
        <v>1</v>
      </c>
      <c r="Z481" t="b">
        <f t="shared" si="70"/>
        <v>1</v>
      </c>
      <c r="AA481" t="b">
        <f t="shared" si="71"/>
        <v>1</v>
      </c>
      <c r="AB481" t="b">
        <f t="shared" si="72"/>
        <v>1</v>
      </c>
    </row>
    <row r="482" spans="1:28" ht="14.4">
      <c r="A482" s="2" t="s">
        <v>33</v>
      </c>
      <c r="B482" s="2" t="s">
        <v>10</v>
      </c>
      <c r="C482" s="2" t="s">
        <v>15</v>
      </c>
      <c r="D482" s="2" t="s">
        <v>12</v>
      </c>
      <c r="E482" s="2" t="s">
        <v>28</v>
      </c>
      <c r="F482" s="2" t="s">
        <v>14</v>
      </c>
      <c r="G482" s="2" t="s">
        <v>13</v>
      </c>
      <c r="H482" s="2" t="s">
        <v>16</v>
      </c>
      <c r="I482" s="2" t="s">
        <v>17</v>
      </c>
      <c r="J482" t="b">
        <f t="shared" si="64"/>
        <v>1</v>
      </c>
      <c r="K482" s="6" t="s">
        <v>33</v>
      </c>
      <c r="L482" s="7" t="s">
        <v>10</v>
      </c>
      <c r="M482" s="7" t="s">
        <v>15</v>
      </c>
      <c r="N482" s="7" t="s">
        <v>12</v>
      </c>
      <c r="O482" s="7" t="s">
        <v>28</v>
      </c>
      <c r="P482" s="7" t="s">
        <v>14</v>
      </c>
      <c r="Q482" s="7" t="s">
        <v>13</v>
      </c>
      <c r="R482" s="7" t="s">
        <v>16</v>
      </c>
      <c r="S482" s="7" t="s">
        <v>17</v>
      </c>
      <c r="U482" t="b">
        <f t="shared" si="65"/>
        <v>1</v>
      </c>
      <c r="V482" t="b">
        <f t="shared" si="66"/>
        <v>1</v>
      </c>
      <c r="W482" t="b">
        <f t="shared" si="67"/>
        <v>1</v>
      </c>
      <c r="X482" t="b">
        <f t="shared" si="68"/>
        <v>1</v>
      </c>
      <c r="Y482" t="b">
        <f t="shared" si="69"/>
        <v>1</v>
      </c>
      <c r="Z482" t="b">
        <f t="shared" si="70"/>
        <v>1</v>
      </c>
      <c r="AA482" t="b">
        <f t="shared" si="71"/>
        <v>1</v>
      </c>
      <c r="AB482" t="b">
        <f t="shared" si="72"/>
        <v>1</v>
      </c>
    </row>
    <row r="483" spans="1:28" ht="14.4">
      <c r="A483" s="2" t="s">
        <v>32</v>
      </c>
      <c r="B483" s="2" t="s">
        <v>10</v>
      </c>
      <c r="C483" s="2" t="s">
        <v>15</v>
      </c>
      <c r="D483" s="2" t="s">
        <v>11</v>
      </c>
      <c r="E483" s="2" t="s">
        <v>28</v>
      </c>
      <c r="F483" s="2" t="s">
        <v>14</v>
      </c>
      <c r="G483" s="2" t="s">
        <v>13</v>
      </c>
      <c r="H483" s="2" t="s">
        <v>16</v>
      </c>
      <c r="I483" s="2" t="s">
        <v>17</v>
      </c>
      <c r="J483" t="b">
        <f t="shared" si="64"/>
        <v>1</v>
      </c>
      <c r="K483" s="8" t="s">
        <v>32</v>
      </c>
      <c r="L483" s="9" t="s">
        <v>10</v>
      </c>
      <c r="M483" s="9" t="s">
        <v>15</v>
      </c>
      <c r="N483" s="9" t="s">
        <v>11</v>
      </c>
      <c r="O483" s="9" t="s">
        <v>28</v>
      </c>
      <c r="P483" s="9" t="s">
        <v>14</v>
      </c>
      <c r="Q483" s="9" t="s">
        <v>13</v>
      </c>
      <c r="R483" s="9" t="s">
        <v>16</v>
      </c>
      <c r="S483" s="9" t="s">
        <v>17</v>
      </c>
      <c r="U483" t="b">
        <f t="shared" si="65"/>
        <v>1</v>
      </c>
      <c r="V483" t="b">
        <f t="shared" si="66"/>
        <v>1</v>
      </c>
      <c r="W483" t="b">
        <f t="shared" si="67"/>
        <v>1</v>
      </c>
      <c r="X483" t="b">
        <f t="shared" si="68"/>
        <v>1</v>
      </c>
      <c r="Y483" t="b">
        <f t="shared" si="69"/>
        <v>1</v>
      </c>
      <c r="Z483" t="b">
        <f t="shared" si="70"/>
        <v>1</v>
      </c>
      <c r="AA483" t="b">
        <f t="shared" si="71"/>
        <v>1</v>
      </c>
      <c r="AB483" t="b">
        <f t="shared" si="72"/>
        <v>1</v>
      </c>
    </row>
    <row r="484" spans="1:28" ht="14.4">
      <c r="A484" s="2" t="s">
        <v>31</v>
      </c>
      <c r="B484" s="2" t="s">
        <v>10</v>
      </c>
      <c r="C484" s="2" t="s">
        <v>15</v>
      </c>
      <c r="D484" s="2" t="s">
        <v>12</v>
      </c>
      <c r="E484" s="2" t="s">
        <v>28</v>
      </c>
      <c r="F484" s="2" t="s">
        <v>11</v>
      </c>
      <c r="G484" s="2" t="s">
        <v>13</v>
      </c>
      <c r="H484" s="2" t="s">
        <v>16</v>
      </c>
      <c r="I484" s="2" t="s">
        <v>17</v>
      </c>
      <c r="J484" t="b">
        <f t="shared" si="64"/>
        <v>1</v>
      </c>
      <c r="K484" s="6" t="s">
        <v>31</v>
      </c>
      <c r="L484" s="7" t="s">
        <v>10</v>
      </c>
      <c r="M484" s="7" t="s">
        <v>15</v>
      </c>
      <c r="N484" s="7" t="s">
        <v>12</v>
      </c>
      <c r="O484" s="7" t="s">
        <v>28</v>
      </c>
      <c r="P484" s="7" t="s">
        <v>11</v>
      </c>
      <c r="Q484" s="7" t="s">
        <v>13</v>
      </c>
      <c r="R484" s="7" t="s">
        <v>16</v>
      </c>
      <c r="S484" s="7" t="s">
        <v>17</v>
      </c>
      <c r="U484" t="b">
        <f t="shared" si="65"/>
        <v>1</v>
      </c>
      <c r="V484" t="b">
        <f t="shared" si="66"/>
        <v>1</v>
      </c>
      <c r="W484" t="b">
        <f t="shared" si="67"/>
        <v>1</v>
      </c>
      <c r="X484" t="b">
        <f t="shared" si="68"/>
        <v>1</v>
      </c>
      <c r="Y484" t="b">
        <f t="shared" si="69"/>
        <v>1</v>
      </c>
      <c r="Z484" t="b">
        <f t="shared" si="70"/>
        <v>1</v>
      </c>
      <c r="AA484" t="b">
        <f t="shared" si="71"/>
        <v>1</v>
      </c>
      <c r="AB484" t="b">
        <f t="shared" si="72"/>
        <v>1</v>
      </c>
    </row>
    <row r="485" spans="1:28" ht="14.4">
      <c r="A485" s="2" t="s">
        <v>30</v>
      </c>
      <c r="B485" s="2" t="s">
        <v>10</v>
      </c>
      <c r="C485" s="2" t="s">
        <v>11</v>
      </c>
      <c r="D485" s="2" t="s">
        <v>12</v>
      </c>
      <c r="E485" s="2" t="s">
        <v>28</v>
      </c>
      <c r="F485" s="2" t="s">
        <v>14</v>
      </c>
      <c r="G485" s="2" t="s">
        <v>13</v>
      </c>
      <c r="H485" s="2" t="s">
        <v>16</v>
      </c>
      <c r="I485" s="2" t="s">
        <v>17</v>
      </c>
      <c r="J485" t="b">
        <f t="shared" si="64"/>
        <v>1</v>
      </c>
      <c r="K485" s="8" t="s">
        <v>30</v>
      </c>
      <c r="L485" s="9" t="s">
        <v>10</v>
      </c>
      <c r="M485" s="9" t="s">
        <v>11</v>
      </c>
      <c r="N485" s="9" t="s">
        <v>12</v>
      </c>
      <c r="O485" s="9" t="s">
        <v>28</v>
      </c>
      <c r="P485" s="9" t="s">
        <v>14</v>
      </c>
      <c r="Q485" s="9" t="s">
        <v>13</v>
      </c>
      <c r="R485" s="9" t="s">
        <v>16</v>
      </c>
      <c r="S485" s="9" t="s">
        <v>17</v>
      </c>
      <c r="U485" t="b">
        <f t="shared" si="65"/>
        <v>1</v>
      </c>
      <c r="V485" t="b">
        <f t="shared" si="66"/>
        <v>1</v>
      </c>
      <c r="W485" t="b">
        <f t="shared" si="67"/>
        <v>1</v>
      </c>
      <c r="X485" t="b">
        <f t="shared" si="68"/>
        <v>1</v>
      </c>
      <c r="Y485" t="b">
        <f t="shared" si="69"/>
        <v>1</v>
      </c>
      <c r="Z485" t="b">
        <f t="shared" si="70"/>
        <v>1</v>
      </c>
      <c r="AA485" t="b">
        <f t="shared" si="71"/>
        <v>1</v>
      </c>
      <c r="AB485" t="b">
        <f t="shared" si="72"/>
        <v>1</v>
      </c>
    </row>
    <row r="486" spans="1:28" ht="14.4">
      <c r="A486" s="2" t="s">
        <v>29</v>
      </c>
      <c r="B486" s="2" t="s">
        <v>10</v>
      </c>
      <c r="C486" s="2" t="s">
        <v>11</v>
      </c>
      <c r="D486" s="2" t="s">
        <v>12</v>
      </c>
      <c r="E486" s="2" t="s">
        <v>28</v>
      </c>
      <c r="F486" s="2" t="s">
        <v>14</v>
      </c>
      <c r="G486" s="2" t="s">
        <v>15</v>
      </c>
      <c r="H486" s="2" t="s">
        <v>16</v>
      </c>
      <c r="I486" s="2" t="s">
        <v>17</v>
      </c>
      <c r="J486" t="b">
        <f t="shared" si="64"/>
        <v>1</v>
      </c>
      <c r="K486" s="6" t="s">
        <v>29</v>
      </c>
      <c r="L486" s="7" t="s">
        <v>10</v>
      </c>
      <c r="M486" s="7" t="s">
        <v>11</v>
      </c>
      <c r="N486" s="7" t="s">
        <v>12</v>
      </c>
      <c r="O486" s="7" t="s">
        <v>28</v>
      </c>
      <c r="P486" s="7" t="s">
        <v>14</v>
      </c>
      <c r="Q486" s="7" t="s">
        <v>15</v>
      </c>
      <c r="R486" s="7" t="s">
        <v>16</v>
      </c>
      <c r="S486" s="7" t="s">
        <v>17</v>
      </c>
      <c r="U486" t="b">
        <f t="shared" si="65"/>
        <v>1</v>
      </c>
      <c r="V486" t="b">
        <f t="shared" si="66"/>
        <v>1</v>
      </c>
      <c r="W486" t="b">
        <f t="shared" si="67"/>
        <v>1</v>
      </c>
      <c r="X486" t="b">
        <f t="shared" si="68"/>
        <v>1</v>
      </c>
      <c r="Y486" t="b">
        <f t="shared" si="69"/>
        <v>1</v>
      </c>
      <c r="Z486" t="b">
        <f t="shared" si="70"/>
        <v>1</v>
      </c>
      <c r="AA486" t="b">
        <f t="shared" si="71"/>
        <v>1</v>
      </c>
      <c r="AB486" t="b">
        <f t="shared" si="72"/>
        <v>1</v>
      </c>
    </row>
    <row r="487" spans="1:28" ht="14.4">
      <c r="A487" s="2" t="s">
        <v>27</v>
      </c>
      <c r="B487" s="2" t="s">
        <v>14</v>
      </c>
      <c r="C487" s="2" t="s">
        <v>15</v>
      </c>
      <c r="D487" s="2" t="s">
        <v>12</v>
      </c>
      <c r="E487" s="2" t="s">
        <v>28</v>
      </c>
      <c r="F487" s="2" t="s">
        <v>11</v>
      </c>
      <c r="G487" s="2" t="s">
        <v>13</v>
      </c>
      <c r="H487" s="2" t="s">
        <v>16</v>
      </c>
      <c r="I487" s="2" t="s">
        <v>17</v>
      </c>
      <c r="J487" t="b">
        <f t="shared" si="64"/>
        <v>1</v>
      </c>
      <c r="K487" s="8" t="s">
        <v>27</v>
      </c>
      <c r="L487" s="9" t="s">
        <v>14</v>
      </c>
      <c r="M487" s="9" t="s">
        <v>15</v>
      </c>
      <c r="N487" s="9" t="s">
        <v>12</v>
      </c>
      <c r="O487" s="9" t="s">
        <v>28</v>
      </c>
      <c r="P487" s="9" t="s">
        <v>11</v>
      </c>
      <c r="Q487" s="9" t="s">
        <v>13</v>
      </c>
      <c r="R487" s="9" t="s">
        <v>16</v>
      </c>
      <c r="S487" s="9" t="s">
        <v>17</v>
      </c>
      <c r="U487" t="b">
        <f t="shared" si="65"/>
        <v>1</v>
      </c>
      <c r="V487" t="b">
        <f t="shared" si="66"/>
        <v>1</v>
      </c>
      <c r="W487" t="b">
        <f t="shared" si="67"/>
        <v>1</v>
      </c>
      <c r="X487" t="b">
        <f t="shared" si="68"/>
        <v>1</v>
      </c>
      <c r="Y487" t="b">
        <f t="shared" si="69"/>
        <v>1</v>
      </c>
      <c r="Z487" t="b">
        <f t="shared" si="70"/>
        <v>1</v>
      </c>
      <c r="AA487" t="b">
        <f t="shared" si="71"/>
        <v>1</v>
      </c>
      <c r="AB487" t="b">
        <f t="shared" si="72"/>
        <v>1</v>
      </c>
    </row>
    <row r="488" spans="1:28" ht="14.4">
      <c r="A488" s="2" t="s">
        <v>26</v>
      </c>
      <c r="B488" s="2" t="s">
        <v>10</v>
      </c>
      <c r="C488" s="2" t="s">
        <v>15</v>
      </c>
      <c r="D488" s="2" t="s">
        <v>11</v>
      </c>
      <c r="E488" s="2" t="s">
        <v>19</v>
      </c>
      <c r="F488" s="2" t="s">
        <v>14</v>
      </c>
      <c r="G488" s="2" t="s">
        <v>13</v>
      </c>
      <c r="H488" s="2" t="s">
        <v>12</v>
      </c>
      <c r="I488" s="2" t="s">
        <v>17</v>
      </c>
      <c r="J488" t="b">
        <f t="shared" si="64"/>
        <v>1</v>
      </c>
      <c r="K488" s="6" t="s">
        <v>26</v>
      </c>
      <c r="L488" s="7" t="s">
        <v>10</v>
      </c>
      <c r="M488" s="7" t="s">
        <v>15</v>
      </c>
      <c r="N488" s="7" t="s">
        <v>11</v>
      </c>
      <c r="O488" s="7" t="s">
        <v>19</v>
      </c>
      <c r="P488" s="7" t="s">
        <v>14</v>
      </c>
      <c r="Q488" s="7" t="s">
        <v>13</v>
      </c>
      <c r="R488" s="7" t="s">
        <v>12</v>
      </c>
      <c r="S488" s="7" t="s">
        <v>17</v>
      </c>
      <c r="U488" t="b">
        <f t="shared" si="65"/>
        <v>1</v>
      </c>
      <c r="V488" t="b">
        <f t="shared" si="66"/>
        <v>1</v>
      </c>
      <c r="W488" t="b">
        <f t="shared" si="67"/>
        <v>1</v>
      </c>
      <c r="X488" t="b">
        <f t="shared" si="68"/>
        <v>1</v>
      </c>
      <c r="Y488" t="b">
        <f t="shared" si="69"/>
        <v>1</v>
      </c>
      <c r="Z488" t="b">
        <f t="shared" si="70"/>
        <v>1</v>
      </c>
      <c r="AA488" t="b">
        <f t="shared" si="71"/>
        <v>1</v>
      </c>
      <c r="AB488" t="b">
        <f t="shared" si="72"/>
        <v>1</v>
      </c>
    </row>
    <row r="489" spans="1:28" ht="14.4">
      <c r="A489" s="2" t="s">
        <v>25</v>
      </c>
      <c r="B489" s="2" t="s">
        <v>10</v>
      </c>
      <c r="C489" s="2" t="s">
        <v>15</v>
      </c>
      <c r="D489" s="2" t="s">
        <v>11</v>
      </c>
      <c r="E489" s="2" t="s">
        <v>19</v>
      </c>
      <c r="F489" s="2" t="s">
        <v>14</v>
      </c>
      <c r="G489" s="2" t="s">
        <v>13</v>
      </c>
      <c r="H489" s="2" t="s">
        <v>16</v>
      </c>
      <c r="I489" s="2" t="s">
        <v>12</v>
      </c>
      <c r="J489" t="b">
        <f t="shared" si="64"/>
        <v>1</v>
      </c>
      <c r="K489" s="8" t="s">
        <v>25</v>
      </c>
      <c r="L489" s="9" t="s">
        <v>10</v>
      </c>
      <c r="M489" s="9" t="s">
        <v>15</v>
      </c>
      <c r="N489" s="9" t="s">
        <v>11</v>
      </c>
      <c r="O489" s="9" t="s">
        <v>19</v>
      </c>
      <c r="P489" s="9" t="s">
        <v>14</v>
      </c>
      <c r="Q489" s="9" t="s">
        <v>13</v>
      </c>
      <c r="R489" s="9" t="s">
        <v>16</v>
      </c>
      <c r="S489" s="9" t="s">
        <v>12</v>
      </c>
      <c r="U489" t="b">
        <f t="shared" si="65"/>
        <v>1</v>
      </c>
      <c r="V489" t="b">
        <f t="shared" si="66"/>
        <v>1</v>
      </c>
      <c r="W489" t="b">
        <f t="shared" si="67"/>
        <v>1</v>
      </c>
      <c r="X489" t="b">
        <f t="shared" si="68"/>
        <v>1</v>
      </c>
      <c r="Y489" t="b">
        <f t="shared" si="69"/>
        <v>1</v>
      </c>
      <c r="Z489" t="b">
        <f t="shared" si="70"/>
        <v>1</v>
      </c>
      <c r="AA489" t="b">
        <f t="shared" si="71"/>
        <v>1</v>
      </c>
      <c r="AB489" t="b">
        <f t="shared" si="72"/>
        <v>1</v>
      </c>
    </row>
    <row r="490" spans="1:28" ht="14.4">
      <c r="A490" s="2" t="s">
        <v>24</v>
      </c>
      <c r="B490" s="2" t="s">
        <v>10</v>
      </c>
      <c r="C490" s="2" t="s">
        <v>15</v>
      </c>
      <c r="D490" s="2" t="s">
        <v>12</v>
      </c>
      <c r="E490" s="2" t="s">
        <v>19</v>
      </c>
      <c r="F490" s="2" t="s">
        <v>14</v>
      </c>
      <c r="G490" s="2" t="s">
        <v>13</v>
      </c>
      <c r="H490" s="2" t="s">
        <v>16</v>
      </c>
      <c r="I490" s="2" t="s">
        <v>17</v>
      </c>
      <c r="J490" t="b">
        <f t="shared" si="64"/>
        <v>1</v>
      </c>
      <c r="K490" s="6" t="s">
        <v>24</v>
      </c>
      <c r="L490" s="7" t="s">
        <v>10</v>
      </c>
      <c r="M490" s="7" t="s">
        <v>15</v>
      </c>
      <c r="N490" s="7" t="s">
        <v>12</v>
      </c>
      <c r="O490" s="7" t="s">
        <v>19</v>
      </c>
      <c r="P490" s="7" t="s">
        <v>14</v>
      </c>
      <c r="Q490" s="7" t="s">
        <v>13</v>
      </c>
      <c r="R490" s="7" t="s">
        <v>16</v>
      </c>
      <c r="S490" s="7" t="s">
        <v>17</v>
      </c>
      <c r="U490" t="b">
        <f t="shared" si="65"/>
        <v>1</v>
      </c>
      <c r="V490" t="b">
        <f t="shared" si="66"/>
        <v>1</v>
      </c>
      <c r="W490" t="b">
        <f t="shared" si="67"/>
        <v>1</v>
      </c>
      <c r="X490" t="b">
        <f t="shared" si="68"/>
        <v>1</v>
      </c>
      <c r="Y490" t="b">
        <f t="shared" si="69"/>
        <v>1</v>
      </c>
      <c r="Z490" t="b">
        <f t="shared" si="70"/>
        <v>1</v>
      </c>
      <c r="AA490" t="b">
        <f t="shared" si="71"/>
        <v>1</v>
      </c>
      <c r="AB490" t="b">
        <f t="shared" si="72"/>
        <v>1</v>
      </c>
    </row>
    <row r="491" spans="1:28" ht="14.4">
      <c r="A491" s="2" t="s">
        <v>23</v>
      </c>
      <c r="B491" s="2" t="s">
        <v>10</v>
      </c>
      <c r="C491" s="2" t="s">
        <v>15</v>
      </c>
      <c r="D491" s="2" t="s">
        <v>11</v>
      </c>
      <c r="E491" s="2" t="s">
        <v>19</v>
      </c>
      <c r="F491" s="2" t="s">
        <v>14</v>
      </c>
      <c r="G491" s="2" t="s">
        <v>13</v>
      </c>
      <c r="H491" s="2" t="s">
        <v>16</v>
      </c>
      <c r="I491" s="2" t="s">
        <v>17</v>
      </c>
      <c r="J491" t="b">
        <f t="shared" si="64"/>
        <v>1</v>
      </c>
      <c r="K491" s="8" t="s">
        <v>23</v>
      </c>
      <c r="L491" s="9" t="s">
        <v>10</v>
      </c>
      <c r="M491" s="9" t="s">
        <v>15</v>
      </c>
      <c r="N491" s="9" t="s">
        <v>11</v>
      </c>
      <c r="O491" s="9" t="s">
        <v>19</v>
      </c>
      <c r="P491" s="9" t="s">
        <v>14</v>
      </c>
      <c r="Q491" s="9" t="s">
        <v>13</v>
      </c>
      <c r="R491" s="9" t="s">
        <v>16</v>
      </c>
      <c r="S491" s="9" t="s">
        <v>17</v>
      </c>
      <c r="U491" t="b">
        <f t="shared" si="65"/>
        <v>1</v>
      </c>
      <c r="V491" t="b">
        <f t="shared" si="66"/>
        <v>1</v>
      </c>
      <c r="W491" t="b">
        <f t="shared" si="67"/>
        <v>1</v>
      </c>
      <c r="X491" t="b">
        <f t="shared" si="68"/>
        <v>1</v>
      </c>
      <c r="Y491" t="b">
        <f t="shared" si="69"/>
        <v>1</v>
      </c>
      <c r="Z491" t="b">
        <f t="shared" si="70"/>
        <v>1</v>
      </c>
      <c r="AA491" t="b">
        <f t="shared" si="71"/>
        <v>1</v>
      </c>
      <c r="AB491" t="b">
        <f t="shared" si="72"/>
        <v>1</v>
      </c>
    </row>
    <row r="492" spans="1:28" ht="14.4">
      <c r="A492" s="2" t="s">
        <v>22</v>
      </c>
      <c r="B492" s="2" t="s">
        <v>10</v>
      </c>
      <c r="C492" s="2" t="s">
        <v>15</v>
      </c>
      <c r="D492" s="2" t="s">
        <v>12</v>
      </c>
      <c r="E492" s="2" t="s">
        <v>19</v>
      </c>
      <c r="F492" s="2" t="s">
        <v>11</v>
      </c>
      <c r="G492" s="2" t="s">
        <v>13</v>
      </c>
      <c r="H492" s="2" t="s">
        <v>16</v>
      </c>
      <c r="I492" s="2" t="s">
        <v>17</v>
      </c>
      <c r="J492" t="b">
        <f t="shared" si="64"/>
        <v>1</v>
      </c>
      <c r="K492" s="6" t="s">
        <v>22</v>
      </c>
      <c r="L492" s="7" t="s">
        <v>10</v>
      </c>
      <c r="M492" s="7" t="s">
        <v>15</v>
      </c>
      <c r="N492" s="7" t="s">
        <v>12</v>
      </c>
      <c r="O492" s="7" t="s">
        <v>19</v>
      </c>
      <c r="P492" s="7" t="s">
        <v>11</v>
      </c>
      <c r="Q492" s="7" t="s">
        <v>13</v>
      </c>
      <c r="R492" s="7" t="s">
        <v>16</v>
      </c>
      <c r="S492" s="7" t="s">
        <v>17</v>
      </c>
      <c r="U492" t="b">
        <f t="shared" si="65"/>
        <v>1</v>
      </c>
      <c r="V492" t="b">
        <f t="shared" si="66"/>
        <v>1</v>
      </c>
      <c r="W492" t="b">
        <f t="shared" si="67"/>
        <v>1</v>
      </c>
      <c r="X492" t="b">
        <f t="shared" si="68"/>
        <v>1</v>
      </c>
      <c r="Y492" t="b">
        <f t="shared" si="69"/>
        <v>1</v>
      </c>
      <c r="Z492" t="b">
        <f t="shared" si="70"/>
        <v>1</v>
      </c>
      <c r="AA492" t="b">
        <f t="shared" si="71"/>
        <v>1</v>
      </c>
      <c r="AB492" t="b">
        <f t="shared" si="72"/>
        <v>1</v>
      </c>
    </row>
    <row r="493" spans="1:28" ht="14.4">
      <c r="A493" s="2" t="s">
        <v>21</v>
      </c>
      <c r="B493" s="2" t="s">
        <v>10</v>
      </c>
      <c r="C493" s="2" t="s">
        <v>11</v>
      </c>
      <c r="D493" s="2" t="s">
        <v>12</v>
      </c>
      <c r="E493" s="2" t="s">
        <v>19</v>
      </c>
      <c r="F493" s="2" t="s">
        <v>14</v>
      </c>
      <c r="G493" s="2" t="s">
        <v>13</v>
      </c>
      <c r="H493" s="2" t="s">
        <v>16</v>
      </c>
      <c r="I493" s="2" t="s">
        <v>17</v>
      </c>
      <c r="J493" t="b">
        <f t="shared" si="64"/>
        <v>1</v>
      </c>
      <c r="K493" s="8" t="s">
        <v>21</v>
      </c>
      <c r="L493" s="9" t="s">
        <v>10</v>
      </c>
      <c r="M493" s="9" t="s">
        <v>11</v>
      </c>
      <c r="N493" s="9" t="s">
        <v>12</v>
      </c>
      <c r="O493" s="9" t="s">
        <v>19</v>
      </c>
      <c r="P493" s="9" t="s">
        <v>14</v>
      </c>
      <c r="Q493" s="9" t="s">
        <v>13</v>
      </c>
      <c r="R493" s="9" t="s">
        <v>16</v>
      </c>
      <c r="S493" s="9" t="s">
        <v>17</v>
      </c>
      <c r="U493" t="b">
        <f t="shared" si="65"/>
        <v>1</v>
      </c>
      <c r="V493" t="b">
        <f t="shared" si="66"/>
        <v>1</v>
      </c>
      <c r="W493" t="b">
        <f t="shared" si="67"/>
        <v>1</v>
      </c>
      <c r="X493" t="b">
        <f t="shared" si="68"/>
        <v>1</v>
      </c>
      <c r="Y493" t="b">
        <f t="shared" si="69"/>
        <v>1</v>
      </c>
      <c r="Z493" t="b">
        <f t="shared" si="70"/>
        <v>1</v>
      </c>
      <c r="AA493" t="b">
        <f t="shared" si="71"/>
        <v>1</v>
      </c>
      <c r="AB493" t="b">
        <f t="shared" si="72"/>
        <v>1</v>
      </c>
    </row>
    <row r="494" spans="1:28" ht="14.4">
      <c r="A494" s="2" t="s">
        <v>20</v>
      </c>
      <c r="B494" s="2" t="s">
        <v>10</v>
      </c>
      <c r="C494" s="2" t="s">
        <v>11</v>
      </c>
      <c r="D494" s="2" t="s">
        <v>12</v>
      </c>
      <c r="E494" s="2" t="s">
        <v>19</v>
      </c>
      <c r="F494" s="2" t="s">
        <v>14</v>
      </c>
      <c r="G494" s="2" t="s">
        <v>15</v>
      </c>
      <c r="H494" s="2" t="s">
        <v>16</v>
      </c>
      <c r="I494" s="2" t="s">
        <v>17</v>
      </c>
      <c r="J494" t="b">
        <f t="shared" si="64"/>
        <v>1</v>
      </c>
      <c r="K494" s="6" t="s">
        <v>20</v>
      </c>
      <c r="L494" s="7" t="s">
        <v>10</v>
      </c>
      <c r="M494" s="7" t="s">
        <v>11</v>
      </c>
      <c r="N494" s="7" t="s">
        <v>12</v>
      </c>
      <c r="O494" s="7" t="s">
        <v>19</v>
      </c>
      <c r="P494" s="7" t="s">
        <v>14</v>
      </c>
      <c r="Q494" s="7" t="s">
        <v>15</v>
      </c>
      <c r="R494" s="7" t="s">
        <v>16</v>
      </c>
      <c r="S494" s="7" t="s">
        <v>17</v>
      </c>
      <c r="U494" t="b">
        <f t="shared" si="65"/>
        <v>1</v>
      </c>
      <c r="V494" t="b">
        <f t="shared" si="66"/>
        <v>1</v>
      </c>
      <c r="W494" t="b">
        <f t="shared" si="67"/>
        <v>1</v>
      </c>
      <c r="X494" t="b">
        <f t="shared" si="68"/>
        <v>1</v>
      </c>
      <c r="Y494" t="b">
        <f t="shared" si="69"/>
        <v>1</v>
      </c>
      <c r="Z494" t="b">
        <f t="shared" si="70"/>
        <v>1</v>
      </c>
      <c r="AA494" t="b">
        <f t="shared" si="71"/>
        <v>1</v>
      </c>
      <c r="AB494" t="b">
        <f t="shared" si="72"/>
        <v>1</v>
      </c>
    </row>
    <row r="495" spans="1:28" ht="14.4">
      <c r="A495" s="2" t="s">
        <v>18</v>
      </c>
      <c r="B495" s="2" t="s">
        <v>14</v>
      </c>
      <c r="C495" s="2" t="s">
        <v>15</v>
      </c>
      <c r="D495" s="2" t="s">
        <v>12</v>
      </c>
      <c r="E495" s="2" t="s">
        <v>19</v>
      </c>
      <c r="F495" s="2" t="s">
        <v>11</v>
      </c>
      <c r="G495" s="2" t="s">
        <v>13</v>
      </c>
      <c r="H495" s="2" t="s">
        <v>16</v>
      </c>
      <c r="I495" s="2" t="s">
        <v>17</v>
      </c>
      <c r="J495" t="b">
        <f t="shared" si="64"/>
        <v>1</v>
      </c>
      <c r="K495" s="8" t="s">
        <v>18</v>
      </c>
      <c r="L495" s="9" t="s">
        <v>14</v>
      </c>
      <c r="M495" s="9" t="s">
        <v>15</v>
      </c>
      <c r="N495" s="9" t="s">
        <v>12</v>
      </c>
      <c r="O495" s="9" t="s">
        <v>19</v>
      </c>
      <c r="P495" s="9" t="s">
        <v>11</v>
      </c>
      <c r="Q495" s="9" t="s">
        <v>13</v>
      </c>
      <c r="R495" s="9" t="s">
        <v>16</v>
      </c>
      <c r="S495" s="9" t="s">
        <v>17</v>
      </c>
      <c r="U495" t="b">
        <f t="shared" si="65"/>
        <v>1</v>
      </c>
      <c r="V495" t="b">
        <f t="shared" si="66"/>
        <v>1</v>
      </c>
      <c r="W495" t="b">
        <f t="shared" si="67"/>
        <v>1</v>
      </c>
      <c r="X495" t="b">
        <f t="shared" si="68"/>
        <v>1</v>
      </c>
      <c r="Y495" t="b">
        <f t="shared" si="69"/>
        <v>1</v>
      </c>
      <c r="Z495" t="b">
        <f t="shared" si="70"/>
        <v>1</v>
      </c>
      <c r="AA495" t="b">
        <f t="shared" si="71"/>
        <v>1</v>
      </c>
      <c r="AB495" t="b">
        <f t="shared" si="72"/>
        <v>1</v>
      </c>
    </row>
    <row r="496" spans="1:28" ht="14.4">
      <c r="A496" s="2" t="s">
        <v>9</v>
      </c>
      <c r="B496" s="2" t="s">
        <v>10</v>
      </c>
      <c r="C496" s="2" t="s">
        <v>11</v>
      </c>
      <c r="D496" s="2" t="s">
        <v>12</v>
      </c>
      <c r="E496" s="2" t="s">
        <v>13</v>
      </c>
      <c r="F496" s="2" t="s">
        <v>14</v>
      </c>
      <c r="G496" s="2" t="s">
        <v>15</v>
      </c>
      <c r="H496" s="2" t="s">
        <v>16</v>
      </c>
      <c r="I496" s="2" t="s">
        <v>17</v>
      </c>
      <c r="J496" t="b">
        <f t="shared" si="64"/>
        <v>1</v>
      </c>
      <c r="K496" s="6" t="s">
        <v>9</v>
      </c>
      <c r="L496" s="7" t="s">
        <v>10</v>
      </c>
      <c r="M496" s="7" t="s">
        <v>11</v>
      </c>
      <c r="N496" s="7" t="s">
        <v>12</v>
      </c>
      <c r="O496" s="7" t="s">
        <v>13</v>
      </c>
      <c r="P496" s="7" t="s">
        <v>14</v>
      </c>
      <c r="Q496" s="7" t="s">
        <v>15</v>
      </c>
      <c r="R496" s="7" t="s">
        <v>16</v>
      </c>
      <c r="S496" s="7" t="s">
        <v>17</v>
      </c>
      <c r="U496" t="b">
        <f t="shared" si="65"/>
        <v>1</v>
      </c>
      <c r="V496" t="b">
        <f t="shared" si="66"/>
        <v>1</v>
      </c>
      <c r="W496" t="b">
        <f t="shared" si="67"/>
        <v>1</v>
      </c>
      <c r="X496" t="b">
        <f t="shared" si="68"/>
        <v>1</v>
      </c>
      <c r="Y496" t="b">
        <f t="shared" si="69"/>
        <v>1</v>
      </c>
      <c r="Z496" t="b">
        <f t="shared" si="70"/>
        <v>1</v>
      </c>
      <c r="AA496" t="b">
        <f t="shared" si="71"/>
        <v>1</v>
      </c>
      <c r="AB496" t="b">
        <f t="shared" si="72"/>
        <v>1</v>
      </c>
    </row>
  </sheetData>
  <autoFilter ref="U1:AB496" xr:uid="{73FA8188-FBD1-4512-BAE4-236F1B30C247}">
    <filterColumn colId="0">
      <filters>
        <filter val="VERDADEIRO"/>
      </filters>
    </filterColumn>
    <filterColumn colId="1">
      <filters>
        <filter val="VERDADEIRO"/>
      </filters>
    </filterColumn>
    <filterColumn colId="2">
      <filters>
        <filter val="VERDADEIRO"/>
      </filters>
    </filterColumn>
    <filterColumn colId="3">
      <filters>
        <filter val="VERDADEIRO"/>
      </filters>
    </filterColumn>
    <filterColumn colId="4">
      <filters>
        <filter val="VERDADEIRO"/>
      </filters>
    </filterColumn>
    <filterColumn colId="5">
      <filters>
        <filter val="VERDADEIRO"/>
      </filters>
    </filterColumn>
    <filterColumn colId="7">
      <filters>
        <filter val="VERDADEIRO"/>
      </filters>
    </filterColumn>
  </autoFilter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858B5-9ABF-4ED6-886A-8AC04E81AEB9}">
  <dimension ref="A1:I496"/>
  <sheetViews>
    <sheetView topLeftCell="A455" workbookViewId="0">
      <selection sqref="A1:I496"/>
    </sheetView>
  </sheetViews>
  <sheetFormatPr defaultRowHeight="13.8"/>
  <sheetData>
    <row r="1" spans="1:9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</row>
    <row r="2" spans="1:9">
      <c r="A2" s="6" t="s">
        <v>515</v>
      </c>
      <c r="B2" s="7" t="s">
        <v>14</v>
      </c>
      <c r="C2" s="7" t="s">
        <v>15</v>
      </c>
      <c r="D2" s="7" t="s">
        <v>65</v>
      </c>
      <c r="E2" s="7" t="s">
        <v>28</v>
      </c>
      <c r="F2" s="7" t="s">
        <v>186</v>
      </c>
      <c r="G2" s="7" t="s">
        <v>13</v>
      </c>
      <c r="H2" s="7" t="s">
        <v>19</v>
      </c>
      <c r="I2" s="7" t="s">
        <v>10</v>
      </c>
    </row>
    <row r="3" spans="1:9">
      <c r="A3" s="8" t="s">
        <v>514</v>
      </c>
      <c r="B3" s="9" t="s">
        <v>14</v>
      </c>
      <c r="C3" s="9" t="s">
        <v>15</v>
      </c>
      <c r="D3" s="9" t="s">
        <v>65</v>
      </c>
      <c r="E3" s="9" t="s">
        <v>28</v>
      </c>
      <c r="F3" s="9" t="s">
        <v>186</v>
      </c>
      <c r="G3" s="9" t="s">
        <v>13</v>
      </c>
      <c r="H3" s="9" t="s">
        <v>19</v>
      </c>
      <c r="I3" s="9" t="s">
        <v>10</v>
      </c>
    </row>
    <row r="4" spans="1:9">
      <c r="A4" s="6" t="s">
        <v>513</v>
      </c>
      <c r="B4" s="7" t="s">
        <v>14</v>
      </c>
      <c r="C4" s="7" t="s">
        <v>15</v>
      </c>
      <c r="D4" s="7" t="s">
        <v>65</v>
      </c>
      <c r="E4" s="7" t="s">
        <v>28</v>
      </c>
      <c r="F4" s="7" t="s">
        <v>186</v>
      </c>
      <c r="G4" s="7" t="s">
        <v>13</v>
      </c>
      <c r="H4" s="7" t="s">
        <v>19</v>
      </c>
      <c r="I4" s="7" t="s">
        <v>10</v>
      </c>
    </row>
    <row r="5" spans="1:9">
      <c r="A5" s="8" t="s">
        <v>512</v>
      </c>
      <c r="B5" s="9" t="s">
        <v>14</v>
      </c>
      <c r="C5" s="9" t="s">
        <v>15</v>
      </c>
      <c r="D5" s="9" t="s">
        <v>65</v>
      </c>
      <c r="E5" s="9" t="s">
        <v>28</v>
      </c>
      <c r="F5" s="9" t="s">
        <v>186</v>
      </c>
      <c r="G5" s="9" t="s">
        <v>13</v>
      </c>
      <c r="H5" s="9" t="s">
        <v>19</v>
      </c>
      <c r="I5" s="9" t="s">
        <v>10</v>
      </c>
    </row>
    <row r="6" spans="1:9">
      <c r="A6" s="6" t="s">
        <v>511</v>
      </c>
      <c r="B6" s="7" t="s">
        <v>14</v>
      </c>
      <c r="C6" s="7" t="s">
        <v>15</v>
      </c>
      <c r="D6" s="7" t="s">
        <v>65</v>
      </c>
      <c r="E6" s="7" t="s">
        <v>28</v>
      </c>
      <c r="F6" s="7" t="s">
        <v>186</v>
      </c>
      <c r="G6" s="7" t="s">
        <v>13</v>
      </c>
      <c r="H6" s="7" t="s">
        <v>19</v>
      </c>
      <c r="I6" s="7" t="s">
        <v>10</v>
      </c>
    </row>
    <row r="7" spans="1:9">
      <c r="A7" s="8" t="s">
        <v>510</v>
      </c>
      <c r="B7" s="9" t="s">
        <v>14</v>
      </c>
      <c r="C7" s="9" t="s">
        <v>15</v>
      </c>
      <c r="D7" s="9" t="s">
        <v>65</v>
      </c>
      <c r="E7" s="9" t="s">
        <v>28</v>
      </c>
      <c r="F7" s="9" t="s">
        <v>186</v>
      </c>
      <c r="G7" s="9" t="s">
        <v>13</v>
      </c>
      <c r="H7" s="9" t="s">
        <v>19</v>
      </c>
      <c r="I7" s="9" t="s">
        <v>10</v>
      </c>
    </row>
    <row r="8" spans="1:9">
      <c r="A8" s="6" t="s">
        <v>509</v>
      </c>
      <c r="B8" s="7" t="s">
        <v>14</v>
      </c>
      <c r="C8" s="7" t="s">
        <v>15</v>
      </c>
      <c r="D8" s="7" t="s">
        <v>65</v>
      </c>
      <c r="E8" s="7" t="s">
        <v>28</v>
      </c>
      <c r="F8" s="7" t="s">
        <v>186</v>
      </c>
      <c r="G8" s="7" t="s">
        <v>13</v>
      </c>
      <c r="H8" s="7" t="s">
        <v>19</v>
      </c>
      <c r="I8" s="7" t="s">
        <v>10</v>
      </c>
    </row>
    <row r="9" spans="1:9">
      <c r="A9" s="8" t="s">
        <v>508</v>
      </c>
      <c r="B9" s="9" t="s">
        <v>14</v>
      </c>
      <c r="C9" s="9" t="s">
        <v>15</v>
      </c>
      <c r="D9" s="9" t="s">
        <v>65</v>
      </c>
      <c r="E9" s="9" t="s">
        <v>28</v>
      </c>
      <c r="F9" s="9" t="s">
        <v>186</v>
      </c>
      <c r="G9" s="9" t="s">
        <v>13</v>
      </c>
      <c r="H9" s="9" t="s">
        <v>19</v>
      </c>
      <c r="I9" s="9" t="s">
        <v>10</v>
      </c>
    </row>
    <row r="10" spans="1:9">
      <c r="A10" s="6" t="s">
        <v>507</v>
      </c>
      <c r="B10" s="7" t="s">
        <v>14</v>
      </c>
      <c r="C10" s="7" t="s">
        <v>15</v>
      </c>
      <c r="D10" s="7" t="s">
        <v>65</v>
      </c>
      <c r="E10" s="7" t="s">
        <v>28</v>
      </c>
      <c r="F10" s="7" t="s">
        <v>186</v>
      </c>
      <c r="G10" s="7" t="s">
        <v>13</v>
      </c>
      <c r="H10" s="7" t="s">
        <v>19</v>
      </c>
      <c r="I10" s="7" t="s">
        <v>10</v>
      </c>
    </row>
    <row r="11" spans="1:9">
      <c r="A11" s="8" t="s">
        <v>506</v>
      </c>
      <c r="B11" s="9" t="s">
        <v>28</v>
      </c>
      <c r="C11" s="9" t="s">
        <v>11</v>
      </c>
      <c r="D11" s="9" t="s">
        <v>65</v>
      </c>
      <c r="E11" s="9" t="s">
        <v>19</v>
      </c>
      <c r="F11" s="9" t="s">
        <v>186</v>
      </c>
      <c r="G11" s="9" t="s">
        <v>13</v>
      </c>
      <c r="H11" s="9" t="s">
        <v>10</v>
      </c>
      <c r="I11" s="9" t="s">
        <v>12</v>
      </c>
    </row>
    <row r="12" spans="1:9">
      <c r="A12" s="6" t="s">
        <v>505</v>
      </c>
      <c r="B12" s="7" t="s">
        <v>14</v>
      </c>
      <c r="C12" s="7" t="s">
        <v>15</v>
      </c>
      <c r="D12" s="7" t="s">
        <v>65</v>
      </c>
      <c r="E12" s="7" t="s">
        <v>28</v>
      </c>
      <c r="F12" s="7" t="s">
        <v>186</v>
      </c>
      <c r="G12" s="7" t="s">
        <v>13</v>
      </c>
      <c r="H12" s="7" t="s">
        <v>19</v>
      </c>
      <c r="I12" s="7" t="s">
        <v>10</v>
      </c>
    </row>
    <row r="13" spans="1:9">
      <c r="A13" s="8" t="s">
        <v>504</v>
      </c>
      <c r="B13" s="9" t="s">
        <v>14</v>
      </c>
      <c r="C13" s="9" t="s">
        <v>15</v>
      </c>
      <c r="D13" s="9" t="s">
        <v>65</v>
      </c>
      <c r="E13" s="9" t="s">
        <v>28</v>
      </c>
      <c r="F13" s="9" t="s">
        <v>186</v>
      </c>
      <c r="G13" s="9" t="s">
        <v>13</v>
      </c>
      <c r="H13" s="9" t="s">
        <v>19</v>
      </c>
      <c r="I13" s="9" t="s">
        <v>10</v>
      </c>
    </row>
    <row r="14" spans="1:9">
      <c r="A14" s="6" t="s">
        <v>503</v>
      </c>
      <c r="B14" s="7" t="s">
        <v>28</v>
      </c>
      <c r="C14" s="7" t="s">
        <v>11</v>
      </c>
      <c r="D14" s="7" t="s">
        <v>65</v>
      </c>
      <c r="E14" s="7" t="s">
        <v>19</v>
      </c>
      <c r="F14" s="7" t="s">
        <v>186</v>
      </c>
      <c r="G14" s="7" t="s">
        <v>13</v>
      </c>
      <c r="H14" s="7" t="s">
        <v>10</v>
      </c>
      <c r="I14" s="7" t="s">
        <v>17</v>
      </c>
    </row>
    <row r="15" spans="1:9">
      <c r="A15" s="8" t="s">
        <v>502</v>
      </c>
      <c r="B15" s="9" t="s">
        <v>28</v>
      </c>
      <c r="C15" s="9" t="s">
        <v>11</v>
      </c>
      <c r="D15" s="9" t="s">
        <v>65</v>
      </c>
      <c r="E15" s="9" t="s">
        <v>19</v>
      </c>
      <c r="F15" s="9" t="s">
        <v>186</v>
      </c>
      <c r="G15" s="9" t="s">
        <v>13</v>
      </c>
      <c r="H15" s="9" t="s">
        <v>16</v>
      </c>
      <c r="I15" s="9" t="s">
        <v>10</v>
      </c>
    </row>
    <row r="16" spans="1:9">
      <c r="A16" s="6" t="s">
        <v>501</v>
      </c>
      <c r="B16" s="7" t="s">
        <v>14</v>
      </c>
      <c r="C16" s="7" t="s">
        <v>15</v>
      </c>
      <c r="D16" s="7" t="s">
        <v>65</v>
      </c>
      <c r="E16" s="7" t="s">
        <v>28</v>
      </c>
      <c r="F16" s="7" t="s">
        <v>186</v>
      </c>
      <c r="G16" s="7" t="s">
        <v>13</v>
      </c>
      <c r="H16" s="7" t="s">
        <v>19</v>
      </c>
      <c r="I16" s="7" t="s">
        <v>10</v>
      </c>
    </row>
    <row r="17" spans="1:9">
      <c r="A17" s="8" t="s">
        <v>500</v>
      </c>
      <c r="B17" s="9" t="s">
        <v>14</v>
      </c>
      <c r="C17" s="9" t="s">
        <v>15</v>
      </c>
      <c r="D17" s="9" t="s">
        <v>65</v>
      </c>
      <c r="E17" s="9" t="s">
        <v>28</v>
      </c>
      <c r="F17" s="9" t="s">
        <v>186</v>
      </c>
      <c r="G17" s="9" t="s">
        <v>19</v>
      </c>
      <c r="H17" s="9" t="s">
        <v>10</v>
      </c>
      <c r="I17" s="9" t="s">
        <v>12</v>
      </c>
    </row>
    <row r="18" spans="1:9">
      <c r="A18" s="6" t="s">
        <v>499</v>
      </c>
      <c r="B18" s="7" t="s">
        <v>14</v>
      </c>
      <c r="C18" s="7" t="s">
        <v>15</v>
      </c>
      <c r="D18" s="7" t="s">
        <v>65</v>
      </c>
      <c r="E18" s="7" t="s">
        <v>28</v>
      </c>
      <c r="F18" s="7" t="s">
        <v>186</v>
      </c>
      <c r="G18" s="7" t="s">
        <v>13</v>
      </c>
      <c r="H18" s="7" t="s">
        <v>19</v>
      </c>
      <c r="I18" s="7" t="s">
        <v>10</v>
      </c>
    </row>
    <row r="19" spans="1:9">
      <c r="A19" s="8" t="s">
        <v>498</v>
      </c>
      <c r="B19" s="9" t="s">
        <v>14</v>
      </c>
      <c r="C19" s="9" t="s">
        <v>15</v>
      </c>
      <c r="D19" s="9" t="s">
        <v>65</v>
      </c>
      <c r="E19" s="9" t="s">
        <v>28</v>
      </c>
      <c r="F19" s="9" t="s">
        <v>186</v>
      </c>
      <c r="G19" s="9" t="s">
        <v>13</v>
      </c>
      <c r="H19" s="9" t="s">
        <v>19</v>
      </c>
      <c r="I19" s="9" t="s">
        <v>10</v>
      </c>
    </row>
    <row r="20" spans="1:9">
      <c r="A20" s="6" t="s">
        <v>497</v>
      </c>
      <c r="B20" s="7" t="s">
        <v>14</v>
      </c>
      <c r="C20" s="7" t="s">
        <v>15</v>
      </c>
      <c r="D20" s="7" t="s">
        <v>65</v>
      </c>
      <c r="E20" s="7" t="s">
        <v>28</v>
      </c>
      <c r="F20" s="7" t="s">
        <v>186</v>
      </c>
      <c r="G20" s="7" t="s">
        <v>13</v>
      </c>
      <c r="H20" s="7" t="s">
        <v>19</v>
      </c>
      <c r="I20" s="7" t="s">
        <v>10</v>
      </c>
    </row>
    <row r="21" spans="1:9">
      <c r="A21" s="8" t="s">
        <v>496</v>
      </c>
      <c r="B21" s="9" t="s">
        <v>10</v>
      </c>
      <c r="C21" s="9" t="s">
        <v>15</v>
      </c>
      <c r="D21" s="9" t="s">
        <v>65</v>
      </c>
      <c r="E21" s="9" t="s">
        <v>28</v>
      </c>
      <c r="F21" s="9" t="s">
        <v>186</v>
      </c>
      <c r="G21" s="9" t="s">
        <v>19</v>
      </c>
      <c r="H21" s="9" t="s">
        <v>12</v>
      </c>
      <c r="I21" s="9" t="s">
        <v>11</v>
      </c>
    </row>
    <row r="22" spans="1:9">
      <c r="A22" s="6" t="s">
        <v>495</v>
      </c>
      <c r="B22" s="7" t="s">
        <v>14</v>
      </c>
      <c r="C22" s="7" t="s">
        <v>15</v>
      </c>
      <c r="D22" s="7" t="s">
        <v>65</v>
      </c>
      <c r="E22" s="7" t="s">
        <v>28</v>
      </c>
      <c r="F22" s="7" t="s">
        <v>186</v>
      </c>
      <c r="G22" s="7" t="s">
        <v>13</v>
      </c>
      <c r="H22" s="7" t="s">
        <v>19</v>
      </c>
      <c r="I22" s="7" t="s">
        <v>10</v>
      </c>
    </row>
    <row r="23" spans="1:9">
      <c r="A23" s="8" t="s">
        <v>494</v>
      </c>
      <c r="B23" s="9" t="s">
        <v>14</v>
      </c>
      <c r="C23" s="9" t="s">
        <v>15</v>
      </c>
      <c r="D23" s="9" t="s">
        <v>65</v>
      </c>
      <c r="E23" s="9" t="s">
        <v>28</v>
      </c>
      <c r="F23" s="9" t="s">
        <v>186</v>
      </c>
      <c r="G23" s="9" t="s">
        <v>13</v>
      </c>
      <c r="H23" s="9" t="s">
        <v>19</v>
      </c>
      <c r="I23" s="9" t="s">
        <v>10</v>
      </c>
    </row>
    <row r="24" spans="1:9">
      <c r="A24" s="6" t="s">
        <v>493</v>
      </c>
      <c r="B24" s="7" t="s">
        <v>14</v>
      </c>
      <c r="C24" s="7" t="s">
        <v>15</v>
      </c>
      <c r="D24" s="7" t="s">
        <v>65</v>
      </c>
      <c r="E24" s="7" t="s">
        <v>28</v>
      </c>
      <c r="F24" s="7" t="s">
        <v>186</v>
      </c>
      <c r="G24" s="7" t="s">
        <v>13</v>
      </c>
      <c r="H24" s="7" t="s">
        <v>19</v>
      </c>
      <c r="I24" s="7" t="s">
        <v>10</v>
      </c>
    </row>
    <row r="25" spans="1:9">
      <c r="A25" s="8" t="s">
        <v>492</v>
      </c>
      <c r="B25" s="9" t="s">
        <v>14</v>
      </c>
      <c r="C25" s="9" t="s">
        <v>15</v>
      </c>
      <c r="D25" s="9" t="s">
        <v>65</v>
      </c>
      <c r="E25" s="9" t="s">
        <v>28</v>
      </c>
      <c r="F25" s="9" t="s">
        <v>186</v>
      </c>
      <c r="G25" s="9" t="s">
        <v>13</v>
      </c>
      <c r="H25" s="9" t="s">
        <v>19</v>
      </c>
      <c r="I25" s="9" t="s">
        <v>10</v>
      </c>
    </row>
    <row r="26" spans="1:9">
      <c r="A26" s="6" t="s">
        <v>491</v>
      </c>
      <c r="B26" s="7" t="s">
        <v>14</v>
      </c>
      <c r="C26" s="7" t="s">
        <v>15</v>
      </c>
      <c r="D26" s="7" t="s">
        <v>65</v>
      </c>
      <c r="E26" s="7" t="s">
        <v>28</v>
      </c>
      <c r="F26" s="7" t="s">
        <v>186</v>
      </c>
      <c r="G26" s="7" t="s">
        <v>13</v>
      </c>
      <c r="H26" s="7" t="s">
        <v>19</v>
      </c>
      <c r="I26" s="7" t="s">
        <v>10</v>
      </c>
    </row>
    <row r="27" spans="1:9">
      <c r="A27" s="8" t="s">
        <v>490</v>
      </c>
      <c r="B27" s="9" t="s">
        <v>14</v>
      </c>
      <c r="C27" s="9" t="s">
        <v>15</v>
      </c>
      <c r="D27" s="9" t="s">
        <v>65</v>
      </c>
      <c r="E27" s="9" t="s">
        <v>28</v>
      </c>
      <c r="F27" s="9" t="s">
        <v>186</v>
      </c>
      <c r="G27" s="9" t="s">
        <v>13</v>
      </c>
      <c r="H27" s="9" t="s">
        <v>19</v>
      </c>
      <c r="I27" s="9" t="s">
        <v>10</v>
      </c>
    </row>
    <row r="28" spans="1:9">
      <c r="A28" s="6" t="s">
        <v>489</v>
      </c>
      <c r="B28" s="7" t="s">
        <v>14</v>
      </c>
      <c r="C28" s="7" t="s">
        <v>10</v>
      </c>
      <c r="D28" s="7" t="s">
        <v>65</v>
      </c>
      <c r="E28" s="7" t="s">
        <v>28</v>
      </c>
      <c r="F28" s="7" t="s">
        <v>186</v>
      </c>
      <c r="G28" s="7" t="s">
        <v>19</v>
      </c>
      <c r="H28" s="7" t="s">
        <v>12</v>
      </c>
      <c r="I28" s="7" t="s">
        <v>17</v>
      </c>
    </row>
    <row r="29" spans="1:9">
      <c r="A29" s="8" t="s">
        <v>488</v>
      </c>
      <c r="B29" s="9" t="s">
        <v>14</v>
      </c>
      <c r="C29" s="9" t="s">
        <v>10</v>
      </c>
      <c r="D29" s="9" t="s">
        <v>65</v>
      </c>
      <c r="E29" s="9" t="s">
        <v>28</v>
      </c>
      <c r="F29" s="9" t="s">
        <v>186</v>
      </c>
      <c r="G29" s="9" t="s">
        <v>19</v>
      </c>
      <c r="H29" s="9" t="s">
        <v>16</v>
      </c>
      <c r="I29" s="9" t="s">
        <v>12</v>
      </c>
    </row>
    <row r="30" spans="1:9">
      <c r="A30" s="6" t="s">
        <v>487</v>
      </c>
      <c r="B30" s="7" t="s">
        <v>14</v>
      </c>
      <c r="C30" s="7" t="s">
        <v>11</v>
      </c>
      <c r="D30" s="7" t="s">
        <v>65</v>
      </c>
      <c r="E30" s="7" t="s">
        <v>28</v>
      </c>
      <c r="F30" s="7" t="s">
        <v>186</v>
      </c>
      <c r="G30" s="7" t="s">
        <v>19</v>
      </c>
      <c r="H30" s="7" t="s">
        <v>10</v>
      </c>
      <c r="I30" s="7" t="s">
        <v>17</v>
      </c>
    </row>
    <row r="31" spans="1:9">
      <c r="A31" s="8" t="s">
        <v>486</v>
      </c>
      <c r="B31" s="9" t="s">
        <v>14</v>
      </c>
      <c r="C31" s="9" t="s">
        <v>11</v>
      </c>
      <c r="D31" s="9" t="s">
        <v>65</v>
      </c>
      <c r="E31" s="9" t="s">
        <v>28</v>
      </c>
      <c r="F31" s="9" t="s">
        <v>186</v>
      </c>
      <c r="G31" s="9" t="s">
        <v>19</v>
      </c>
      <c r="H31" s="9" t="s">
        <v>16</v>
      </c>
      <c r="I31" s="9" t="s">
        <v>10</v>
      </c>
    </row>
    <row r="32" spans="1:9">
      <c r="A32" s="6" t="s">
        <v>485</v>
      </c>
      <c r="B32" s="7" t="s">
        <v>14</v>
      </c>
      <c r="C32" s="7" t="s">
        <v>10</v>
      </c>
      <c r="D32" s="7" t="s">
        <v>65</v>
      </c>
      <c r="E32" s="7" t="s">
        <v>28</v>
      </c>
      <c r="F32" s="7" t="s">
        <v>186</v>
      </c>
      <c r="G32" s="7" t="s">
        <v>19</v>
      </c>
      <c r="H32" s="7" t="s">
        <v>16</v>
      </c>
      <c r="I32" s="7" t="s">
        <v>17</v>
      </c>
    </row>
    <row r="33" spans="1:9">
      <c r="A33" s="8" t="s">
        <v>484</v>
      </c>
      <c r="B33" s="9" t="s">
        <v>14</v>
      </c>
      <c r="C33" s="9" t="s">
        <v>15</v>
      </c>
      <c r="D33" s="9" t="s">
        <v>65</v>
      </c>
      <c r="E33" s="9" t="s">
        <v>28</v>
      </c>
      <c r="F33" s="9" t="s">
        <v>186</v>
      </c>
      <c r="G33" s="9" t="s">
        <v>13</v>
      </c>
      <c r="H33" s="9" t="s">
        <v>19</v>
      </c>
      <c r="I33" s="9" t="s">
        <v>10</v>
      </c>
    </row>
    <row r="34" spans="1:9">
      <c r="A34" s="6" t="s">
        <v>483</v>
      </c>
      <c r="B34" s="7" t="s">
        <v>14</v>
      </c>
      <c r="C34" s="7" t="s">
        <v>15</v>
      </c>
      <c r="D34" s="7" t="s">
        <v>65</v>
      </c>
      <c r="E34" s="7" t="s">
        <v>28</v>
      </c>
      <c r="F34" s="7" t="s">
        <v>186</v>
      </c>
      <c r="G34" s="7" t="s">
        <v>13</v>
      </c>
      <c r="H34" s="7" t="s">
        <v>19</v>
      </c>
      <c r="I34" s="7" t="s">
        <v>10</v>
      </c>
    </row>
    <row r="35" spans="1:9">
      <c r="A35" s="8" t="s">
        <v>482</v>
      </c>
      <c r="B35" s="9" t="s">
        <v>14</v>
      </c>
      <c r="C35" s="9" t="s">
        <v>15</v>
      </c>
      <c r="D35" s="9" t="s">
        <v>65</v>
      </c>
      <c r="E35" s="9" t="s">
        <v>28</v>
      </c>
      <c r="F35" s="9" t="s">
        <v>186</v>
      </c>
      <c r="G35" s="9" t="s">
        <v>13</v>
      </c>
      <c r="H35" s="9" t="s">
        <v>19</v>
      </c>
      <c r="I35" s="9" t="s">
        <v>10</v>
      </c>
    </row>
    <row r="36" spans="1:9">
      <c r="A36" s="6" t="s">
        <v>481</v>
      </c>
      <c r="B36" s="7" t="s">
        <v>14</v>
      </c>
      <c r="C36" s="7" t="s">
        <v>15</v>
      </c>
      <c r="D36" s="7" t="s">
        <v>65</v>
      </c>
      <c r="E36" s="7" t="s">
        <v>28</v>
      </c>
      <c r="F36" s="7" t="s">
        <v>186</v>
      </c>
      <c r="G36" s="7" t="s">
        <v>13</v>
      </c>
      <c r="H36" s="7" t="s">
        <v>19</v>
      </c>
      <c r="I36" s="7" t="s">
        <v>10</v>
      </c>
    </row>
    <row r="37" spans="1:9">
      <c r="A37" s="8" t="s">
        <v>480</v>
      </c>
      <c r="B37" s="9" t="s">
        <v>14</v>
      </c>
      <c r="C37" s="9" t="s">
        <v>15</v>
      </c>
      <c r="D37" s="9" t="s">
        <v>65</v>
      </c>
      <c r="E37" s="9" t="s">
        <v>28</v>
      </c>
      <c r="F37" s="9" t="s">
        <v>186</v>
      </c>
      <c r="G37" s="9" t="s">
        <v>13</v>
      </c>
      <c r="H37" s="9" t="s">
        <v>19</v>
      </c>
      <c r="I37" s="9" t="s">
        <v>12</v>
      </c>
    </row>
    <row r="38" spans="1:9">
      <c r="A38" s="6" t="s">
        <v>479</v>
      </c>
      <c r="B38" s="7" t="s">
        <v>14</v>
      </c>
      <c r="C38" s="7" t="s">
        <v>15</v>
      </c>
      <c r="D38" s="7" t="s">
        <v>65</v>
      </c>
      <c r="E38" s="7" t="s">
        <v>28</v>
      </c>
      <c r="F38" s="7" t="s">
        <v>186</v>
      </c>
      <c r="G38" s="7" t="s">
        <v>13</v>
      </c>
      <c r="H38" s="7" t="s">
        <v>19</v>
      </c>
      <c r="I38" s="7" t="s">
        <v>11</v>
      </c>
    </row>
    <row r="39" spans="1:9">
      <c r="A39" s="8" t="s">
        <v>478</v>
      </c>
      <c r="B39" s="9" t="s">
        <v>14</v>
      </c>
      <c r="C39" s="9" t="s">
        <v>15</v>
      </c>
      <c r="D39" s="9" t="s">
        <v>65</v>
      </c>
      <c r="E39" s="9" t="s">
        <v>28</v>
      </c>
      <c r="F39" s="9" t="s">
        <v>186</v>
      </c>
      <c r="G39" s="9" t="s">
        <v>13</v>
      </c>
      <c r="H39" s="9" t="s">
        <v>19</v>
      </c>
      <c r="I39" s="9" t="s">
        <v>17</v>
      </c>
    </row>
    <row r="40" spans="1:9">
      <c r="A40" s="6" t="s">
        <v>477</v>
      </c>
      <c r="B40" s="7" t="s">
        <v>14</v>
      </c>
      <c r="C40" s="7" t="s">
        <v>15</v>
      </c>
      <c r="D40" s="7" t="s">
        <v>65</v>
      </c>
      <c r="E40" s="7" t="s">
        <v>28</v>
      </c>
      <c r="F40" s="7" t="s">
        <v>186</v>
      </c>
      <c r="G40" s="7" t="s">
        <v>13</v>
      </c>
      <c r="H40" s="7" t="s">
        <v>19</v>
      </c>
      <c r="I40" s="7" t="s">
        <v>16</v>
      </c>
    </row>
    <row r="41" spans="1:9">
      <c r="A41" s="8" t="s">
        <v>476</v>
      </c>
      <c r="B41" s="9" t="s">
        <v>28</v>
      </c>
      <c r="C41" s="9" t="s">
        <v>15</v>
      </c>
      <c r="D41" s="9" t="s">
        <v>65</v>
      </c>
      <c r="E41" s="9" t="s">
        <v>19</v>
      </c>
      <c r="F41" s="9" t="s">
        <v>186</v>
      </c>
      <c r="G41" s="9" t="s">
        <v>13</v>
      </c>
      <c r="H41" s="9" t="s">
        <v>12</v>
      </c>
      <c r="I41" s="9" t="s">
        <v>11</v>
      </c>
    </row>
    <row r="42" spans="1:9">
      <c r="A42" s="6" t="s">
        <v>475</v>
      </c>
      <c r="B42" s="7" t="s">
        <v>28</v>
      </c>
      <c r="C42" s="7" t="s">
        <v>15</v>
      </c>
      <c r="D42" s="7" t="s">
        <v>65</v>
      </c>
      <c r="E42" s="7" t="s">
        <v>19</v>
      </c>
      <c r="F42" s="7" t="s">
        <v>186</v>
      </c>
      <c r="G42" s="7" t="s">
        <v>13</v>
      </c>
      <c r="H42" s="7" t="s">
        <v>12</v>
      </c>
      <c r="I42" s="7" t="s">
        <v>17</v>
      </c>
    </row>
    <row r="43" spans="1:9">
      <c r="A43" s="8" t="s">
        <v>474</v>
      </c>
      <c r="B43" s="9" t="s">
        <v>28</v>
      </c>
      <c r="C43" s="9" t="s">
        <v>15</v>
      </c>
      <c r="D43" s="9" t="s">
        <v>65</v>
      </c>
      <c r="E43" s="9" t="s">
        <v>19</v>
      </c>
      <c r="F43" s="9" t="s">
        <v>186</v>
      </c>
      <c r="G43" s="9" t="s">
        <v>13</v>
      </c>
      <c r="H43" s="9" t="s">
        <v>16</v>
      </c>
      <c r="I43" s="9" t="s">
        <v>12</v>
      </c>
    </row>
    <row r="44" spans="1:9">
      <c r="A44" s="6" t="s">
        <v>473</v>
      </c>
      <c r="B44" s="7" t="s">
        <v>28</v>
      </c>
      <c r="C44" s="7" t="s">
        <v>15</v>
      </c>
      <c r="D44" s="7" t="s">
        <v>65</v>
      </c>
      <c r="E44" s="7" t="s">
        <v>19</v>
      </c>
      <c r="F44" s="7" t="s">
        <v>186</v>
      </c>
      <c r="G44" s="7" t="s">
        <v>13</v>
      </c>
      <c r="H44" s="7" t="s">
        <v>11</v>
      </c>
      <c r="I44" s="7" t="s">
        <v>17</v>
      </c>
    </row>
    <row r="45" spans="1:9">
      <c r="A45" s="8" t="s">
        <v>472</v>
      </c>
      <c r="B45" s="9" t="s">
        <v>28</v>
      </c>
      <c r="C45" s="9" t="s">
        <v>15</v>
      </c>
      <c r="D45" s="9" t="s">
        <v>65</v>
      </c>
      <c r="E45" s="9" t="s">
        <v>19</v>
      </c>
      <c r="F45" s="9" t="s">
        <v>186</v>
      </c>
      <c r="G45" s="9" t="s">
        <v>13</v>
      </c>
      <c r="H45" s="9" t="s">
        <v>16</v>
      </c>
      <c r="I45" s="9" t="s">
        <v>11</v>
      </c>
    </row>
    <row r="46" spans="1:9">
      <c r="A46" s="6" t="s">
        <v>471</v>
      </c>
      <c r="B46" s="7" t="s">
        <v>28</v>
      </c>
      <c r="C46" s="7" t="s">
        <v>15</v>
      </c>
      <c r="D46" s="7" t="s">
        <v>65</v>
      </c>
      <c r="E46" s="7" t="s">
        <v>19</v>
      </c>
      <c r="F46" s="7" t="s">
        <v>186</v>
      </c>
      <c r="G46" s="7" t="s">
        <v>13</v>
      </c>
      <c r="H46" s="7" t="s">
        <v>16</v>
      </c>
      <c r="I46" s="7" t="s">
        <v>17</v>
      </c>
    </row>
    <row r="47" spans="1:9">
      <c r="A47" s="8" t="s">
        <v>470</v>
      </c>
      <c r="B47" s="9" t="s">
        <v>14</v>
      </c>
      <c r="C47" s="9" t="s">
        <v>11</v>
      </c>
      <c r="D47" s="9" t="s">
        <v>65</v>
      </c>
      <c r="E47" s="9" t="s">
        <v>28</v>
      </c>
      <c r="F47" s="9" t="s">
        <v>186</v>
      </c>
      <c r="G47" s="9" t="s">
        <v>13</v>
      </c>
      <c r="H47" s="9" t="s">
        <v>19</v>
      </c>
      <c r="I47" s="9" t="s">
        <v>12</v>
      </c>
    </row>
    <row r="48" spans="1:9">
      <c r="A48" s="6" t="s">
        <v>469</v>
      </c>
      <c r="B48" s="7" t="s">
        <v>14</v>
      </c>
      <c r="C48" s="7" t="s">
        <v>13</v>
      </c>
      <c r="D48" s="7" t="s">
        <v>65</v>
      </c>
      <c r="E48" s="7" t="s">
        <v>28</v>
      </c>
      <c r="F48" s="7" t="s">
        <v>186</v>
      </c>
      <c r="G48" s="7" t="s">
        <v>19</v>
      </c>
      <c r="H48" s="7" t="s">
        <v>12</v>
      </c>
      <c r="I48" s="7" t="s">
        <v>17</v>
      </c>
    </row>
    <row r="49" spans="1:9">
      <c r="A49" s="8" t="s">
        <v>468</v>
      </c>
      <c r="B49" s="9" t="s">
        <v>14</v>
      </c>
      <c r="C49" s="9" t="s">
        <v>13</v>
      </c>
      <c r="D49" s="9" t="s">
        <v>65</v>
      </c>
      <c r="E49" s="9" t="s">
        <v>28</v>
      </c>
      <c r="F49" s="9" t="s">
        <v>186</v>
      </c>
      <c r="G49" s="9" t="s">
        <v>19</v>
      </c>
      <c r="H49" s="9" t="s">
        <v>16</v>
      </c>
      <c r="I49" s="9" t="s">
        <v>12</v>
      </c>
    </row>
    <row r="50" spans="1:9">
      <c r="A50" s="6" t="s">
        <v>467</v>
      </c>
      <c r="B50" s="7" t="s">
        <v>14</v>
      </c>
      <c r="C50" s="7" t="s">
        <v>11</v>
      </c>
      <c r="D50" s="7" t="s">
        <v>65</v>
      </c>
      <c r="E50" s="7" t="s">
        <v>28</v>
      </c>
      <c r="F50" s="7" t="s">
        <v>186</v>
      </c>
      <c r="G50" s="7" t="s">
        <v>13</v>
      </c>
      <c r="H50" s="7" t="s">
        <v>19</v>
      </c>
      <c r="I50" s="7" t="s">
        <v>17</v>
      </c>
    </row>
    <row r="51" spans="1:9">
      <c r="A51" s="8" t="s">
        <v>466</v>
      </c>
      <c r="B51" s="9" t="s">
        <v>14</v>
      </c>
      <c r="C51" s="9" t="s">
        <v>11</v>
      </c>
      <c r="D51" s="9" t="s">
        <v>65</v>
      </c>
      <c r="E51" s="9" t="s">
        <v>28</v>
      </c>
      <c r="F51" s="9" t="s">
        <v>186</v>
      </c>
      <c r="G51" s="9" t="s">
        <v>19</v>
      </c>
      <c r="H51" s="9" t="s">
        <v>16</v>
      </c>
      <c r="I51" s="9" t="s">
        <v>13</v>
      </c>
    </row>
    <row r="52" spans="1:9">
      <c r="A52" s="6" t="s">
        <v>465</v>
      </c>
      <c r="B52" s="7" t="s">
        <v>14</v>
      </c>
      <c r="C52" s="7" t="s">
        <v>13</v>
      </c>
      <c r="D52" s="7" t="s">
        <v>65</v>
      </c>
      <c r="E52" s="7" t="s">
        <v>28</v>
      </c>
      <c r="F52" s="7" t="s">
        <v>186</v>
      </c>
      <c r="G52" s="7" t="s">
        <v>19</v>
      </c>
      <c r="H52" s="7" t="s">
        <v>16</v>
      </c>
      <c r="I52" s="7" t="s">
        <v>17</v>
      </c>
    </row>
    <row r="53" spans="1:9">
      <c r="A53" s="8" t="s">
        <v>464</v>
      </c>
      <c r="B53" s="9" t="s">
        <v>28</v>
      </c>
      <c r="C53" s="9" t="s">
        <v>11</v>
      </c>
      <c r="D53" s="9" t="s">
        <v>65</v>
      </c>
      <c r="E53" s="9" t="s">
        <v>19</v>
      </c>
      <c r="F53" s="9" t="s">
        <v>186</v>
      </c>
      <c r="G53" s="9" t="s">
        <v>13</v>
      </c>
      <c r="H53" s="9" t="s">
        <v>12</v>
      </c>
      <c r="I53" s="9" t="s">
        <v>17</v>
      </c>
    </row>
    <row r="54" spans="1:9">
      <c r="A54" s="6" t="s">
        <v>463</v>
      </c>
      <c r="B54" s="7" t="s">
        <v>28</v>
      </c>
      <c r="C54" s="7" t="s">
        <v>11</v>
      </c>
      <c r="D54" s="7" t="s">
        <v>65</v>
      </c>
      <c r="E54" s="7" t="s">
        <v>19</v>
      </c>
      <c r="F54" s="7" t="s">
        <v>186</v>
      </c>
      <c r="G54" s="7" t="s">
        <v>13</v>
      </c>
      <c r="H54" s="7" t="s">
        <v>16</v>
      </c>
      <c r="I54" s="7" t="s">
        <v>12</v>
      </c>
    </row>
    <row r="55" spans="1:9">
      <c r="A55" s="8" t="s">
        <v>462</v>
      </c>
      <c r="B55" s="9" t="s">
        <v>28</v>
      </c>
      <c r="C55" s="9" t="s">
        <v>12</v>
      </c>
      <c r="D55" s="9" t="s">
        <v>65</v>
      </c>
      <c r="E55" s="9" t="s">
        <v>19</v>
      </c>
      <c r="F55" s="9" t="s">
        <v>186</v>
      </c>
      <c r="G55" s="9" t="s">
        <v>13</v>
      </c>
      <c r="H55" s="9" t="s">
        <v>16</v>
      </c>
      <c r="I55" s="9" t="s">
        <v>17</v>
      </c>
    </row>
    <row r="56" spans="1:9">
      <c r="A56" s="6" t="s">
        <v>461</v>
      </c>
      <c r="B56" s="7" t="s">
        <v>14</v>
      </c>
      <c r="C56" s="7" t="s">
        <v>15</v>
      </c>
      <c r="D56" s="7" t="s">
        <v>65</v>
      </c>
      <c r="E56" s="7" t="s">
        <v>28</v>
      </c>
      <c r="F56" s="7" t="s">
        <v>186</v>
      </c>
      <c r="G56" s="7" t="s">
        <v>13</v>
      </c>
      <c r="H56" s="7" t="s">
        <v>19</v>
      </c>
      <c r="I56" s="7" t="s">
        <v>10</v>
      </c>
    </row>
    <row r="57" spans="1:9">
      <c r="A57" s="8" t="s">
        <v>460</v>
      </c>
      <c r="B57" s="9" t="s">
        <v>14</v>
      </c>
      <c r="C57" s="9" t="s">
        <v>15</v>
      </c>
      <c r="D57" s="9" t="s">
        <v>65</v>
      </c>
      <c r="E57" s="9" t="s">
        <v>28</v>
      </c>
      <c r="F57" s="9" t="s">
        <v>186</v>
      </c>
      <c r="G57" s="9" t="s">
        <v>19</v>
      </c>
      <c r="H57" s="9" t="s">
        <v>12</v>
      </c>
      <c r="I57" s="9" t="s">
        <v>11</v>
      </c>
    </row>
    <row r="58" spans="1:9">
      <c r="A58" s="6" t="s">
        <v>459</v>
      </c>
      <c r="B58" s="7" t="s">
        <v>14</v>
      </c>
      <c r="C58" s="7" t="s">
        <v>15</v>
      </c>
      <c r="D58" s="7" t="s">
        <v>65</v>
      </c>
      <c r="E58" s="7" t="s">
        <v>28</v>
      </c>
      <c r="F58" s="7" t="s">
        <v>186</v>
      </c>
      <c r="G58" s="7" t="s">
        <v>19</v>
      </c>
      <c r="H58" s="7" t="s">
        <v>12</v>
      </c>
      <c r="I58" s="7" t="s">
        <v>17</v>
      </c>
    </row>
    <row r="59" spans="1:9">
      <c r="A59" s="8" t="s">
        <v>458</v>
      </c>
      <c r="B59" s="9" t="s">
        <v>14</v>
      </c>
      <c r="C59" s="9" t="s">
        <v>15</v>
      </c>
      <c r="D59" s="9" t="s">
        <v>65</v>
      </c>
      <c r="E59" s="9" t="s">
        <v>28</v>
      </c>
      <c r="F59" s="9" t="s">
        <v>186</v>
      </c>
      <c r="G59" s="9" t="s">
        <v>19</v>
      </c>
      <c r="H59" s="9" t="s">
        <v>16</v>
      </c>
      <c r="I59" s="9" t="s">
        <v>12</v>
      </c>
    </row>
    <row r="60" spans="1:9">
      <c r="A60" s="6" t="s">
        <v>457</v>
      </c>
      <c r="B60" s="7" t="s">
        <v>14</v>
      </c>
      <c r="C60" s="7" t="s">
        <v>15</v>
      </c>
      <c r="D60" s="7" t="s">
        <v>65</v>
      </c>
      <c r="E60" s="7" t="s">
        <v>28</v>
      </c>
      <c r="F60" s="7" t="s">
        <v>186</v>
      </c>
      <c r="G60" s="7" t="s">
        <v>19</v>
      </c>
      <c r="H60" s="7" t="s">
        <v>11</v>
      </c>
      <c r="I60" s="7" t="s">
        <v>17</v>
      </c>
    </row>
    <row r="61" spans="1:9">
      <c r="A61" s="8" t="s">
        <v>456</v>
      </c>
      <c r="B61" s="9" t="s">
        <v>14</v>
      </c>
      <c r="C61" s="9" t="s">
        <v>15</v>
      </c>
      <c r="D61" s="9" t="s">
        <v>65</v>
      </c>
      <c r="E61" s="9" t="s">
        <v>28</v>
      </c>
      <c r="F61" s="9" t="s">
        <v>186</v>
      </c>
      <c r="G61" s="9" t="s">
        <v>19</v>
      </c>
      <c r="H61" s="9" t="s">
        <v>16</v>
      </c>
      <c r="I61" s="9" t="s">
        <v>11</v>
      </c>
    </row>
    <row r="62" spans="1:9">
      <c r="A62" s="6" t="s">
        <v>455</v>
      </c>
      <c r="B62" s="7" t="s">
        <v>14</v>
      </c>
      <c r="C62" s="7" t="s">
        <v>15</v>
      </c>
      <c r="D62" s="7" t="s">
        <v>65</v>
      </c>
      <c r="E62" s="7" t="s">
        <v>28</v>
      </c>
      <c r="F62" s="7" t="s">
        <v>186</v>
      </c>
      <c r="G62" s="7" t="s">
        <v>19</v>
      </c>
      <c r="H62" s="7" t="s">
        <v>16</v>
      </c>
      <c r="I62" s="7" t="s">
        <v>17</v>
      </c>
    </row>
    <row r="63" spans="1:9">
      <c r="A63" s="8" t="s">
        <v>454</v>
      </c>
      <c r="B63" s="9" t="s">
        <v>14</v>
      </c>
      <c r="C63" s="9" t="s">
        <v>15</v>
      </c>
      <c r="D63" s="9" t="s">
        <v>65</v>
      </c>
      <c r="E63" s="9" t="s">
        <v>28</v>
      </c>
      <c r="F63" s="9" t="s">
        <v>186</v>
      </c>
      <c r="G63" s="9" t="s">
        <v>13</v>
      </c>
      <c r="H63" s="9" t="s">
        <v>19</v>
      </c>
      <c r="I63" s="9" t="s">
        <v>10</v>
      </c>
    </row>
    <row r="64" spans="1:9">
      <c r="A64" s="6" t="s">
        <v>453</v>
      </c>
      <c r="B64" s="7" t="s">
        <v>14</v>
      </c>
      <c r="C64" s="7" t="s">
        <v>15</v>
      </c>
      <c r="D64" s="7" t="s">
        <v>65</v>
      </c>
      <c r="E64" s="7" t="s">
        <v>28</v>
      </c>
      <c r="F64" s="7" t="s">
        <v>186</v>
      </c>
      <c r="G64" s="7" t="s">
        <v>13</v>
      </c>
      <c r="H64" s="7" t="s">
        <v>19</v>
      </c>
      <c r="I64" s="7" t="s">
        <v>10</v>
      </c>
    </row>
    <row r="65" spans="1:9">
      <c r="A65" s="8" t="s">
        <v>452</v>
      </c>
      <c r="B65" s="9" t="s">
        <v>12</v>
      </c>
      <c r="C65" s="9" t="s">
        <v>15</v>
      </c>
      <c r="D65" s="9" t="s">
        <v>65</v>
      </c>
      <c r="E65" s="9" t="s">
        <v>28</v>
      </c>
      <c r="F65" s="9" t="s">
        <v>186</v>
      </c>
      <c r="G65" s="9" t="s">
        <v>19</v>
      </c>
      <c r="H65" s="9" t="s">
        <v>16</v>
      </c>
      <c r="I65" s="9" t="s">
        <v>17</v>
      </c>
    </row>
    <row r="66" spans="1:9">
      <c r="A66" s="6" t="s">
        <v>451</v>
      </c>
      <c r="B66" s="7" t="s">
        <v>28</v>
      </c>
      <c r="C66" s="7" t="s">
        <v>11</v>
      </c>
      <c r="D66" s="7" t="s">
        <v>65</v>
      </c>
      <c r="E66" s="7" t="s">
        <v>19</v>
      </c>
      <c r="F66" s="7" t="s">
        <v>186</v>
      </c>
      <c r="G66" s="7" t="s">
        <v>15</v>
      </c>
      <c r="H66" s="7" t="s">
        <v>16</v>
      </c>
      <c r="I66" s="7" t="s">
        <v>17</v>
      </c>
    </row>
    <row r="67" spans="1:9">
      <c r="A67" s="8" t="s">
        <v>450</v>
      </c>
      <c r="B67" s="9" t="s">
        <v>14</v>
      </c>
      <c r="C67" s="9" t="s">
        <v>11</v>
      </c>
      <c r="D67" s="9" t="s">
        <v>65</v>
      </c>
      <c r="E67" s="9" t="s">
        <v>28</v>
      </c>
      <c r="F67" s="9" t="s">
        <v>186</v>
      </c>
      <c r="G67" s="9" t="s">
        <v>19</v>
      </c>
      <c r="H67" s="9" t="s">
        <v>12</v>
      </c>
      <c r="I67" s="9" t="s">
        <v>17</v>
      </c>
    </row>
    <row r="68" spans="1:9">
      <c r="A68" s="6" t="s">
        <v>449</v>
      </c>
      <c r="B68" s="7" t="s">
        <v>12</v>
      </c>
      <c r="C68" s="7" t="s">
        <v>11</v>
      </c>
      <c r="D68" s="7" t="s">
        <v>65</v>
      </c>
      <c r="E68" s="7" t="s">
        <v>28</v>
      </c>
      <c r="F68" s="7" t="s">
        <v>186</v>
      </c>
      <c r="G68" s="7" t="s">
        <v>19</v>
      </c>
      <c r="H68" s="7" t="s">
        <v>16</v>
      </c>
      <c r="I68" s="7" t="s">
        <v>17</v>
      </c>
    </row>
    <row r="69" spans="1:9">
      <c r="A69" s="8" t="s">
        <v>448</v>
      </c>
      <c r="B69" s="9" t="s">
        <v>14</v>
      </c>
      <c r="C69" s="9" t="s">
        <v>12</v>
      </c>
      <c r="D69" s="9" t="s">
        <v>65</v>
      </c>
      <c r="E69" s="9" t="s">
        <v>28</v>
      </c>
      <c r="F69" s="9" t="s">
        <v>186</v>
      </c>
      <c r="G69" s="9" t="s">
        <v>19</v>
      </c>
      <c r="H69" s="9" t="s">
        <v>16</v>
      </c>
      <c r="I69" s="9" t="s">
        <v>17</v>
      </c>
    </row>
    <row r="70" spans="1:9">
      <c r="A70" s="6" t="s">
        <v>447</v>
      </c>
      <c r="B70" s="7" t="s">
        <v>14</v>
      </c>
      <c r="C70" s="7" t="s">
        <v>11</v>
      </c>
      <c r="D70" s="7" t="s">
        <v>65</v>
      </c>
      <c r="E70" s="7" t="s">
        <v>28</v>
      </c>
      <c r="F70" s="7" t="s">
        <v>186</v>
      </c>
      <c r="G70" s="7" t="s">
        <v>19</v>
      </c>
      <c r="H70" s="7" t="s">
        <v>16</v>
      </c>
      <c r="I70" s="7" t="s">
        <v>17</v>
      </c>
    </row>
    <row r="71" spans="1:9">
      <c r="A71" s="8" t="s">
        <v>446</v>
      </c>
      <c r="B71" s="9" t="s">
        <v>14</v>
      </c>
      <c r="C71" s="9" t="s">
        <v>15</v>
      </c>
      <c r="D71" s="9" t="s">
        <v>65</v>
      </c>
      <c r="E71" s="9" t="s">
        <v>28</v>
      </c>
      <c r="F71" s="9" t="s">
        <v>186</v>
      </c>
      <c r="G71" s="9" t="s">
        <v>13</v>
      </c>
      <c r="H71" s="9" t="s">
        <v>19</v>
      </c>
      <c r="I71" s="9" t="s">
        <v>10</v>
      </c>
    </row>
    <row r="72" spans="1:9">
      <c r="A72" s="6" t="s">
        <v>445</v>
      </c>
      <c r="B72" s="7" t="s">
        <v>14</v>
      </c>
      <c r="C72" s="7" t="s">
        <v>15</v>
      </c>
      <c r="D72" s="7" t="s">
        <v>65</v>
      </c>
      <c r="E72" s="7" t="s">
        <v>28</v>
      </c>
      <c r="F72" s="7" t="s">
        <v>186</v>
      </c>
      <c r="G72" s="7" t="s">
        <v>13</v>
      </c>
      <c r="H72" s="7" t="s">
        <v>10</v>
      </c>
      <c r="I72" s="7" t="s">
        <v>12</v>
      </c>
    </row>
    <row r="73" spans="1:9">
      <c r="A73" s="8" t="s">
        <v>444</v>
      </c>
      <c r="B73" s="9" t="s">
        <v>14</v>
      </c>
      <c r="C73" s="9" t="s">
        <v>15</v>
      </c>
      <c r="D73" s="9" t="s">
        <v>65</v>
      </c>
      <c r="E73" s="9" t="s">
        <v>28</v>
      </c>
      <c r="F73" s="9" t="s">
        <v>186</v>
      </c>
      <c r="G73" s="9" t="s">
        <v>13</v>
      </c>
      <c r="H73" s="9" t="s">
        <v>10</v>
      </c>
      <c r="I73" s="9" t="s">
        <v>11</v>
      </c>
    </row>
    <row r="74" spans="1:9">
      <c r="A74" s="6" t="s">
        <v>443</v>
      </c>
      <c r="B74" s="7" t="s">
        <v>14</v>
      </c>
      <c r="C74" s="7" t="s">
        <v>15</v>
      </c>
      <c r="D74" s="7" t="s">
        <v>65</v>
      </c>
      <c r="E74" s="7" t="s">
        <v>28</v>
      </c>
      <c r="F74" s="7" t="s">
        <v>186</v>
      </c>
      <c r="G74" s="7" t="s">
        <v>13</v>
      </c>
      <c r="H74" s="7" t="s">
        <v>10</v>
      </c>
      <c r="I74" s="7" t="s">
        <v>17</v>
      </c>
    </row>
    <row r="75" spans="1:9">
      <c r="A75" s="8" t="s">
        <v>442</v>
      </c>
      <c r="B75" s="9" t="s">
        <v>14</v>
      </c>
      <c r="C75" s="9" t="s">
        <v>15</v>
      </c>
      <c r="D75" s="9" t="s">
        <v>65</v>
      </c>
      <c r="E75" s="9" t="s">
        <v>28</v>
      </c>
      <c r="F75" s="9" t="s">
        <v>186</v>
      </c>
      <c r="G75" s="9" t="s">
        <v>13</v>
      </c>
      <c r="H75" s="9" t="s">
        <v>16</v>
      </c>
      <c r="I75" s="9" t="s">
        <v>10</v>
      </c>
    </row>
    <row r="76" spans="1:9">
      <c r="A76" s="6" t="s">
        <v>441</v>
      </c>
      <c r="B76" s="7" t="s">
        <v>28</v>
      </c>
      <c r="C76" s="7" t="s">
        <v>15</v>
      </c>
      <c r="D76" s="7" t="s">
        <v>65</v>
      </c>
      <c r="E76" s="7" t="s">
        <v>10</v>
      </c>
      <c r="F76" s="7" t="s">
        <v>186</v>
      </c>
      <c r="G76" s="7" t="s">
        <v>13</v>
      </c>
      <c r="H76" s="7" t="s">
        <v>12</v>
      </c>
      <c r="I76" s="7" t="s">
        <v>11</v>
      </c>
    </row>
    <row r="77" spans="1:9">
      <c r="A77" s="8" t="s">
        <v>440</v>
      </c>
      <c r="B77" s="9" t="s">
        <v>28</v>
      </c>
      <c r="C77" s="9" t="s">
        <v>15</v>
      </c>
      <c r="D77" s="9" t="s">
        <v>65</v>
      </c>
      <c r="E77" s="9" t="s">
        <v>10</v>
      </c>
      <c r="F77" s="9" t="s">
        <v>186</v>
      </c>
      <c r="G77" s="9" t="s">
        <v>13</v>
      </c>
      <c r="H77" s="9" t="s">
        <v>12</v>
      </c>
      <c r="I77" s="9" t="s">
        <v>17</v>
      </c>
    </row>
    <row r="78" spans="1:9">
      <c r="A78" s="6" t="s">
        <v>439</v>
      </c>
      <c r="B78" s="7" t="s">
        <v>28</v>
      </c>
      <c r="C78" s="7" t="s">
        <v>15</v>
      </c>
      <c r="D78" s="7" t="s">
        <v>65</v>
      </c>
      <c r="E78" s="7" t="s">
        <v>10</v>
      </c>
      <c r="F78" s="7" t="s">
        <v>186</v>
      </c>
      <c r="G78" s="7" t="s">
        <v>13</v>
      </c>
      <c r="H78" s="7" t="s">
        <v>16</v>
      </c>
      <c r="I78" s="7" t="s">
        <v>12</v>
      </c>
    </row>
    <row r="79" spans="1:9">
      <c r="A79" s="8" t="s">
        <v>438</v>
      </c>
      <c r="B79" s="9" t="s">
        <v>28</v>
      </c>
      <c r="C79" s="9" t="s">
        <v>15</v>
      </c>
      <c r="D79" s="9" t="s">
        <v>65</v>
      </c>
      <c r="E79" s="9" t="s">
        <v>10</v>
      </c>
      <c r="F79" s="9" t="s">
        <v>186</v>
      </c>
      <c r="G79" s="9" t="s">
        <v>13</v>
      </c>
      <c r="H79" s="9" t="s">
        <v>11</v>
      </c>
      <c r="I79" s="9" t="s">
        <v>17</v>
      </c>
    </row>
    <row r="80" spans="1:9">
      <c r="A80" s="6" t="s">
        <v>437</v>
      </c>
      <c r="B80" s="7" t="s">
        <v>28</v>
      </c>
      <c r="C80" s="7" t="s">
        <v>15</v>
      </c>
      <c r="D80" s="7" t="s">
        <v>65</v>
      </c>
      <c r="E80" s="7" t="s">
        <v>10</v>
      </c>
      <c r="F80" s="7" t="s">
        <v>186</v>
      </c>
      <c r="G80" s="7" t="s">
        <v>13</v>
      </c>
      <c r="H80" s="7" t="s">
        <v>16</v>
      </c>
      <c r="I80" s="7" t="s">
        <v>11</v>
      </c>
    </row>
    <row r="81" spans="1:9">
      <c r="A81" s="8" t="s">
        <v>436</v>
      </c>
      <c r="B81" s="9" t="s">
        <v>28</v>
      </c>
      <c r="C81" s="9" t="s">
        <v>15</v>
      </c>
      <c r="D81" s="9" t="s">
        <v>65</v>
      </c>
      <c r="E81" s="9" t="s">
        <v>10</v>
      </c>
      <c r="F81" s="9" t="s">
        <v>186</v>
      </c>
      <c r="G81" s="9" t="s">
        <v>13</v>
      </c>
      <c r="H81" s="9" t="s">
        <v>16</v>
      </c>
      <c r="I81" s="9" t="s">
        <v>17</v>
      </c>
    </row>
    <row r="82" spans="1:9">
      <c r="A82" s="6" t="s">
        <v>435</v>
      </c>
      <c r="B82" s="7" t="s">
        <v>14</v>
      </c>
      <c r="C82" s="7" t="s">
        <v>11</v>
      </c>
      <c r="D82" s="7" t="s">
        <v>65</v>
      </c>
      <c r="E82" s="7" t="s">
        <v>28</v>
      </c>
      <c r="F82" s="7" t="s">
        <v>186</v>
      </c>
      <c r="G82" s="7" t="s">
        <v>13</v>
      </c>
      <c r="H82" s="7" t="s">
        <v>10</v>
      </c>
      <c r="I82" s="7" t="s">
        <v>12</v>
      </c>
    </row>
    <row r="83" spans="1:9">
      <c r="A83" s="8" t="s">
        <v>434</v>
      </c>
      <c r="B83" s="9" t="s">
        <v>14</v>
      </c>
      <c r="C83" s="9" t="s">
        <v>10</v>
      </c>
      <c r="D83" s="9" t="s">
        <v>65</v>
      </c>
      <c r="E83" s="9" t="s">
        <v>28</v>
      </c>
      <c r="F83" s="9" t="s">
        <v>186</v>
      </c>
      <c r="G83" s="9" t="s">
        <v>13</v>
      </c>
      <c r="H83" s="9" t="s">
        <v>12</v>
      </c>
      <c r="I83" s="9" t="s">
        <v>17</v>
      </c>
    </row>
    <row r="84" spans="1:9">
      <c r="A84" s="6" t="s">
        <v>433</v>
      </c>
      <c r="B84" s="7" t="s">
        <v>14</v>
      </c>
      <c r="C84" s="7" t="s">
        <v>10</v>
      </c>
      <c r="D84" s="7" t="s">
        <v>65</v>
      </c>
      <c r="E84" s="7" t="s">
        <v>28</v>
      </c>
      <c r="F84" s="7" t="s">
        <v>186</v>
      </c>
      <c r="G84" s="7" t="s">
        <v>13</v>
      </c>
      <c r="H84" s="7" t="s">
        <v>16</v>
      </c>
      <c r="I84" s="7" t="s">
        <v>12</v>
      </c>
    </row>
    <row r="85" spans="1:9">
      <c r="A85" s="8" t="s">
        <v>432</v>
      </c>
      <c r="B85" s="9" t="s">
        <v>14</v>
      </c>
      <c r="C85" s="9" t="s">
        <v>11</v>
      </c>
      <c r="D85" s="9" t="s">
        <v>65</v>
      </c>
      <c r="E85" s="9" t="s">
        <v>28</v>
      </c>
      <c r="F85" s="9" t="s">
        <v>186</v>
      </c>
      <c r="G85" s="9" t="s">
        <v>13</v>
      </c>
      <c r="H85" s="9" t="s">
        <v>10</v>
      </c>
      <c r="I85" s="9" t="s">
        <v>17</v>
      </c>
    </row>
    <row r="86" spans="1:9">
      <c r="A86" s="6" t="s">
        <v>431</v>
      </c>
      <c r="B86" s="7" t="s">
        <v>14</v>
      </c>
      <c r="C86" s="7" t="s">
        <v>11</v>
      </c>
      <c r="D86" s="7" t="s">
        <v>65</v>
      </c>
      <c r="E86" s="7" t="s">
        <v>28</v>
      </c>
      <c r="F86" s="7" t="s">
        <v>186</v>
      </c>
      <c r="G86" s="7" t="s">
        <v>13</v>
      </c>
      <c r="H86" s="7" t="s">
        <v>16</v>
      </c>
      <c r="I86" s="7" t="s">
        <v>10</v>
      </c>
    </row>
    <row r="87" spans="1:9">
      <c r="A87" s="8" t="s">
        <v>430</v>
      </c>
      <c r="B87" s="9" t="s">
        <v>14</v>
      </c>
      <c r="C87" s="9" t="s">
        <v>10</v>
      </c>
      <c r="D87" s="9" t="s">
        <v>65</v>
      </c>
      <c r="E87" s="9" t="s">
        <v>28</v>
      </c>
      <c r="F87" s="9" t="s">
        <v>186</v>
      </c>
      <c r="G87" s="9" t="s">
        <v>13</v>
      </c>
      <c r="H87" s="9" t="s">
        <v>16</v>
      </c>
      <c r="I87" s="9" t="s">
        <v>17</v>
      </c>
    </row>
    <row r="88" spans="1:9">
      <c r="A88" s="6" t="s">
        <v>429</v>
      </c>
      <c r="B88" s="7" t="s">
        <v>28</v>
      </c>
      <c r="C88" s="7" t="s">
        <v>11</v>
      </c>
      <c r="D88" s="7" t="s">
        <v>65</v>
      </c>
      <c r="E88" s="7" t="s">
        <v>10</v>
      </c>
      <c r="F88" s="7" t="s">
        <v>186</v>
      </c>
      <c r="G88" s="7" t="s">
        <v>13</v>
      </c>
      <c r="H88" s="7" t="s">
        <v>12</v>
      </c>
      <c r="I88" s="7" t="s">
        <v>17</v>
      </c>
    </row>
    <row r="89" spans="1:9">
      <c r="A89" s="8" t="s">
        <v>428</v>
      </c>
      <c r="B89" s="9" t="s">
        <v>28</v>
      </c>
      <c r="C89" s="9" t="s">
        <v>11</v>
      </c>
      <c r="D89" s="9" t="s">
        <v>65</v>
      </c>
      <c r="E89" s="9" t="s">
        <v>10</v>
      </c>
      <c r="F89" s="9" t="s">
        <v>186</v>
      </c>
      <c r="G89" s="9" t="s">
        <v>13</v>
      </c>
      <c r="H89" s="9" t="s">
        <v>16</v>
      </c>
      <c r="I89" s="9" t="s">
        <v>12</v>
      </c>
    </row>
    <row r="90" spans="1:9">
      <c r="A90" s="6" t="s">
        <v>427</v>
      </c>
      <c r="B90" s="7" t="s">
        <v>14</v>
      </c>
      <c r="C90" s="7" t="s">
        <v>15</v>
      </c>
      <c r="D90" s="7" t="s">
        <v>65</v>
      </c>
      <c r="E90" s="7" t="s">
        <v>28</v>
      </c>
      <c r="F90" s="7" t="s">
        <v>186</v>
      </c>
      <c r="G90" s="7" t="s">
        <v>13</v>
      </c>
      <c r="H90" s="7" t="s">
        <v>19</v>
      </c>
      <c r="I90" s="7" t="s">
        <v>10</v>
      </c>
    </row>
    <row r="91" spans="1:9">
      <c r="A91" s="8" t="s">
        <v>426</v>
      </c>
      <c r="B91" s="9" t="s">
        <v>28</v>
      </c>
      <c r="C91" s="9" t="s">
        <v>11</v>
      </c>
      <c r="D91" s="9" t="s">
        <v>65</v>
      </c>
      <c r="E91" s="9" t="s">
        <v>10</v>
      </c>
      <c r="F91" s="9" t="s">
        <v>186</v>
      </c>
      <c r="G91" s="9" t="s">
        <v>13</v>
      </c>
      <c r="H91" s="9" t="s">
        <v>16</v>
      </c>
      <c r="I91" s="9" t="s">
        <v>17</v>
      </c>
    </row>
    <row r="92" spans="1:9">
      <c r="A92" s="6" t="s">
        <v>425</v>
      </c>
      <c r="B92" s="7" t="s">
        <v>14</v>
      </c>
      <c r="C92" s="7" t="s">
        <v>11</v>
      </c>
      <c r="D92" s="7" t="s">
        <v>65</v>
      </c>
      <c r="E92" s="7" t="s">
        <v>28</v>
      </c>
      <c r="F92" s="7" t="s">
        <v>186</v>
      </c>
      <c r="G92" s="7" t="s">
        <v>15</v>
      </c>
      <c r="H92" s="7" t="s">
        <v>10</v>
      </c>
      <c r="I92" s="7" t="s">
        <v>12</v>
      </c>
    </row>
    <row r="93" spans="1:9">
      <c r="A93" s="8" t="s">
        <v>424</v>
      </c>
      <c r="B93" s="9" t="s">
        <v>10</v>
      </c>
      <c r="C93" s="9" t="s">
        <v>15</v>
      </c>
      <c r="D93" s="9" t="s">
        <v>65</v>
      </c>
      <c r="E93" s="9" t="s">
        <v>28</v>
      </c>
      <c r="F93" s="9" t="s">
        <v>186</v>
      </c>
      <c r="G93" s="9" t="s">
        <v>14</v>
      </c>
      <c r="H93" s="9" t="s">
        <v>12</v>
      </c>
      <c r="I93" s="9" t="s">
        <v>17</v>
      </c>
    </row>
    <row r="94" spans="1:9">
      <c r="A94" s="6" t="s">
        <v>423</v>
      </c>
      <c r="B94" s="7" t="s">
        <v>10</v>
      </c>
      <c r="C94" s="7" t="s">
        <v>15</v>
      </c>
      <c r="D94" s="7" t="s">
        <v>65</v>
      </c>
      <c r="E94" s="7" t="s">
        <v>28</v>
      </c>
      <c r="F94" s="7" t="s">
        <v>186</v>
      </c>
      <c r="G94" s="7" t="s">
        <v>14</v>
      </c>
      <c r="H94" s="7" t="s">
        <v>16</v>
      </c>
      <c r="I94" s="7" t="s">
        <v>12</v>
      </c>
    </row>
    <row r="95" spans="1:9">
      <c r="A95" s="8" t="s">
        <v>422</v>
      </c>
      <c r="B95" s="9" t="s">
        <v>14</v>
      </c>
      <c r="C95" s="9" t="s">
        <v>11</v>
      </c>
      <c r="D95" s="9" t="s">
        <v>65</v>
      </c>
      <c r="E95" s="9" t="s">
        <v>28</v>
      </c>
      <c r="F95" s="9" t="s">
        <v>186</v>
      </c>
      <c r="G95" s="9" t="s">
        <v>15</v>
      </c>
      <c r="H95" s="9" t="s">
        <v>10</v>
      </c>
      <c r="I95" s="9" t="s">
        <v>17</v>
      </c>
    </row>
    <row r="96" spans="1:9">
      <c r="A96" s="6" t="s">
        <v>421</v>
      </c>
      <c r="B96" s="7" t="s">
        <v>14</v>
      </c>
      <c r="C96" s="7" t="s">
        <v>11</v>
      </c>
      <c r="D96" s="7" t="s">
        <v>65</v>
      </c>
      <c r="E96" s="7" t="s">
        <v>28</v>
      </c>
      <c r="F96" s="7" t="s">
        <v>186</v>
      </c>
      <c r="G96" s="7" t="s">
        <v>15</v>
      </c>
      <c r="H96" s="7" t="s">
        <v>16</v>
      </c>
      <c r="I96" s="7" t="s">
        <v>10</v>
      </c>
    </row>
    <row r="97" spans="1:9">
      <c r="A97" s="8" t="s">
        <v>420</v>
      </c>
      <c r="B97" s="9" t="s">
        <v>10</v>
      </c>
      <c r="C97" s="9" t="s">
        <v>15</v>
      </c>
      <c r="D97" s="9" t="s">
        <v>65</v>
      </c>
      <c r="E97" s="9" t="s">
        <v>28</v>
      </c>
      <c r="F97" s="9" t="s">
        <v>186</v>
      </c>
      <c r="G97" s="9" t="s">
        <v>14</v>
      </c>
      <c r="H97" s="9" t="s">
        <v>16</v>
      </c>
      <c r="I97" s="9" t="s">
        <v>17</v>
      </c>
    </row>
    <row r="98" spans="1:9">
      <c r="A98" s="6" t="s">
        <v>419</v>
      </c>
      <c r="B98" s="7" t="s">
        <v>10</v>
      </c>
      <c r="C98" s="7" t="s">
        <v>11</v>
      </c>
      <c r="D98" s="7" t="s">
        <v>65</v>
      </c>
      <c r="E98" s="7" t="s">
        <v>28</v>
      </c>
      <c r="F98" s="7" t="s">
        <v>186</v>
      </c>
      <c r="G98" s="7" t="s">
        <v>15</v>
      </c>
      <c r="H98" s="7" t="s">
        <v>12</v>
      </c>
      <c r="I98" s="7" t="s">
        <v>17</v>
      </c>
    </row>
    <row r="99" spans="1:9">
      <c r="A99" s="8" t="s">
        <v>418</v>
      </c>
      <c r="B99" s="9" t="s">
        <v>10</v>
      </c>
      <c r="C99" s="9" t="s">
        <v>11</v>
      </c>
      <c r="D99" s="9" t="s">
        <v>65</v>
      </c>
      <c r="E99" s="9" t="s">
        <v>28</v>
      </c>
      <c r="F99" s="9" t="s">
        <v>186</v>
      </c>
      <c r="G99" s="9" t="s">
        <v>15</v>
      </c>
      <c r="H99" s="9" t="s">
        <v>16</v>
      </c>
      <c r="I99" s="9" t="s">
        <v>12</v>
      </c>
    </row>
    <row r="100" spans="1:9">
      <c r="A100" s="6" t="s">
        <v>417</v>
      </c>
      <c r="B100" s="7" t="s">
        <v>10</v>
      </c>
      <c r="C100" s="7" t="s">
        <v>15</v>
      </c>
      <c r="D100" s="7" t="s">
        <v>65</v>
      </c>
      <c r="E100" s="7" t="s">
        <v>28</v>
      </c>
      <c r="F100" s="7" t="s">
        <v>186</v>
      </c>
      <c r="G100" s="7" t="s">
        <v>14</v>
      </c>
      <c r="H100" s="7" t="s">
        <v>16</v>
      </c>
      <c r="I100" s="7" t="s">
        <v>17</v>
      </c>
    </row>
    <row r="101" spans="1:9">
      <c r="A101" s="8" t="s">
        <v>416</v>
      </c>
      <c r="B101" s="9" t="s">
        <v>10</v>
      </c>
      <c r="C101" s="9" t="s">
        <v>11</v>
      </c>
      <c r="D101" s="9" t="s">
        <v>65</v>
      </c>
      <c r="E101" s="9" t="s">
        <v>28</v>
      </c>
      <c r="F101" s="9" t="s">
        <v>186</v>
      </c>
      <c r="G101" s="9" t="s">
        <v>15</v>
      </c>
      <c r="H101" s="9" t="s">
        <v>16</v>
      </c>
      <c r="I101" s="9" t="s">
        <v>17</v>
      </c>
    </row>
    <row r="102" spans="1:9">
      <c r="A102" s="6" t="s">
        <v>415</v>
      </c>
      <c r="B102" s="7" t="s">
        <v>14</v>
      </c>
      <c r="C102" s="7" t="s">
        <v>11</v>
      </c>
      <c r="D102" s="7" t="s">
        <v>65</v>
      </c>
      <c r="E102" s="7" t="s">
        <v>28</v>
      </c>
      <c r="F102" s="7" t="s">
        <v>186</v>
      </c>
      <c r="G102" s="7" t="s">
        <v>10</v>
      </c>
      <c r="H102" s="7" t="s">
        <v>12</v>
      </c>
      <c r="I102" s="7" t="s">
        <v>17</v>
      </c>
    </row>
    <row r="103" spans="1:9">
      <c r="A103" s="8" t="s">
        <v>414</v>
      </c>
      <c r="B103" s="9" t="s">
        <v>10</v>
      </c>
      <c r="C103" s="9" t="s">
        <v>11</v>
      </c>
      <c r="D103" s="9" t="s">
        <v>65</v>
      </c>
      <c r="E103" s="9" t="s">
        <v>28</v>
      </c>
      <c r="F103" s="9" t="s">
        <v>186</v>
      </c>
      <c r="G103" s="9" t="s">
        <v>14</v>
      </c>
      <c r="H103" s="9" t="s">
        <v>16</v>
      </c>
      <c r="I103" s="9" t="s">
        <v>17</v>
      </c>
    </row>
    <row r="104" spans="1:9">
      <c r="A104" s="6" t="s">
        <v>413</v>
      </c>
      <c r="B104" s="7" t="s">
        <v>14</v>
      </c>
      <c r="C104" s="7" t="s">
        <v>12</v>
      </c>
      <c r="D104" s="7" t="s">
        <v>65</v>
      </c>
      <c r="E104" s="7" t="s">
        <v>28</v>
      </c>
      <c r="F104" s="7" t="s">
        <v>186</v>
      </c>
      <c r="G104" s="7" t="s">
        <v>10</v>
      </c>
      <c r="H104" s="7" t="s">
        <v>16</v>
      </c>
      <c r="I104" s="7" t="s">
        <v>17</v>
      </c>
    </row>
    <row r="105" spans="1:9">
      <c r="A105" s="8" t="s">
        <v>412</v>
      </c>
      <c r="B105" s="9" t="s">
        <v>14</v>
      </c>
      <c r="C105" s="9" t="s">
        <v>11</v>
      </c>
      <c r="D105" s="9" t="s">
        <v>65</v>
      </c>
      <c r="E105" s="9" t="s">
        <v>28</v>
      </c>
      <c r="F105" s="9" t="s">
        <v>186</v>
      </c>
      <c r="G105" s="9" t="s">
        <v>10</v>
      </c>
      <c r="H105" s="9" t="s">
        <v>16</v>
      </c>
      <c r="I105" s="9" t="s">
        <v>17</v>
      </c>
    </row>
    <row r="106" spans="1:9">
      <c r="A106" s="6" t="s">
        <v>411</v>
      </c>
      <c r="B106" s="7" t="s">
        <v>14</v>
      </c>
      <c r="C106" s="7" t="s">
        <v>15</v>
      </c>
      <c r="D106" s="7" t="s">
        <v>65</v>
      </c>
      <c r="E106" s="7" t="s">
        <v>28</v>
      </c>
      <c r="F106" s="7" t="s">
        <v>186</v>
      </c>
      <c r="G106" s="7" t="s">
        <v>13</v>
      </c>
      <c r="H106" s="7" t="s">
        <v>19</v>
      </c>
      <c r="I106" s="7" t="s">
        <v>10</v>
      </c>
    </row>
    <row r="107" spans="1:9">
      <c r="A107" s="8" t="s">
        <v>410</v>
      </c>
      <c r="B107" s="9" t="s">
        <v>14</v>
      </c>
      <c r="C107" s="9" t="s">
        <v>15</v>
      </c>
      <c r="D107" s="9" t="s">
        <v>65</v>
      </c>
      <c r="E107" s="9" t="s">
        <v>28</v>
      </c>
      <c r="F107" s="9" t="s">
        <v>186</v>
      </c>
      <c r="G107" s="9" t="s">
        <v>13</v>
      </c>
      <c r="H107" s="9" t="s">
        <v>12</v>
      </c>
      <c r="I107" s="9" t="s">
        <v>11</v>
      </c>
    </row>
    <row r="108" spans="1:9">
      <c r="A108" s="6" t="s">
        <v>409</v>
      </c>
      <c r="B108" s="7" t="s">
        <v>14</v>
      </c>
      <c r="C108" s="7" t="s">
        <v>15</v>
      </c>
      <c r="D108" s="7" t="s">
        <v>65</v>
      </c>
      <c r="E108" s="7" t="s">
        <v>28</v>
      </c>
      <c r="F108" s="7" t="s">
        <v>186</v>
      </c>
      <c r="G108" s="7" t="s">
        <v>13</v>
      </c>
      <c r="H108" s="7" t="s">
        <v>12</v>
      </c>
      <c r="I108" s="7" t="s">
        <v>17</v>
      </c>
    </row>
    <row r="109" spans="1:9">
      <c r="A109" s="8" t="s">
        <v>408</v>
      </c>
      <c r="B109" s="9" t="s">
        <v>14</v>
      </c>
      <c r="C109" s="9" t="s">
        <v>15</v>
      </c>
      <c r="D109" s="9" t="s">
        <v>65</v>
      </c>
      <c r="E109" s="9" t="s">
        <v>28</v>
      </c>
      <c r="F109" s="9" t="s">
        <v>186</v>
      </c>
      <c r="G109" s="9" t="s">
        <v>13</v>
      </c>
      <c r="H109" s="9" t="s">
        <v>16</v>
      </c>
      <c r="I109" s="9" t="s">
        <v>12</v>
      </c>
    </row>
    <row r="110" spans="1:9">
      <c r="A110" s="6" t="s">
        <v>407</v>
      </c>
      <c r="B110" s="7" t="s">
        <v>14</v>
      </c>
      <c r="C110" s="7" t="s">
        <v>15</v>
      </c>
      <c r="D110" s="7" t="s">
        <v>65</v>
      </c>
      <c r="E110" s="7" t="s">
        <v>28</v>
      </c>
      <c r="F110" s="7" t="s">
        <v>186</v>
      </c>
      <c r="G110" s="7" t="s">
        <v>13</v>
      </c>
      <c r="H110" s="7" t="s">
        <v>11</v>
      </c>
      <c r="I110" s="7" t="s">
        <v>17</v>
      </c>
    </row>
    <row r="111" spans="1:9">
      <c r="A111" s="8" t="s">
        <v>406</v>
      </c>
      <c r="B111" s="9" t="s">
        <v>14</v>
      </c>
      <c r="C111" s="9" t="s">
        <v>15</v>
      </c>
      <c r="D111" s="9" t="s">
        <v>65</v>
      </c>
      <c r="E111" s="9" t="s">
        <v>28</v>
      </c>
      <c r="F111" s="9" t="s">
        <v>186</v>
      </c>
      <c r="G111" s="9" t="s">
        <v>13</v>
      </c>
      <c r="H111" s="9" t="s">
        <v>16</v>
      </c>
      <c r="I111" s="9" t="s">
        <v>11</v>
      </c>
    </row>
    <row r="112" spans="1:9">
      <c r="A112" s="6" t="s">
        <v>405</v>
      </c>
      <c r="B112" s="7" t="s">
        <v>14</v>
      </c>
      <c r="C112" s="7" t="s">
        <v>15</v>
      </c>
      <c r="D112" s="7" t="s">
        <v>65</v>
      </c>
      <c r="E112" s="7" t="s">
        <v>28</v>
      </c>
      <c r="F112" s="7" t="s">
        <v>186</v>
      </c>
      <c r="G112" s="7" t="s">
        <v>13</v>
      </c>
      <c r="H112" s="7" t="s">
        <v>16</v>
      </c>
      <c r="I112" s="7" t="s">
        <v>17</v>
      </c>
    </row>
    <row r="113" spans="1:9">
      <c r="A113" s="8" t="s">
        <v>404</v>
      </c>
      <c r="B113" s="9" t="s">
        <v>28</v>
      </c>
      <c r="C113" s="9" t="s">
        <v>11</v>
      </c>
      <c r="D113" s="9" t="s">
        <v>65</v>
      </c>
      <c r="E113" s="9" t="s">
        <v>13</v>
      </c>
      <c r="F113" s="9" t="s">
        <v>186</v>
      </c>
      <c r="G113" s="9" t="s">
        <v>15</v>
      </c>
      <c r="H113" s="9" t="s">
        <v>12</v>
      </c>
      <c r="I113" s="9" t="s">
        <v>17</v>
      </c>
    </row>
    <row r="114" spans="1:9">
      <c r="A114" s="6" t="s">
        <v>403</v>
      </c>
      <c r="B114" s="7" t="s">
        <v>28</v>
      </c>
      <c r="C114" s="7" t="s">
        <v>11</v>
      </c>
      <c r="D114" s="7" t="s">
        <v>65</v>
      </c>
      <c r="E114" s="7" t="s">
        <v>13</v>
      </c>
      <c r="F114" s="7" t="s">
        <v>186</v>
      </c>
      <c r="G114" s="7" t="s">
        <v>15</v>
      </c>
      <c r="H114" s="7" t="s">
        <v>16</v>
      </c>
      <c r="I114" s="7" t="s">
        <v>12</v>
      </c>
    </row>
    <row r="115" spans="1:9">
      <c r="A115" s="8" t="s">
        <v>402</v>
      </c>
      <c r="B115" s="9" t="s">
        <v>12</v>
      </c>
      <c r="C115" s="9" t="s">
        <v>15</v>
      </c>
      <c r="D115" s="9" t="s">
        <v>65</v>
      </c>
      <c r="E115" s="9" t="s">
        <v>28</v>
      </c>
      <c r="F115" s="9" t="s">
        <v>186</v>
      </c>
      <c r="G115" s="9" t="s">
        <v>13</v>
      </c>
      <c r="H115" s="9" t="s">
        <v>16</v>
      </c>
      <c r="I115" s="9" t="s">
        <v>17</v>
      </c>
    </row>
    <row r="116" spans="1:9">
      <c r="A116" s="6" t="s">
        <v>401</v>
      </c>
      <c r="B116" s="7" t="s">
        <v>28</v>
      </c>
      <c r="C116" s="7" t="s">
        <v>11</v>
      </c>
      <c r="D116" s="7" t="s">
        <v>65</v>
      </c>
      <c r="E116" s="7" t="s">
        <v>13</v>
      </c>
      <c r="F116" s="7" t="s">
        <v>186</v>
      </c>
      <c r="G116" s="7" t="s">
        <v>15</v>
      </c>
      <c r="H116" s="7" t="s">
        <v>16</v>
      </c>
      <c r="I116" s="7" t="s">
        <v>17</v>
      </c>
    </row>
    <row r="117" spans="1:9">
      <c r="A117" s="8" t="s">
        <v>400</v>
      </c>
      <c r="B117" s="9" t="s">
        <v>14</v>
      </c>
      <c r="C117" s="9" t="s">
        <v>11</v>
      </c>
      <c r="D117" s="9" t="s">
        <v>65</v>
      </c>
      <c r="E117" s="9" t="s">
        <v>28</v>
      </c>
      <c r="F117" s="9" t="s">
        <v>186</v>
      </c>
      <c r="G117" s="9" t="s">
        <v>13</v>
      </c>
      <c r="H117" s="9" t="s">
        <v>12</v>
      </c>
      <c r="I117" s="9" t="s">
        <v>17</v>
      </c>
    </row>
    <row r="118" spans="1:9">
      <c r="A118" s="6" t="s">
        <v>399</v>
      </c>
      <c r="B118" s="7" t="s">
        <v>14</v>
      </c>
      <c r="C118" s="7" t="s">
        <v>11</v>
      </c>
      <c r="D118" s="7" t="s">
        <v>65</v>
      </c>
      <c r="E118" s="7" t="s">
        <v>28</v>
      </c>
      <c r="F118" s="7" t="s">
        <v>186</v>
      </c>
      <c r="G118" s="7" t="s">
        <v>13</v>
      </c>
      <c r="H118" s="7" t="s">
        <v>16</v>
      </c>
      <c r="I118" s="7" t="s">
        <v>12</v>
      </c>
    </row>
    <row r="119" spans="1:9">
      <c r="A119" s="8" t="s">
        <v>398</v>
      </c>
      <c r="B119" s="9" t="s">
        <v>14</v>
      </c>
      <c r="C119" s="9" t="s">
        <v>12</v>
      </c>
      <c r="D119" s="9" t="s">
        <v>65</v>
      </c>
      <c r="E119" s="9" t="s">
        <v>28</v>
      </c>
      <c r="F119" s="9" t="s">
        <v>186</v>
      </c>
      <c r="G119" s="9" t="s">
        <v>13</v>
      </c>
      <c r="H119" s="9" t="s">
        <v>16</v>
      </c>
      <c r="I119" s="9" t="s">
        <v>17</v>
      </c>
    </row>
    <row r="120" spans="1:9">
      <c r="A120" s="6" t="s">
        <v>397</v>
      </c>
      <c r="B120" s="7" t="s">
        <v>14</v>
      </c>
      <c r="C120" s="7" t="s">
        <v>11</v>
      </c>
      <c r="D120" s="7" t="s">
        <v>65</v>
      </c>
      <c r="E120" s="7" t="s">
        <v>28</v>
      </c>
      <c r="F120" s="7" t="s">
        <v>186</v>
      </c>
      <c r="G120" s="7" t="s">
        <v>13</v>
      </c>
      <c r="H120" s="7" t="s">
        <v>16</v>
      </c>
      <c r="I120" s="7" t="s">
        <v>17</v>
      </c>
    </row>
    <row r="121" spans="1:9">
      <c r="A121" s="8" t="s">
        <v>396</v>
      </c>
      <c r="B121" s="9" t="s">
        <v>12</v>
      </c>
      <c r="C121" s="9" t="s">
        <v>11</v>
      </c>
      <c r="D121" s="9" t="s">
        <v>65</v>
      </c>
      <c r="E121" s="9" t="s">
        <v>28</v>
      </c>
      <c r="F121" s="9" t="s">
        <v>186</v>
      </c>
      <c r="G121" s="9" t="s">
        <v>13</v>
      </c>
      <c r="H121" s="9" t="s">
        <v>16</v>
      </c>
      <c r="I121" s="9" t="s">
        <v>17</v>
      </c>
    </row>
    <row r="122" spans="1:9">
      <c r="A122" s="6" t="s">
        <v>395</v>
      </c>
      <c r="B122" s="7" t="s">
        <v>14</v>
      </c>
      <c r="C122" s="7" t="s">
        <v>11</v>
      </c>
      <c r="D122" s="7" t="s">
        <v>65</v>
      </c>
      <c r="E122" s="7" t="s">
        <v>28</v>
      </c>
      <c r="F122" s="7" t="s">
        <v>186</v>
      </c>
      <c r="G122" s="7" t="s">
        <v>15</v>
      </c>
      <c r="H122" s="7" t="s">
        <v>12</v>
      </c>
      <c r="I122" s="7" t="s">
        <v>17</v>
      </c>
    </row>
    <row r="123" spans="1:9">
      <c r="A123" s="8" t="s">
        <v>394</v>
      </c>
      <c r="B123" s="9" t="s">
        <v>12</v>
      </c>
      <c r="C123" s="9" t="s">
        <v>11</v>
      </c>
      <c r="D123" s="9" t="s">
        <v>65</v>
      </c>
      <c r="E123" s="9" t="s">
        <v>28</v>
      </c>
      <c r="F123" s="9" t="s">
        <v>186</v>
      </c>
      <c r="G123" s="9" t="s">
        <v>15</v>
      </c>
      <c r="H123" s="9" t="s">
        <v>16</v>
      </c>
      <c r="I123" s="9" t="s">
        <v>17</v>
      </c>
    </row>
    <row r="124" spans="1:9">
      <c r="A124" s="6" t="s">
        <v>393</v>
      </c>
      <c r="B124" s="7" t="s">
        <v>12</v>
      </c>
      <c r="C124" s="7" t="s">
        <v>15</v>
      </c>
      <c r="D124" s="7" t="s">
        <v>65</v>
      </c>
      <c r="E124" s="7" t="s">
        <v>28</v>
      </c>
      <c r="F124" s="7" t="s">
        <v>186</v>
      </c>
      <c r="G124" s="7" t="s">
        <v>14</v>
      </c>
      <c r="H124" s="7" t="s">
        <v>16</v>
      </c>
      <c r="I124" s="7" t="s">
        <v>17</v>
      </c>
    </row>
    <row r="125" spans="1:9">
      <c r="A125" s="8" t="s">
        <v>392</v>
      </c>
      <c r="B125" s="9" t="s">
        <v>14</v>
      </c>
      <c r="C125" s="9" t="s">
        <v>11</v>
      </c>
      <c r="D125" s="9" t="s">
        <v>65</v>
      </c>
      <c r="E125" s="9" t="s">
        <v>28</v>
      </c>
      <c r="F125" s="9" t="s">
        <v>186</v>
      </c>
      <c r="G125" s="9" t="s">
        <v>15</v>
      </c>
      <c r="H125" s="9" t="s">
        <v>16</v>
      </c>
      <c r="I125" s="9" t="s">
        <v>17</v>
      </c>
    </row>
    <row r="126" spans="1:9">
      <c r="A126" s="6" t="s">
        <v>391</v>
      </c>
      <c r="B126" s="7" t="s">
        <v>14</v>
      </c>
      <c r="C126" s="7" t="s">
        <v>15</v>
      </c>
      <c r="D126" s="7" t="s">
        <v>65</v>
      </c>
      <c r="E126" s="7" t="s">
        <v>28</v>
      </c>
      <c r="F126" s="7" t="s">
        <v>186</v>
      </c>
      <c r="G126" s="7" t="s">
        <v>13</v>
      </c>
      <c r="H126" s="7" t="s">
        <v>19</v>
      </c>
      <c r="I126" s="7" t="s">
        <v>10</v>
      </c>
    </row>
    <row r="127" spans="1:9">
      <c r="A127" s="8" t="s">
        <v>390</v>
      </c>
      <c r="B127" s="9" t="s">
        <v>12</v>
      </c>
      <c r="C127" s="9" t="s">
        <v>11</v>
      </c>
      <c r="D127" s="9" t="s">
        <v>65</v>
      </c>
      <c r="E127" s="9" t="s">
        <v>28</v>
      </c>
      <c r="F127" s="9" t="s">
        <v>186</v>
      </c>
      <c r="G127" s="9" t="s">
        <v>14</v>
      </c>
      <c r="H127" s="9" t="s">
        <v>16</v>
      </c>
      <c r="I127" s="9" t="s">
        <v>17</v>
      </c>
    </row>
    <row r="128" spans="1:9">
      <c r="A128" s="6" t="s">
        <v>389</v>
      </c>
      <c r="B128" s="7" t="s">
        <v>14</v>
      </c>
      <c r="C128" s="7" t="s">
        <v>15</v>
      </c>
      <c r="D128" s="7" t="s">
        <v>65</v>
      </c>
      <c r="E128" s="7" t="s">
        <v>19</v>
      </c>
      <c r="F128" s="7" t="s">
        <v>186</v>
      </c>
      <c r="G128" s="7" t="s">
        <v>13</v>
      </c>
      <c r="H128" s="7" t="s">
        <v>10</v>
      </c>
      <c r="I128" s="7" t="s">
        <v>12</v>
      </c>
    </row>
    <row r="129" spans="1:9">
      <c r="A129" s="8" t="s">
        <v>388</v>
      </c>
      <c r="B129" s="9" t="s">
        <v>14</v>
      </c>
      <c r="C129" s="9" t="s">
        <v>15</v>
      </c>
      <c r="D129" s="9" t="s">
        <v>65</v>
      </c>
      <c r="E129" s="9" t="s">
        <v>19</v>
      </c>
      <c r="F129" s="9" t="s">
        <v>186</v>
      </c>
      <c r="G129" s="9" t="s">
        <v>13</v>
      </c>
      <c r="H129" s="9" t="s">
        <v>10</v>
      </c>
      <c r="I129" s="9" t="s">
        <v>11</v>
      </c>
    </row>
    <row r="130" spans="1:9">
      <c r="A130" s="6" t="s">
        <v>387</v>
      </c>
      <c r="B130" s="7" t="s">
        <v>14</v>
      </c>
      <c r="C130" s="7" t="s">
        <v>15</v>
      </c>
      <c r="D130" s="7" t="s">
        <v>65</v>
      </c>
      <c r="E130" s="7" t="s">
        <v>19</v>
      </c>
      <c r="F130" s="7" t="s">
        <v>186</v>
      </c>
      <c r="G130" s="7" t="s">
        <v>13</v>
      </c>
      <c r="H130" s="7" t="s">
        <v>10</v>
      </c>
      <c r="I130" s="7" t="s">
        <v>17</v>
      </c>
    </row>
    <row r="131" spans="1:9">
      <c r="A131" s="8" t="s">
        <v>386</v>
      </c>
      <c r="B131" s="9" t="s">
        <v>14</v>
      </c>
      <c r="C131" s="9" t="s">
        <v>15</v>
      </c>
      <c r="D131" s="9" t="s">
        <v>65</v>
      </c>
      <c r="E131" s="9" t="s">
        <v>19</v>
      </c>
      <c r="F131" s="9" t="s">
        <v>186</v>
      </c>
      <c r="G131" s="9" t="s">
        <v>13</v>
      </c>
      <c r="H131" s="9" t="s">
        <v>16</v>
      </c>
      <c r="I131" s="9" t="s">
        <v>10</v>
      </c>
    </row>
    <row r="132" spans="1:9">
      <c r="A132" s="6" t="s">
        <v>385</v>
      </c>
      <c r="B132" s="7" t="s">
        <v>10</v>
      </c>
      <c r="C132" s="7" t="s">
        <v>15</v>
      </c>
      <c r="D132" s="7" t="s">
        <v>65</v>
      </c>
      <c r="E132" s="7" t="s">
        <v>19</v>
      </c>
      <c r="F132" s="7" t="s">
        <v>186</v>
      </c>
      <c r="G132" s="7" t="s">
        <v>13</v>
      </c>
      <c r="H132" s="7" t="s">
        <v>12</v>
      </c>
      <c r="I132" s="7" t="s">
        <v>11</v>
      </c>
    </row>
    <row r="133" spans="1:9">
      <c r="A133" s="8" t="s">
        <v>384</v>
      </c>
      <c r="B133" s="9" t="s">
        <v>10</v>
      </c>
      <c r="C133" s="9" t="s">
        <v>15</v>
      </c>
      <c r="D133" s="9" t="s">
        <v>65</v>
      </c>
      <c r="E133" s="9" t="s">
        <v>19</v>
      </c>
      <c r="F133" s="9" t="s">
        <v>186</v>
      </c>
      <c r="G133" s="9" t="s">
        <v>13</v>
      </c>
      <c r="H133" s="9" t="s">
        <v>12</v>
      </c>
      <c r="I133" s="9" t="s">
        <v>17</v>
      </c>
    </row>
    <row r="134" spans="1:9">
      <c r="A134" s="6" t="s">
        <v>383</v>
      </c>
      <c r="B134" s="7" t="s">
        <v>10</v>
      </c>
      <c r="C134" s="7" t="s">
        <v>15</v>
      </c>
      <c r="D134" s="7" t="s">
        <v>65</v>
      </c>
      <c r="E134" s="7" t="s">
        <v>19</v>
      </c>
      <c r="F134" s="7" t="s">
        <v>186</v>
      </c>
      <c r="G134" s="7" t="s">
        <v>13</v>
      </c>
      <c r="H134" s="7" t="s">
        <v>16</v>
      </c>
      <c r="I134" s="7" t="s">
        <v>12</v>
      </c>
    </row>
    <row r="135" spans="1:9">
      <c r="A135" s="8" t="s">
        <v>382</v>
      </c>
      <c r="B135" s="9" t="s">
        <v>10</v>
      </c>
      <c r="C135" s="9" t="s">
        <v>15</v>
      </c>
      <c r="D135" s="9" t="s">
        <v>65</v>
      </c>
      <c r="E135" s="9" t="s">
        <v>19</v>
      </c>
      <c r="F135" s="9" t="s">
        <v>186</v>
      </c>
      <c r="G135" s="9" t="s">
        <v>13</v>
      </c>
      <c r="H135" s="9" t="s">
        <v>11</v>
      </c>
      <c r="I135" s="9" t="s">
        <v>17</v>
      </c>
    </row>
    <row r="136" spans="1:9">
      <c r="A136" s="6" t="s">
        <v>381</v>
      </c>
      <c r="B136" s="7" t="s">
        <v>10</v>
      </c>
      <c r="C136" s="7" t="s">
        <v>15</v>
      </c>
      <c r="D136" s="7" t="s">
        <v>65</v>
      </c>
      <c r="E136" s="7" t="s">
        <v>19</v>
      </c>
      <c r="F136" s="7" t="s">
        <v>186</v>
      </c>
      <c r="G136" s="7" t="s">
        <v>13</v>
      </c>
      <c r="H136" s="7" t="s">
        <v>16</v>
      </c>
      <c r="I136" s="7" t="s">
        <v>11</v>
      </c>
    </row>
    <row r="137" spans="1:9">
      <c r="A137" s="8" t="s">
        <v>380</v>
      </c>
      <c r="B137" s="9" t="s">
        <v>10</v>
      </c>
      <c r="C137" s="9" t="s">
        <v>15</v>
      </c>
      <c r="D137" s="9" t="s">
        <v>65</v>
      </c>
      <c r="E137" s="9" t="s">
        <v>19</v>
      </c>
      <c r="F137" s="9" t="s">
        <v>186</v>
      </c>
      <c r="G137" s="9" t="s">
        <v>13</v>
      </c>
      <c r="H137" s="9" t="s">
        <v>16</v>
      </c>
      <c r="I137" s="9" t="s">
        <v>17</v>
      </c>
    </row>
    <row r="138" spans="1:9">
      <c r="A138" s="6" t="s">
        <v>379</v>
      </c>
      <c r="B138" s="7" t="s">
        <v>14</v>
      </c>
      <c r="C138" s="7" t="s">
        <v>11</v>
      </c>
      <c r="D138" s="7" t="s">
        <v>65</v>
      </c>
      <c r="E138" s="7" t="s">
        <v>19</v>
      </c>
      <c r="F138" s="7" t="s">
        <v>186</v>
      </c>
      <c r="G138" s="7" t="s">
        <v>13</v>
      </c>
      <c r="H138" s="7" t="s">
        <v>10</v>
      </c>
      <c r="I138" s="7" t="s">
        <v>12</v>
      </c>
    </row>
    <row r="139" spans="1:9">
      <c r="A139" s="8" t="s">
        <v>378</v>
      </c>
      <c r="B139" s="9" t="s">
        <v>14</v>
      </c>
      <c r="C139" s="9" t="s">
        <v>10</v>
      </c>
      <c r="D139" s="9" t="s">
        <v>65</v>
      </c>
      <c r="E139" s="9" t="s">
        <v>19</v>
      </c>
      <c r="F139" s="9" t="s">
        <v>186</v>
      </c>
      <c r="G139" s="9" t="s">
        <v>13</v>
      </c>
      <c r="H139" s="9" t="s">
        <v>12</v>
      </c>
      <c r="I139" s="9" t="s">
        <v>17</v>
      </c>
    </row>
    <row r="140" spans="1:9">
      <c r="A140" s="6" t="s">
        <v>377</v>
      </c>
      <c r="B140" s="7" t="s">
        <v>14</v>
      </c>
      <c r="C140" s="7" t="s">
        <v>10</v>
      </c>
      <c r="D140" s="7" t="s">
        <v>65</v>
      </c>
      <c r="E140" s="7" t="s">
        <v>19</v>
      </c>
      <c r="F140" s="7" t="s">
        <v>186</v>
      </c>
      <c r="G140" s="7" t="s">
        <v>13</v>
      </c>
      <c r="H140" s="7" t="s">
        <v>16</v>
      </c>
      <c r="I140" s="7" t="s">
        <v>12</v>
      </c>
    </row>
    <row r="141" spans="1:9">
      <c r="A141" s="8" t="s">
        <v>376</v>
      </c>
      <c r="B141" s="9" t="s">
        <v>14</v>
      </c>
      <c r="C141" s="9" t="s">
        <v>11</v>
      </c>
      <c r="D141" s="9" t="s">
        <v>65</v>
      </c>
      <c r="E141" s="9" t="s">
        <v>19</v>
      </c>
      <c r="F141" s="9" t="s">
        <v>186</v>
      </c>
      <c r="G141" s="9" t="s">
        <v>13</v>
      </c>
      <c r="H141" s="9" t="s">
        <v>10</v>
      </c>
      <c r="I141" s="9" t="s">
        <v>17</v>
      </c>
    </row>
    <row r="142" spans="1:9">
      <c r="A142" s="6" t="s">
        <v>375</v>
      </c>
      <c r="B142" s="7" t="s">
        <v>14</v>
      </c>
      <c r="C142" s="7" t="s">
        <v>11</v>
      </c>
      <c r="D142" s="7" t="s">
        <v>65</v>
      </c>
      <c r="E142" s="7" t="s">
        <v>19</v>
      </c>
      <c r="F142" s="7" t="s">
        <v>186</v>
      </c>
      <c r="G142" s="7" t="s">
        <v>13</v>
      </c>
      <c r="H142" s="7" t="s">
        <v>16</v>
      </c>
      <c r="I142" s="7" t="s">
        <v>10</v>
      </c>
    </row>
    <row r="143" spans="1:9">
      <c r="A143" s="8" t="s">
        <v>374</v>
      </c>
      <c r="B143" s="9" t="s">
        <v>14</v>
      </c>
      <c r="C143" s="9" t="s">
        <v>10</v>
      </c>
      <c r="D143" s="9" t="s">
        <v>65</v>
      </c>
      <c r="E143" s="9" t="s">
        <v>19</v>
      </c>
      <c r="F143" s="9" t="s">
        <v>186</v>
      </c>
      <c r="G143" s="9" t="s">
        <v>13</v>
      </c>
      <c r="H143" s="9" t="s">
        <v>16</v>
      </c>
      <c r="I143" s="9" t="s">
        <v>17</v>
      </c>
    </row>
    <row r="144" spans="1:9">
      <c r="A144" s="6" t="s">
        <v>373</v>
      </c>
      <c r="B144" s="7" t="s">
        <v>10</v>
      </c>
      <c r="C144" s="7" t="s">
        <v>11</v>
      </c>
      <c r="D144" s="7" t="s">
        <v>65</v>
      </c>
      <c r="E144" s="7" t="s">
        <v>19</v>
      </c>
      <c r="F144" s="7" t="s">
        <v>186</v>
      </c>
      <c r="G144" s="7" t="s">
        <v>13</v>
      </c>
      <c r="H144" s="7" t="s">
        <v>12</v>
      </c>
      <c r="I144" s="7" t="s">
        <v>17</v>
      </c>
    </row>
    <row r="145" spans="1:9">
      <c r="A145" s="8" t="s">
        <v>372</v>
      </c>
      <c r="B145" s="9" t="s">
        <v>10</v>
      </c>
      <c r="C145" s="9" t="s">
        <v>11</v>
      </c>
      <c r="D145" s="9" t="s">
        <v>65</v>
      </c>
      <c r="E145" s="9" t="s">
        <v>19</v>
      </c>
      <c r="F145" s="9" t="s">
        <v>186</v>
      </c>
      <c r="G145" s="9" t="s">
        <v>13</v>
      </c>
      <c r="H145" s="9" t="s">
        <v>16</v>
      </c>
      <c r="I145" s="9" t="s">
        <v>12</v>
      </c>
    </row>
    <row r="146" spans="1:9">
      <c r="A146" s="6" t="s">
        <v>371</v>
      </c>
      <c r="B146" s="7" t="s">
        <v>14</v>
      </c>
      <c r="C146" s="7" t="s">
        <v>15</v>
      </c>
      <c r="D146" s="7" t="s">
        <v>65</v>
      </c>
      <c r="E146" s="7" t="s">
        <v>28</v>
      </c>
      <c r="F146" s="7" t="s">
        <v>186</v>
      </c>
      <c r="G146" s="7" t="s">
        <v>13</v>
      </c>
      <c r="H146" s="7" t="s">
        <v>19</v>
      </c>
      <c r="I146" s="7" t="s">
        <v>10</v>
      </c>
    </row>
    <row r="147" spans="1:9">
      <c r="A147" s="8" t="s">
        <v>370</v>
      </c>
      <c r="B147" s="9" t="s">
        <v>10</v>
      </c>
      <c r="C147" s="9" t="s">
        <v>11</v>
      </c>
      <c r="D147" s="9" t="s">
        <v>65</v>
      </c>
      <c r="E147" s="9" t="s">
        <v>19</v>
      </c>
      <c r="F147" s="9" t="s">
        <v>186</v>
      </c>
      <c r="G147" s="9" t="s">
        <v>13</v>
      </c>
      <c r="H147" s="9" t="s">
        <v>16</v>
      </c>
      <c r="I147" s="9" t="s">
        <v>17</v>
      </c>
    </row>
    <row r="148" spans="1:9">
      <c r="A148" s="6" t="s">
        <v>369</v>
      </c>
      <c r="B148" s="7" t="s">
        <v>14</v>
      </c>
      <c r="C148" s="7" t="s">
        <v>11</v>
      </c>
      <c r="D148" s="7" t="s">
        <v>65</v>
      </c>
      <c r="E148" s="7" t="s">
        <v>19</v>
      </c>
      <c r="F148" s="7" t="s">
        <v>186</v>
      </c>
      <c r="G148" s="7" t="s">
        <v>15</v>
      </c>
      <c r="H148" s="7" t="s">
        <v>10</v>
      </c>
      <c r="I148" s="7" t="s">
        <v>12</v>
      </c>
    </row>
    <row r="149" spans="1:9">
      <c r="A149" s="8" t="s">
        <v>368</v>
      </c>
      <c r="B149" s="9" t="s">
        <v>10</v>
      </c>
      <c r="C149" s="9" t="s">
        <v>15</v>
      </c>
      <c r="D149" s="9" t="s">
        <v>65</v>
      </c>
      <c r="E149" s="9" t="s">
        <v>19</v>
      </c>
      <c r="F149" s="9" t="s">
        <v>186</v>
      </c>
      <c r="G149" s="9" t="s">
        <v>14</v>
      </c>
      <c r="H149" s="9" t="s">
        <v>12</v>
      </c>
      <c r="I149" s="9" t="s">
        <v>17</v>
      </c>
    </row>
    <row r="150" spans="1:9">
      <c r="A150" s="6" t="s">
        <v>367</v>
      </c>
      <c r="B150" s="7" t="s">
        <v>10</v>
      </c>
      <c r="C150" s="7" t="s">
        <v>15</v>
      </c>
      <c r="D150" s="7" t="s">
        <v>65</v>
      </c>
      <c r="E150" s="7" t="s">
        <v>19</v>
      </c>
      <c r="F150" s="7" t="s">
        <v>186</v>
      </c>
      <c r="G150" s="7" t="s">
        <v>14</v>
      </c>
      <c r="H150" s="7" t="s">
        <v>16</v>
      </c>
      <c r="I150" s="7" t="s">
        <v>12</v>
      </c>
    </row>
    <row r="151" spans="1:9">
      <c r="A151" s="8" t="s">
        <v>366</v>
      </c>
      <c r="B151" s="9" t="s">
        <v>14</v>
      </c>
      <c r="C151" s="9" t="s">
        <v>11</v>
      </c>
      <c r="D151" s="9" t="s">
        <v>65</v>
      </c>
      <c r="E151" s="9" t="s">
        <v>19</v>
      </c>
      <c r="F151" s="9" t="s">
        <v>186</v>
      </c>
      <c r="G151" s="9" t="s">
        <v>15</v>
      </c>
      <c r="H151" s="9" t="s">
        <v>10</v>
      </c>
      <c r="I151" s="9" t="s">
        <v>17</v>
      </c>
    </row>
    <row r="152" spans="1:9">
      <c r="A152" s="6" t="s">
        <v>365</v>
      </c>
      <c r="B152" s="7" t="s">
        <v>14</v>
      </c>
      <c r="C152" s="7" t="s">
        <v>11</v>
      </c>
      <c r="D152" s="7" t="s">
        <v>65</v>
      </c>
      <c r="E152" s="7" t="s">
        <v>19</v>
      </c>
      <c r="F152" s="7" t="s">
        <v>186</v>
      </c>
      <c r="G152" s="7" t="s">
        <v>15</v>
      </c>
      <c r="H152" s="7" t="s">
        <v>16</v>
      </c>
      <c r="I152" s="7" t="s">
        <v>10</v>
      </c>
    </row>
    <row r="153" spans="1:9">
      <c r="A153" s="8" t="s">
        <v>364</v>
      </c>
      <c r="B153" s="9" t="s">
        <v>10</v>
      </c>
      <c r="C153" s="9" t="s">
        <v>15</v>
      </c>
      <c r="D153" s="9" t="s">
        <v>65</v>
      </c>
      <c r="E153" s="9" t="s">
        <v>19</v>
      </c>
      <c r="F153" s="9" t="s">
        <v>186</v>
      </c>
      <c r="G153" s="9" t="s">
        <v>14</v>
      </c>
      <c r="H153" s="9" t="s">
        <v>16</v>
      </c>
      <c r="I153" s="9" t="s">
        <v>17</v>
      </c>
    </row>
    <row r="154" spans="1:9">
      <c r="A154" s="6" t="s">
        <v>363</v>
      </c>
      <c r="B154" s="7" t="s">
        <v>10</v>
      </c>
      <c r="C154" s="7" t="s">
        <v>11</v>
      </c>
      <c r="D154" s="7" t="s">
        <v>65</v>
      </c>
      <c r="E154" s="7" t="s">
        <v>19</v>
      </c>
      <c r="F154" s="7" t="s">
        <v>186</v>
      </c>
      <c r="G154" s="7" t="s">
        <v>15</v>
      </c>
      <c r="H154" s="7" t="s">
        <v>12</v>
      </c>
      <c r="I154" s="7" t="s">
        <v>17</v>
      </c>
    </row>
    <row r="155" spans="1:9">
      <c r="A155" s="8" t="s">
        <v>362</v>
      </c>
      <c r="B155" s="9" t="s">
        <v>10</v>
      </c>
      <c r="C155" s="9" t="s">
        <v>11</v>
      </c>
      <c r="D155" s="9" t="s">
        <v>65</v>
      </c>
      <c r="E155" s="9" t="s">
        <v>19</v>
      </c>
      <c r="F155" s="9" t="s">
        <v>186</v>
      </c>
      <c r="G155" s="9" t="s">
        <v>15</v>
      </c>
      <c r="H155" s="9" t="s">
        <v>16</v>
      </c>
      <c r="I155" s="9" t="s">
        <v>12</v>
      </c>
    </row>
    <row r="156" spans="1:9">
      <c r="A156" s="6" t="s">
        <v>361</v>
      </c>
      <c r="B156" s="7" t="s">
        <v>10</v>
      </c>
      <c r="C156" s="7" t="s">
        <v>15</v>
      </c>
      <c r="D156" s="7" t="s">
        <v>65</v>
      </c>
      <c r="E156" s="7" t="s">
        <v>186</v>
      </c>
      <c r="F156" s="7" t="s">
        <v>12</v>
      </c>
      <c r="G156" s="7" t="s">
        <v>19</v>
      </c>
      <c r="H156" s="7" t="s">
        <v>16</v>
      </c>
      <c r="I156" s="7" t="s">
        <v>17</v>
      </c>
    </row>
    <row r="157" spans="1:9">
      <c r="A157" s="8" t="s">
        <v>360</v>
      </c>
      <c r="B157" s="9" t="s">
        <v>10</v>
      </c>
      <c r="C157" s="9" t="s">
        <v>11</v>
      </c>
      <c r="D157" s="9" t="s">
        <v>65</v>
      </c>
      <c r="E157" s="9" t="s">
        <v>19</v>
      </c>
      <c r="F157" s="9" t="s">
        <v>186</v>
      </c>
      <c r="G157" s="9" t="s">
        <v>15</v>
      </c>
      <c r="H157" s="9" t="s">
        <v>16</v>
      </c>
      <c r="I157" s="9" t="s">
        <v>17</v>
      </c>
    </row>
    <row r="158" spans="1:9">
      <c r="A158" s="6" t="s">
        <v>359</v>
      </c>
      <c r="B158" s="7" t="s">
        <v>10</v>
      </c>
      <c r="C158" s="7" t="s">
        <v>11</v>
      </c>
      <c r="D158" s="7" t="s">
        <v>65</v>
      </c>
      <c r="E158" s="7" t="s">
        <v>19</v>
      </c>
      <c r="F158" s="7" t="s">
        <v>186</v>
      </c>
      <c r="G158" s="7" t="s">
        <v>14</v>
      </c>
      <c r="H158" s="7" t="s">
        <v>12</v>
      </c>
      <c r="I158" s="7" t="s">
        <v>17</v>
      </c>
    </row>
    <row r="159" spans="1:9">
      <c r="A159" s="8" t="s">
        <v>358</v>
      </c>
      <c r="B159" s="9" t="s">
        <v>10</v>
      </c>
      <c r="C159" s="9" t="s">
        <v>11</v>
      </c>
      <c r="D159" s="9" t="s">
        <v>65</v>
      </c>
      <c r="E159" s="9" t="s">
        <v>186</v>
      </c>
      <c r="F159" s="9" t="s">
        <v>12</v>
      </c>
      <c r="G159" s="9" t="s">
        <v>19</v>
      </c>
      <c r="H159" s="9" t="s">
        <v>16</v>
      </c>
      <c r="I159" s="9" t="s">
        <v>17</v>
      </c>
    </row>
    <row r="160" spans="1:9">
      <c r="A160" s="6" t="s">
        <v>357</v>
      </c>
      <c r="B160" s="7" t="s">
        <v>10</v>
      </c>
      <c r="C160" s="7" t="s">
        <v>12</v>
      </c>
      <c r="D160" s="7" t="s">
        <v>65</v>
      </c>
      <c r="E160" s="7" t="s">
        <v>19</v>
      </c>
      <c r="F160" s="7" t="s">
        <v>186</v>
      </c>
      <c r="G160" s="7" t="s">
        <v>14</v>
      </c>
      <c r="H160" s="7" t="s">
        <v>16</v>
      </c>
      <c r="I160" s="7" t="s">
        <v>17</v>
      </c>
    </row>
    <row r="161" spans="1:9">
      <c r="A161" s="8" t="s">
        <v>356</v>
      </c>
      <c r="B161" s="9" t="s">
        <v>10</v>
      </c>
      <c r="C161" s="9" t="s">
        <v>11</v>
      </c>
      <c r="D161" s="9" t="s">
        <v>65</v>
      </c>
      <c r="E161" s="9" t="s">
        <v>19</v>
      </c>
      <c r="F161" s="9" t="s">
        <v>186</v>
      </c>
      <c r="G161" s="9" t="s">
        <v>14</v>
      </c>
      <c r="H161" s="9" t="s">
        <v>16</v>
      </c>
      <c r="I161" s="9" t="s">
        <v>17</v>
      </c>
    </row>
    <row r="162" spans="1:9">
      <c r="A162" s="6" t="s">
        <v>355</v>
      </c>
      <c r="B162" s="7" t="s">
        <v>14</v>
      </c>
      <c r="C162" s="7" t="s">
        <v>15</v>
      </c>
      <c r="D162" s="7" t="s">
        <v>65</v>
      </c>
      <c r="E162" s="7" t="s">
        <v>28</v>
      </c>
      <c r="F162" s="7" t="s">
        <v>186</v>
      </c>
      <c r="G162" s="7" t="s">
        <v>13</v>
      </c>
      <c r="H162" s="7" t="s">
        <v>19</v>
      </c>
      <c r="I162" s="7" t="s">
        <v>10</v>
      </c>
    </row>
    <row r="163" spans="1:9">
      <c r="A163" s="8" t="s">
        <v>354</v>
      </c>
      <c r="B163" s="9" t="s">
        <v>14</v>
      </c>
      <c r="C163" s="9" t="s">
        <v>15</v>
      </c>
      <c r="D163" s="9" t="s">
        <v>65</v>
      </c>
      <c r="E163" s="9" t="s">
        <v>19</v>
      </c>
      <c r="F163" s="9" t="s">
        <v>186</v>
      </c>
      <c r="G163" s="9" t="s">
        <v>13</v>
      </c>
      <c r="H163" s="9" t="s">
        <v>12</v>
      </c>
      <c r="I163" s="9" t="s">
        <v>11</v>
      </c>
    </row>
    <row r="164" spans="1:9">
      <c r="A164" s="6" t="s">
        <v>353</v>
      </c>
      <c r="B164" s="7" t="s">
        <v>14</v>
      </c>
      <c r="C164" s="7" t="s">
        <v>15</v>
      </c>
      <c r="D164" s="7" t="s">
        <v>65</v>
      </c>
      <c r="E164" s="7" t="s">
        <v>19</v>
      </c>
      <c r="F164" s="7" t="s">
        <v>186</v>
      </c>
      <c r="G164" s="7" t="s">
        <v>13</v>
      </c>
      <c r="H164" s="7" t="s">
        <v>12</v>
      </c>
      <c r="I164" s="7" t="s">
        <v>17</v>
      </c>
    </row>
    <row r="165" spans="1:9">
      <c r="A165" s="8" t="s">
        <v>352</v>
      </c>
      <c r="B165" s="9" t="s">
        <v>14</v>
      </c>
      <c r="C165" s="9" t="s">
        <v>15</v>
      </c>
      <c r="D165" s="9" t="s">
        <v>65</v>
      </c>
      <c r="E165" s="9" t="s">
        <v>19</v>
      </c>
      <c r="F165" s="9" t="s">
        <v>186</v>
      </c>
      <c r="G165" s="9" t="s">
        <v>13</v>
      </c>
      <c r="H165" s="9" t="s">
        <v>16</v>
      </c>
      <c r="I165" s="9" t="s">
        <v>12</v>
      </c>
    </row>
    <row r="166" spans="1:9">
      <c r="A166" s="6" t="s">
        <v>351</v>
      </c>
      <c r="B166" s="7" t="s">
        <v>14</v>
      </c>
      <c r="C166" s="7" t="s">
        <v>15</v>
      </c>
      <c r="D166" s="7" t="s">
        <v>65</v>
      </c>
      <c r="E166" s="7" t="s">
        <v>19</v>
      </c>
      <c r="F166" s="7" t="s">
        <v>186</v>
      </c>
      <c r="G166" s="7" t="s">
        <v>13</v>
      </c>
      <c r="H166" s="7" t="s">
        <v>11</v>
      </c>
      <c r="I166" s="7" t="s">
        <v>17</v>
      </c>
    </row>
    <row r="167" spans="1:9">
      <c r="A167" s="8" t="s">
        <v>350</v>
      </c>
      <c r="B167" s="9" t="s">
        <v>14</v>
      </c>
      <c r="C167" s="9" t="s">
        <v>15</v>
      </c>
      <c r="D167" s="9" t="s">
        <v>65</v>
      </c>
      <c r="E167" s="9" t="s">
        <v>19</v>
      </c>
      <c r="F167" s="9" t="s">
        <v>186</v>
      </c>
      <c r="G167" s="9" t="s">
        <v>13</v>
      </c>
      <c r="H167" s="9" t="s">
        <v>16</v>
      </c>
      <c r="I167" s="9" t="s">
        <v>11</v>
      </c>
    </row>
    <row r="168" spans="1:9">
      <c r="A168" s="6" t="s">
        <v>349</v>
      </c>
      <c r="B168" s="7" t="s">
        <v>14</v>
      </c>
      <c r="C168" s="7" t="s">
        <v>15</v>
      </c>
      <c r="D168" s="7" t="s">
        <v>65</v>
      </c>
      <c r="E168" s="7" t="s">
        <v>19</v>
      </c>
      <c r="F168" s="7" t="s">
        <v>186</v>
      </c>
      <c r="G168" s="7" t="s">
        <v>13</v>
      </c>
      <c r="H168" s="7" t="s">
        <v>16</v>
      </c>
      <c r="I168" s="7" t="s">
        <v>17</v>
      </c>
    </row>
    <row r="169" spans="1:9">
      <c r="A169" s="8" t="s">
        <v>348</v>
      </c>
      <c r="B169" s="9" t="s">
        <v>13</v>
      </c>
      <c r="C169" s="9" t="s">
        <v>11</v>
      </c>
      <c r="D169" s="9" t="s">
        <v>65</v>
      </c>
      <c r="E169" s="9" t="s">
        <v>19</v>
      </c>
      <c r="F169" s="9" t="s">
        <v>186</v>
      </c>
      <c r="G169" s="9" t="s">
        <v>15</v>
      </c>
      <c r="H169" s="9" t="s">
        <v>12</v>
      </c>
      <c r="I169" s="9" t="s">
        <v>17</v>
      </c>
    </row>
    <row r="170" spans="1:9">
      <c r="A170" s="6" t="s">
        <v>347</v>
      </c>
      <c r="B170" s="7" t="s">
        <v>13</v>
      </c>
      <c r="C170" s="7" t="s">
        <v>11</v>
      </c>
      <c r="D170" s="7" t="s">
        <v>65</v>
      </c>
      <c r="E170" s="7" t="s">
        <v>19</v>
      </c>
      <c r="F170" s="7" t="s">
        <v>186</v>
      </c>
      <c r="G170" s="7" t="s">
        <v>15</v>
      </c>
      <c r="H170" s="7" t="s">
        <v>16</v>
      </c>
      <c r="I170" s="7" t="s">
        <v>12</v>
      </c>
    </row>
    <row r="171" spans="1:9">
      <c r="A171" s="8" t="s">
        <v>346</v>
      </c>
      <c r="B171" s="9" t="s">
        <v>12</v>
      </c>
      <c r="C171" s="9" t="s">
        <v>15</v>
      </c>
      <c r="D171" s="9" t="s">
        <v>65</v>
      </c>
      <c r="E171" s="9" t="s">
        <v>19</v>
      </c>
      <c r="F171" s="9" t="s">
        <v>186</v>
      </c>
      <c r="G171" s="9" t="s">
        <v>13</v>
      </c>
      <c r="H171" s="9" t="s">
        <v>16</v>
      </c>
      <c r="I171" s="9" t="s">
        <v>17</v>
      </c>
    </row>
    <row r="172" spans="1:9">
      <c r="A172" s="6" t="s">
        <v>345</v>
      </c>
      <c r="B172" s="7" t="s">
        <v>13</v>
      </c>
      <c r="C172" s="7" t="s">
        <v>11</v>
      </c>
      <c r="D172" s="7" t="s">
        <v>65</v>
      </c>
      <c r="E172" s="7" t="s">
        <v>19</v>
      </c>
      <c r="F172" s="7" t="s">
        <v>186</v>
      </c>
      <c r="G172" s="7" t="s">
        <v>15</v>
      </c>
      <c r="H172" s="7" t="s">
        <v>16</v>
      </c>
      <c r="I172" s="7" t="s">
        <v>17</v>
      </c>
    </row>
    <row r="173" spans="1:9">
      <c r="A173" s="8" t="s">
        <v>344</v>
      </c>
      <c r="B173" s="9" t="s">
        <v>14</v>
      </c>
      <c r="C173" s="9" t="s">
        <v>11</v>
      </c>
      <c r="D173" s="9" t="s">
        <v>65</v>
      </c>
      <c r="E173" s="9" t="s">
        <v>19</v>
      </c>
      <c r="F173" s="9" t="s">
        <v>186</v>
      </c>
      <c r="G173" s="9" t="s">
        <v>13</v>
      </c>
      <c r="H173" s="9" t="s">
        <v>12</v>
      </c>
      <c r="I173" s="9" t="s">
        <v>17</v>
      </c>
    </row>
    <row r="174" spans="1:9">
      <c r="A174" s="6" t="s">
        <v>343</v>
      </c>
      <c r="B174" s="7" t="s">
        <v>14</v>
      </c>
      <c r="C174" s="7" t="s">
        <v>11</v>
      </c>
      <c r="D174" s="7" t="s">
        <v>65</v>
      </c>
      <c r="E174" s="7" t="s">
        <v>19</v>
      </c>
      <c r="F174" s="7" t="s">
        <v>186</v>
      </c>
      <c r="G174" s="7" t="s">
        <v>13</v>
      </c>
      <c r="H174" s="7" t="s">
        <v>16</v>
      </c>
      <c r="I174" s="7" t="s">
        <v>12</v>
      </c>
    </row>
    <row r="175" spans="1:9">
      <c r="A175" s="8" t="s">
        <v>342</v>
      </c>
      <c r="B175" s="9" t="s">
        <v>14</v>
      </c>
      <c r="C175" s="9" t="s">
        <v>12</v>
      </c>
      <c r="D175" s="9" t="s">
        <v>65</v>
      </c>
      <c r="E175" s="9" t="s">
        <v>19</v>
      </c>
      <c r="F175" s="9" t="s">
        <v>186</v>
      </c>
      <c r="G175" s="9" t="s">
        <v>13</v>
      </c>
      <c r="H175" s="9" t="s">
        <v>16</v>
      </c>
      <c r="I175" s="9" t="s">
        <v>17</v>
      </c>
    </row>
    <row r="176" spans="1:9">
      <c r="A176" s="6" t="s">
        <v>341</v>
      </c>
      <c r="B176" s="7" t="s">
        <v>14</v>
      </c>
      <c r="C176" s="7" t="s">
        <v>11</v>
      </c>
      <c r="D176" s="7" t="s">
        <v>65</v>
      </c>
      <c r="E176" s="7" t="s">
        <v>19</v>
      </c>
      <c r="F176" s="7" t="s">
        <v>186</v>
      </c>
      <c r="G176" s="7" t="s">
        <v>13</v>
      </c>
      <c r="H176" s="7" t="s">
        <v>16</v>
      </c>
      <c r="I176" s="7" t="s">
        <v>17</v>
      </c>
    </row>
    <row r="177" spans="1:9">
      <c r="A177" s="8" t="s">
        <v>340</v>
      </c>
      <c r="B177" s="9" t="s">
        <v>12</v>
      </c>
      <c r="C177" s="9" t="s">
        <v>11</v>
      </c>
      <c r="D177" s="9" t="s">
        <v>65</v>
      </c>
      <c r="E177" s="9" t="s">
        <v>19</v>
      </c>
      <c r="F177" s="9" t="s">
        <v>186</v>
      </c>
      <c r="G177" s="9" t="s">
        <v>13</v>
      </c>
      <c r="H177" s="9" t="s">
        <v>16</v>
      </c>
      <c r="I177" s="9" t="s">
        <v>17</v>
      </c>
    </row>
    <row r="178" spans="1:9">
      <c r="A178" s="6" t="s">
        <v>339</v>
      </c>
      <c r="B178" s="7" t="s">
        <v>14</v>
      </c>
      <c r="C178" s="7" t="s">
        <v>11</v>
      </c>
      <c r="D178" s="7" t="s">
        <v>65</v>
      </c>
      <c r="E178" s="7" t="s">
        <v>19</v>
      </c>
      <c r="F178" s="7" t="s">
        <v>186</v>
      </c>
      <c r="G178" s="7" t="s">
        <v>15</v>
      </c>
      <c r="H178" s="7" t="s">
        <v>12</v>
      </c>
      <c r="I178" s="7" t="s">
        <v>17</v>
      </c>
    </row>
    <row r="179" spans="1:9">
      <c r="A179" s="8" t="s">
        <v>338</v>
      </c>
      <c r="B179" s="9" t="s">
        <v>12</v>
      </c>
      <c r="C179" s="9" t="s">
        <v>11</v>
      </c>
      <c r="D179" s="9" t="s">
        <v>65</v>
      </c>
      <c r="E179" s="9" t="s">
        <v>19</v>
      </c>
      <c r="F179" s="9" t="s">
        <v>186</v>
      </c>
      <c r="G179" s="9" t="s">
        <v>15</v>
      </c>
      <c r="H179" s="9" t="s">
        <v>16</v>
      </c>
      <c r="I179" s="9" t="s">
        <v>17</v>
      </c>
    </row>
    <row r="180" spans="1:9">
      <c r="A180" s="6" t="s">
        <v>337</v>
      </c>
      <c r="B180" s="7" t="s">
        <v>12</v>
      </c>
      <c r="C180" s="7" t="s">
        <v>15</v>
      </c>
      <c r="D180" s="7" t="s">
        <v>65</v>
      </c>
      <c r="E180" s="7" t="s">
        <v>19</v>
      </c>
      <c r="F180" s="7" t="s">
        <v>186</v>
      </c>
      <c r="G180" s="7" t="s">
        <v>14</v>
      </c>
      <c r="H180" s="7" t="s">
        <v>16</v>
      </c>
      <c r="I180" s="7" t="s">
        <v>17</v>
      </c>
    </row>
    <row r="181" spans="1:9">
      <c r="A181" s="8" t="s">
        <v>336</v>
      </c>
      <c r="B181" s="9" t="s">
        <v>14</v>
      </c>
      <c r="C181" s="9" t="s">
        <v>11</v>
      </c>
      <c r="D181" s="9" t="s">
        <v>65</v>
      </c>
      <c r="E181" s="9" t="s">
        <v>19</v>
      </c>
      <c r="F181" s="9" t="s">
        <v>186</v>
      </c>
      <c r="G181" s="9" t="s">
        <v>15</v>
      </c>
      <c r="H181" s="9" t="s">
        <v>16</v>
      </c>
      <c r="I181" s="9" t="s">
        <v>17</v>
      </c>
    </row>
    <row r="182" spans="1:9">
      <c r="A182" s="6" t="s">
        <v>335</v>
      </c>
      <c r="B182" s="7" t="s">
        <v>14</v>
      </c>
      <c r="C182" s="7" t="s">
        <v>15</v>
      </c>
      <c r="D182" s="7" t="s">
        <v>65</v>
      </c>
      <c r="E182" s="7" t="s">
        <v>28</v>
      </c>
      <c r="F182" s="7" t="s">
        <v>186</v>
      </c>
      <c r="G182" s="7" t="s">
        <v>13</v>
      </c>
      <c r="H182" s="7" t="s">
        <v>19</v>
      </c>
      <c r="I182" s="7" t="s">
        <v>10</v>
      </c>
    </row>
    <row r="183" spans="1:9">
      <c r="A183" s="8" t="s">
        <v>334</v>
      </c>
      <c r="B183" s="9" t="s">
        <v>12</v>
      </c>
      <c r="C183" s="9" t="s">
        <v>11</v>
      </c>
      <c r="D183" s="9" t="s">
        <v>65</v>
      </c>
      <c r="E183" s="9" t="s">
        <v>19</v>
      </c>
      <c r="F183" s="9" t="s">
        <v>186</v>
      </c>
      <c r="G183" s="9" t="s">
        <v>14</v>
      </c>
      <c r="H183" s="9" t="s">
        <v>16</v>
      </c>
      <c r="I183" s="9" t="s">
        <v>17</v>
      </c>
    </row>
    <row r="184" spans="1:9">
      <c r="A184" s="6" t="s">
        <v>333</v>
      </c>
      <c r="B184" s="7" t="s">
        <v>14</v>
      </c>
      <c r="C184" s="7" t="s">
        <v>11</v>
      </c>
      <c r="D184" s="7" t="s">
        <v>65</v>
      </c>
      <c r="E184" s="7" t="s">
        <v>13</v>
      </c>
      <c r="F184" s="7" t="s">
        <v>186</v>
      </c>
      <c r="G184" s="7" t="s">
        <v>15</v>
      </c>
      <c r="H184" s="7" t="s">
        <v>10</v>
      </c>
      <c r="I184" s="7" t="s">
        <v>12</v>
      </c>
    </row>
    <row r="185" spans="1:9">
      <c r="A185" s="8" t="s">
        <v>332</v>
      </c>
      <c r="B185" s="9" t="s">
        <v>10</v>
      </c>
      <c r="C185" s="9" t="s">
        <v>15</v>
      </c>
      <c r="D185" s="9" t="s">
        <v>65</v>
      </c>
      <c r="E185" s="9" t="s">
        <v>13</v>
      </c>
      <c r="F185" s="9" t="s">
        <v>186</v>
      </c>
      <c r="G185" s="9" t="s">
        <v>14</v>
      </c>
      <c r="H185" s="9" t="s">
        <v>12</v>
      </c>
      <c r="I185" s="9" t="s">
        <v>17</v>
      </c>
    </row>
    <row r="186" spans="1:9">
      <c r="A186" s="6" t="s">
        <v>331</v>
      </c>
      <c r="B186" s="7" t="s">
        <v>10</v>
      </c>
      <c r="C186" s="7" t="s">
        <v>15</v>
      </c>
      <c r="D186" s="7" t="s">
        <v>65</v>
      </c>
      <c r="E186" s="7" t="s">
        <v>13</v>
      </c>
      <c r="F186" s="7" t="s">
        <v>186</v>
      </c>
      <c r="G186" s="7" t="s">
        <v>14</v>
      </c>
      <c r="H186" s="7" t="s">
        <v>16</v>
      </c>
      <c r="I186" s="7" t="s">
        <v>12</v>
      </c>
    </row>
    <row r="187" spans="1:9">
      <c r="A187" s="8" t="s">
        <v>330</v>
      </c>
      <c r="B187" s="9" t="s">
        <v>14</v>
      </c>
      <c r="C187" s="9" t="s">
        <v>11</v>
      </c>
      <c r="D187" s="9" t="s">
        <v>65</v>
      </c>
      <c r="E187" s="9" t="s">
        <v>13</v>
      </c>
      <c r="F187" s="9" t="s">
        <v>186</v>
      </c>
      <c r="G187" s="9" t="s">
        <v>15</v>
      </c>
      <c r="H187" s="9" t="s">
        <v>10</v>
      </c>
      <c r="I187" s="9" t="s">
        <v>17</v>
      </c>
    </row>
    <row r="188" spans="1:9">
      <c r="A188" s="6" t="s">
        <v>329</v>
      </c>
      <c r="B188" s="7" t="s">
        <v>14</v>
      </c>
      <c r="C188" s="7" t="s">
        <v>11</v>
      </c>
      <c r="D188" s="7" t="s">
        <v>65</v>
      </c>
      <c r="E188" s="7" t="s">
        <v>13</v>
      </c>
      <c r="F188" s="7" t="s">
        <v>186</v>
      </c>
      <c r="G188" s="7" t="s">
        <v>15</v>
      </c>
      <c r="H188" s="7" t="s">
        <v>16</v>
      </c>
      <c r="I188" s="7" t="s">
        <v>10</v>
      </c>
    </row>
    <row r="189" spans="1:9">
      <c r="A189" s="8" t="s">
        <v>328</v>
      </c>
      <c r="B189" s="9" t="s">
        <v>10</v>
      </c>
      <c r="C189" s="9" t="s">
        <v>15</v>
      </c>
      <c r="D189" s="9" t="s">
        <v>65</v>
      </c>
      <c r="E189" s="9" t="s">
        <v>13</v>
      </c>
      <c r="F189" s="9" t="s">
        <v>186</v>
      </c>
      <c r="G189" s="9" t="s">
        <v>14</v>
      </c>
      <c r="H189" s="9" t="s">
        <v>16</v>
      </c>
      <c r="I189" s="9" t="s">
        <v>17</v>
      </c>
    </row>
    <row r="190" spans="1:9">
      <c r="A190" s="6" t="s">
        <v>327</v>
      </c>
      <c r="B190" s="7" t="s">
        <v>10</v>
      </c>
      <c r="C190" s="7" t="s">
        <v>11</v>
      </c>
      <c r="D190" s="7" t="s">
        <v>65</v>
      </c>
      <c r="E190" s="7" t="s">
        <v>13</v>
      </c>
      <c r="F190" s="7" t="s">
        <v>186</v>
      </c>
      <c r="G190" s="7" t="s">
        <v>15</v>
      </c>
      <c r="H190" s="7" t="s">
        <v>12</v>
      </c>
      <c r="I190" s="7" t="s">
        <v>17</v>
      </c>
    </row>
    <row r="191" spans="1:9">
      <c r="A191" s="8" t="s">
        <v>326</v>
      </c>
      <c r="B191" s="9" t="s">
        <v>10</v>
      </c>
      <c r="C191" s="9" t="s">
        <v>11</v>
      </c>
      <c r="D191" s="9" t="s">
        <v>65</v>
      </c>
      <c r="E191" s="9" t="s">
        <v>13</v>
      </c>
      <c r="F191" s="9" t="s">
        <v>186</v>
      </c>
      <c r="G191" s="9" t="s">
        <v>15</v>
      </c>
      <c r="H191" s="9" t="s">
        <v>16</v>
      </c>
      <c r="I191" s="9" t="s">
        <v>12</v>
      </c>
    </row>
    <row r="192" spans="1:9">
      <c r="A192" s="6" t="s">
        <v>325</v>
      </c>
      <c r="B192" s="7" t="s">
        <v>10</v>
      </c>
      <c r="C192" s="7" t="s">
        <v>15</v>
      </c>
      <c r="D192" s="7" t="s">
        <v>65</v>
      </c>
      <c r="E192" s="7" t="s">
        <v>186</v>
      </c>
      <c r="F192" s="7" t="s">
        <v>12</v>
      </c>
      <c r="G192" s="7" t="s">
        <v>13</v>
      </c>
      <c r="H192" s="7" t="s">
        <v>16</v>
      </c>
      <c r="I192" s="7" t="s">
        <v>17</v>
      </c>
    </row>
    <row r="193" spans="1:9">
      <c r="A193" s="8" t="s">
        <v>324</v>
      </c>
      <c r="B193" s="9" t="s">
        <v>10</v>
      </c>
      <c r="C193" s="9" t="s">
        <v>11</v>
      </c>
      <c r="D193" s="9" t="s">
        <v>65</v>
      </c>
      <c r="E193" s="9" t="s">
        <v>13</v>
      </c>
      <c r="F193" s="9" t="s">
        <v>186</v>
      </c>
      <c r="G193" s="9" t="s">
        <v>15</v>
      </c>
      <c r="H193" s="9" t="s">
        <v>16</v>
      </c>
      <c r="I193" s="9" t="s">
        <v>17</v>
      </c>
    </row>
    <row r="194" spans="1:9">
      <c r="A194" s="6" t="s">
        <v>323</v>
      </c>
      <c r="B194" s="7" t="s">
        <v>10</v>
      </c>
      <c r="C194" s="7" t="s">
        <v>11</v>
      </c>
      <c r="D194" s="7" t="s">
        <v>65</v>
      </c>
      <c r="E194" s="7" t="s">
        <v>13</v>
      </c>
      <c r="F194" s="7" t="s">
        <v>186</v>
      </c>
      <c r="G194" s="7" t="s">
        <v>14</v>
      </c>
      <c r="H194" s="7" t="s">
        <v>12</v>
      </c>
      <c r="I194" s="7" t="s">
        <v>17</v>
      </c>
    </row>
    <row r="195" spans="1:9">
      <c r="A195" s="8" t="s">
        <v>322</v>
      </c>
      <c r="B195" s="9" t="s">
        <v>10</v>
      </c>
      <c r="C195" s="9" t="s">
        <v>11</v>
      </c>
      <c r="D195" s="9" t="s">
        <v>65</v>
      </c>
      <c r="E195" s="9" t="s">
        <v>13</v>
      </c>
      <c r="F195" s="9" t="s">
        <v>186</v>
      </c>
      <c r="G195" s="9" t="s">
        <v>14</v>
      </c>
      <c r="H195" s="9" t="s">
        <v>16</v>
      </c>
      <c r="I195" s="9" t="s">
        <v>12</v>
      </c>
    </row>
    <row r="196" spans="1:9">
      <c r="A196" s="6" t="s">
        <v>321</v>
      </c>
      <c r="B196" s="7" t="s">
        <v>10</v>
      </c>
      <c r="C196" s="7" t="s">
        <v>12</v>
      </c>
      <c r="D196" s="7" t="s">
        <v>65</v>
      </c>
      <c r="E196" s="7" t="s">
        <v>13</v>
      </c>
      <c r="F196" s="7" t="s">
        <v>186</v>
      </c>
      <c r="G196" s="7" t="s">
        <v>14</v>
      </c>
      <c r="H196" s="7" t="s">
        <v>16</v>
      </c>
      <c r="I196" s="7" t="s">
        <v>17</v>
      </c>
    </row>
    <row r="197" spans="1:9">
      <c r="A197" s="8" t="s">
        <v>320</v>
      </c>
      <c r="B197" s="9" t="s">
        <v>10</v>
      </c>
      <c r="C197" s="9" t="s">
        <v>11</v>
      </c>
      <c r="D197" s="9" t="s">
        <v>65</v>
      </c>
      <c r="E197" s="9" t="s">
        <v>13</v>
      </c>
      <c r="F197" s="9" t="s">
        <v>186</v>
      </c>
      <c r="G197" s="9" t="s">
        <v>14</v>
      </c>
      <c r="H197" s="9" t="s">
        <v>16</v>
      </c>
      <c r="I197" s="9" t="s">
        <v>17</v>
      </c>
    </row>
    <row r="198" spans="1:9">
      <c r="A198" s="6" t="s">
        <v>319</v>
      </c>
      <c r="B198" s="7" t="s">
        <v>10</v>
      </c>
      <c r="C198" s="7" t="s">
        <v>11</v>
      </c>
      <c r="D198" s="7" t="s">
        <v>65</v>
      </c>
      <c r="E198" s="7" t="s">
        <v>186</v>
      </c>
      <c r="F198" s="7" t="s">
        <v>12</v>
      </c>
      <c r="G198" s="7" t="s">
        <v>13</v>
      </c>
      <c r="H198" s="7" t="s">
        <v>16</v>
      </c>
      <c r="I198" s="7" t="s">
        <v>17</v>
      </c>
    </row>
    <row r="199" spans="1:9">
      <c r="A199" s="8" t="s">
        <v>318</v>
      </c>
      <c r="B199" s="9" t="s">
        <v>10</v>
      </c>
      <c r="C199" s="9" t="s">
        <v>11</v>
      </c>
      <c r="D199" s="9" t="s">
        <v>65</v>
      </c>
      <c r="E199" s="9" t="s">
        <v>186</v>
      </c>
      <c r="F199" s="9" t="s">
        <v>14</v>
      </c>
      <c r="G199" s="9" t="s">
        <v>15</v>
      </c>
      <c r="H199" s="9" t="s">
        <v>12</v>
      </c>
      <c r="I199" s="9" t="s">
        <v>17</v>
      </c>
    </row>
    <row r="200" spans="1:9">
      <c r="A200" s="6" t="s">
        <v>317</v>
      </c>
      <c r="B200" s="7" t="s">
        <v>10</v>
      </c>
      <c r="C200" s="7" t="s">
        <v>11</v>
      </c>
      <c r="D200" s="7" t="s">
        <v>65</v>
      </c>
      <c r="E200" s="7" t="s">
        <v>186</v>
      </c>
      <c r="F200" s="7" t="s">
        <v>12</v>
      </c>
      <c r="G200" s="7" t="s">
        <v>15</v>
      </c>
      <c r="H200" s="7" t="s">
        <v>16</v>
      </c>
      <c r="I200" s="7" t="s">
        <v>17</v>
      </c>
    </row>
    <row r="201" spans="1:9">
      <c r="A201" s="8" t="s">
        <v>316</v>
      </c>
      <c r="B201" s="9" t="s">
        <v>10</v>
      </c>
      <c r="C201" s="9" t="s">
        <v>15</v>
      </c>
      <c r="D201" s="9" t="s">
        <v>65</v>
      </c>
      <c r="E201" s="9" t="s">
        <v>186</v>
      </c>
      <c r="F201" s="9" t="s">
        <v>12</v>
      </c>
      <c r="G201" s="9" t="s">
        <v>14</v>
      </c>
      <c r="H201" s="9" t="s">
        <v>16</v>
      </c>
      <c r="I201" s="9" t="s">
        <v>17</v>
      </c>
    </row>
    <row r="202" spans="1:9">
      <c r="A202" s="6" t="s">
        <v>315</v>
      </c>
      <c r="B202" s="7" t="s">
        <v>10</v>
      </c>
      <c r="C202" s="7" t="s">
        <v>11</v>
      </c>
      <c r="D202" s="7" t="s">
        <v>65</v>
      </c>
      <c r="E202" s="7" t="s">
        <v>186</v>
      </c>
      <c r="F202" s="7" t="s">
        <v>14</v>
      </c>
      <c r="G202" s="7" t="s">
        <v>15</v>
      </c>
      <c r="H202" s="7" t="s">
        <v>16</v>
      </c>
      <c r="I202" s="7" t="s">
        <v>17</v>
      </c>
    </row>
    <row r="203" spans="1:9">
      <c r="A203" s="8" t="s">
        <v>314</v>
      </c>
      <c r="B203" s="9" t="s">
        <v>14</v>
      </c>
      <c r="C203" s="9" t="s">
        <v>15</v>
      </c>
      <c r="D203" s="9" t="s">
        <v>65</v>
      </c>
      <c r="E203" s="9" t="s">
        <v>28</v>
      </c>
      <c r="F203" s="9" t="s">
        <v>186</v>
      </c>
      <c r="G203" s="9" t="s">
        <v>13</v>
      </c>
      <c r="H203" s="9" t="s">
        <v>19</v>
      </c>
      <c r="I203" s="9" t="s">
        <v>10</v>
      </c>
    </row>
    <row r="204" spans="1:9">
      <c r="A204" s="6" t="s">
        <v>313</v>
      </c>
      <c r="B204" s="7" t="s">
        <v>10</v>
      </c>
      <c r="C204" s="7" t="s">
        <v>11</v>
      </c>
      <c r="D204" s="7" t="s">
        <v>65</v>
      </c>
      <c r="E204" s="7" t="s">
        <v>186</v>
      </c>
      <c r="F204" s="7" t="s">
        <v>12</v>
      </c>
      <c r="G204" s="7" t="s">
        <v>14</v>
      </c>
      <c r="H204" s="7" t="s">
        <v>16</v>
      </c>
      <c r="I204" s="7" t="s">
        <v>17</v>
      </c>
    </row>
    <row r="205" spans="1:9">
      <c r="A205" s="8" t="s">
        <v>312</v>
      </c>
      <c r="B205" s="9" t="s">
        <v>14</v>
      </c>
      <c r="C205" s="9" t="s">
        <v>11</v>
      </c>
      <c r="D205" s="9" t="s">
        <v>65</v>
      </c>
      <c r="E205" s="9" t="s">
        <v>13</v>
      </c>
      <c r="F205" s="9" t="s">
        <v>186</v>
      </c>
      <c r="G205" s="9" t="s">
        <v>15</v>
      </c>
      <c r="H205" s="9" t="s">
        <v>12</v>
      </c>
      <c r="I205" s="9" t="s">
        <v>17</v>
      </c>
    </row>
    <row r="206" spans="1:9">
      <c r="A206" s="6" t="s">
        <v>311</v>
      </c>
      <c r="B206" s="7" t="s">
        <v>14</v>
      </c>
      <c r="C206" s="7" t="s">
        <v>11</v>
      </c>
      <c r="D206" s="7" t="s">
        <v>65</v>
      </c>
      <c r="E206" s="7" t="s">
        <v>13</v>
      </c>
      <c r="F206" s="7" t="s">
        <v>186</v>
      </c>
      <c r="G206" s="7" t="s">
        <v>15</v>
      </c>
      <c r="H206" s="7" t="s">
        <v>16</v>
      </c>
      <c r="I206" s="7" t="s">
        <v>12</v>
      </c>
    </row>
    <row r="207" spans="1:9">
      <c r="A207" s="8" t="s">
        <v>310</v>
      </c>
      <c r="B207" s="9" t="s">
        <v>14</v>
      </c>
      <c r="C207" s="9" t="s">
        <v>15</v>
      </c>
      <c r="D207" s="9" t="s">
        <v>65</v>
      </c>
      <c r="E207" s="9" t="s">
        <v>186</v>
      </c>
      <c r="F207" s="9" t="s">
        <v>12</v>
      </c>
      <c r="G207" s="9" t="s">
        <v>13</v>
      </c>
      <c r="H207" s="9" t="s">
        <v>16</v>
      </c>
      <c r="I207" s="9" t="s">
        <v>17</v>
      </c>
    </row>
    <row r="208" spans="1:9">
      <c r="A208" s="6" t="s">
        <v>309</v>
      </c>
      <c r="B208" s="7" t="s">
        <v>14</v>
      </c>
      <c r="C208" s="7" t="s">
        <v>11</v>
      </c>
      <c r="D208" s="7" t="s">
        <v>65</v>
      </c>
      <c r="E208" s="7" t="s">
        <v>13</v>
      </c>
      <c r="F208" s="7" t="s">
        <v>186</v>
      </c>
      <c r="G208" s="7" t="s">
        <v>15</v>
      </c>
      <c r="H208" s="7" t="s">
        <v>16</v>
      </c>
      <c r="I208" s="7" t="s">
        <v>17</v>
      </c>
    </row>
    <row r="209" spans="1:9">
      <c r="A209" s="8" t="s">
        <v>308</v>
      </c>
      <c r="B209" s="9" t="s">
        <v>12</v>
      </c>
      <c r="C209" s="9" t="s">
        <v>11</v>
      </c>
      <c r="D209" s="9" t="s">
        <v>65</v>
      </c>
      <c r="E209" s="9" t="s">
        <v>13</v>
      </c>
      <c r="F209" s="9" t="s">
        <v>186</v>
      </c>
      <c r="G209" s="9" t="s">
        <v>15</v>
      </c>
      <c r="H209" s="9" t="s">
        <v>16</v>
      </c>
      <c r="I209" s="9" t="s">
        <v>17</v>
      </c>
    </row>
    <row r="210" spans="1:9">
      <c r="A210" s="6" t="s">
        <v>307</v>
      </c>
      <c r="B210" s="7" t="s">
        <v>14</v>
      </c>
      <c r="C210" s="7" t="s">
        <v>11</v>
      </c>
      <c r="D210" s="7" t="s">
        <v>65</v>
      </c>
      <c r="E210" s="7" t="s">
        <v>186</v>
      </c>
      <c r="F210" s="7" t="s">
        <v>12</v>
      </c>
      <c r="G210" s="7" t="s">
        <v>13</v>
      </c>
      <c r="H210" s="7" t="s">
        <v>16</v>
      </c>
      <c r="I210" s="7" t="s">
        <v>17</v>
      </c>
    </row>
    <row r="211" spans="1:9">
      <c r="A211" s="8" t="s">
        <v>306</v>
      </c>
      <c r="B211" s="9" t="s">
        <v>14</v>
      </c>
      <c r="C211" s="9" t="s">
        <v>11</v>
      </c>
      <c r="D211" s="9" t="s">
        <v>65</v>
      </c>
      <c r="E211" s="9" t="s">
        <v>186</v>
      </c>
      <c r="F211" s="9" t="s">
        <v>12</v>
      </c>
      <c r="G211" s="9" t="s">
        <v>15</v>
      </c>
      <c r="H211" s="9" t="s">
        <v>16</v>
      </c>
      <c r="I211" s="9" t="s">
        <v>17</v>
      </c>
    </row>
    <row r="212" spans="1:9">
      <c r="A212" s="6" t="s">
        <v>305</v>
      </c>
      <c r="B212" s="7" t="s">
        <v>14</v>
      </c>
      <c r="C212" s="7" t="s">
        <v>15</v>
      </c>
      <c r="D212" s="7" t="s">
        <v>10</v>
      </c>
      <c r="E212" s="7" t="s">
        <v>28</v>
      </c>
      <c r="F212" s="7" t="s">
        <v>186</v>
      </c>
      <c r="G212" s="7" t="s">
        <v>13</v>
      </c>
      <c r="H212" s="7" t="s">
        <v>19</v>
      </c>
      <c r="I212" s="7" t="s">
        <v>12</v>
      </c>
    </row>
    <row r="213" spans="1:9">
      <c r="A213" s="8" t="s">
        <v>304</v>
      </c>
      <c r="B213" s="9" t="s">
        <v>14</v>
      </c>
      <c r="C213" s="9" t="s">
        <v>15</v>
      </c>
      <c r="D213" s="9" t="s">
        <v>11</v>
      </c>
      <c r="E213" s="9" t="s">
        <v>28</v>
      </c>
      <c r="F213" s="9" t="s">
        <v>186</v>
      </c>
      <c r="G213" s="9" t="s">
        <v>13</v>
      </c>
      <c r="H213" s="9" t="s">
        <v>19</v>
      </c>
      <c r="I213" s="9" t="s">
        <v>10</v>
      </c>
    </row>
    <row r="214" spans="1:9">
      <c r="A214" s="6" t="s">
        <v>303</v>
      </c>
      <c r="B214" s="7" t="s">
        <v>14</v>
      </c>
      <c r="C214" s="7" t="s">
        <v>15</v>
      </c>
      <c r="D214" s="7" t="s">
        <v>10</v>
      </c>
      <c r="E214" s="7" t="s">
        <v>28</v>
      </c>
      <c r="F214" s="7" t="s">
        <v>186</v>
      </c>
      <c r="G214" s="7" t="s">
        <v>13</v>
      </c>
      <c r="H214" s="7" t="s">
        <v>19</v>
      </c>
      <c r="I214" s="7" t="s">
        <v>17</v>
      </c>
    </row>
    <row r="215" spans="1:9">
      <c r="A215" s="8" t="s">
        <v>302</v>
      </c>
      <c r="B215" s="9" t="s">
        <v>14</v>
      </c>
      <c r="C215" s="9" t="s">
        <v>15</v>
      </c>
      <c r="D215" s="9" t="s">
        <v>13</v>
      </c>
      <c r="E215" s="9" t="s">
        <v>28</v>
      </c>
      <c r="F215" s="9" t="s">
        <v>186</v>
      </c>
      <c r="G215" s="9" t="s">
        <v>19</v>
      </c>
      <c r="H215" s="9" t="s">
        <v>16</v>
      </c>
      <c r="I215" s="9" t="s">
        <v>10</v>
      </c>
    </row>
    <row r="216" spans="1:9">
      <c r="A216" s="6" t="s">
        <v>301</v>
      </c>
      <c r="B216" s="7" t="s">
        <v>28</v>
      </c>
      <c r="C216" s="7" t="s">
        <v>15</v>
      </c>
      <c r="D216" s="7" t="s">
        <v>11</v>
      </c>
      <c r="E216" s="7" t="s">
        <v>19</v>
      </c>
      <c r="F216" s="7" t="s">
        <v>186</v>
      </c>
      <c r="G216" s="7" t="s">
        <v>13</v>
      </c>
      <c r="H216" s="7" t="s">
        <v>10</v>
      </c>
      <c r="I216" s="7" t="s">
        <v>12</v>
      </c>
    </row>
    <row r="217" spans="1:9">
      <c r="A217" s="8" t="s">
        <v>300</v>
      </c>
      <c r="B217" s="9" t="s">
        <v>28</v>
      </c>
      <c r="C217" s="9" t="s">
        <v>15</v>
      </c>
      <c r="D217" s="9" t="s">
        <v>10</v>
      </c>
      <c r="E217" s="9" t="s">
        <v>19</v>
      </c>
      <c r="F217" s="9" t="s">
        <v>186</v>
      </c>
      <c r="G217" s="9" t="s">
        <v>13</v>
      </c>
      <c r="H217" s="9" t="s">
        <v>12</v>
      </c>
      <c r="I217" s="9" t="s">
        <v>17</v>
      </c>
    </row>
    <row r="218" spans="1:9">
      <c r="A218" s="6" t="s">
        <v>299</v>
      </c>
      <c r="B218" s="7" t="s">
        <v>28</v>
      </c>
      <c r="C218" s="7" t="s">
        <v>15</v>
      </c>
      <c r="D218" s="7" t="s">
        <v>10</v>
      </c>
      <c r="E218" s="7" t="s">
        <v>19</v>
      </c>
      <c r="F218" s="7" t="s">
        <v>186</v>
      </c>
      <c r="G218" s="7" t="s">
        <v>13</v>
      </c>
      <c r="H218" s="7" t="s">
        <v>16</v>
      </c>
      <c r="I218" s="7" t="s">
        <v>12</v>
      </c>
    </row>
    <row r="219" spans="1:9">
      <c r="A219" s="8" t="s">
        <v>298</v>
      </c>
      <c r="B219" s="9" t="s">
        <v>28</v>
      </c>
      <c r="C219" s="9" t="s">
        <v>15</v>
      </c>
      <c r="D219" s="9" t="s">
        <v>11</v>
      </c>
      <c r="E219" s="9" t="s">
        <v>19</v>
      </c>
      <c r="F219" s="9" t="s">
        <v>186</v>
      </c>
      <c r="G219" s="9" t="s">
        <v>13</v>
      </c>
      <c r="H219" s="9" t="s">
        <v>10</v>
      </c>
      <c r="I219" s="9" t="s">
        <v>17</v>
      </c>
    </row>
    <row r="220" spans="1:9">
      <c r="A220" s="6" t="s">
        <v>297</v>
      </c>
      <c r="B220" s="7" t="s">
        <v>28</v>
      </c>
      <c r="C220" s="7" t="s">
        <v>15</v>
      </c>
      <c r="D220" s="7" t="s">
        <v>11</v>
      </c>
      <c r="E220" s="7" t="s">
        <v>19</v>
      </c>
      <c r="F220" s="7" t="s">
        <v>186</v>
      </c>
      <c r="G220" s="7" t="s">
        <v>13</v>
      </c>
      <c r="H220" s="7" t="s">
        <v>16</v>
      </c>
      <c r="I220" s="7" t="s">
        <v>10</v>
      </c>
    </row>
    <row r="221" spans="1:9">
      <c r="A221" s="8" t="s">
        <v>296</v>
      </c>
      <c r="B221" s="9" t="s">
        <v>28</v>
      </c>
      <c r="C221" s="9" t="s">
        <v>15</v>
      </c>
      <c r="D221" s="9" t="s">
        <v>10</v>
      </c>
      <c r="E221" s="9" t="s">
        <v>19</v>
      </c>
      <c r="F221" s="9" t="s">
        <v>186</v>
      </c>
      <c r="G221" s="9" t="s">
        <v>13</v>
      </c>
      <c r="H221" s="9" t="s">
        <v>16</v>
      </c>
      <c r="I221" s="9" t="s">
        <v>17</v>
      </c>
    </row>
    <row r="222" spans="1:9">
      <c r="A222" s="6" t="s">
        <v>295</v>
      </c>
      <c r="B222" s="7" t="s">
        <v>14</v>
      </c>
      <c r="C222" s="7" t="s">
        <v>11</v>
      </c>
      <c r="D222" s="7" t="s">
        <v>10</v>
      </c>
      <c r="E222" s="7" t="s">
        <v>28</v>
      </c>
      <c r="F222" s="7" t="s">
        <v>186</v>
      </c>
      <c r="G222" s="7" t="s">
        <v>13</v>
      </c>
      <c r="H222" s="7" t="s">
        <v>19</v>
      </c>
      <c r="I222" s="7" t="s">
        <v>12</v>
      </c>
    </row>
    <row r="223" spans="1:9">
      <c r="A223" s="8" t="s">
        <v>294</v>
      </c>
      <c r="B223" s="9" t="s">
        <v>14</v>
      </c>
      <c r="C223" s="9" t="s">
        <v>10</v>
      </c>
      <c r="D223" s="9" t="s">
        <v>13</v>
      </c>
      <c r="E223" s="9" t="s">
        <v>28</v>
      </c>
      <c r="F223" s="9" t="s">
        <v>186</v>
      </c>
      <c r="G223" s="9" t="s">
        <v>19</v>
      </c>
      <c r="H223" s="9" t="s">
        <v>12</v>
      </c>
      <c r="I223" s="9" t="s">
        <v>17</v>
      </c>
    </row>
    <row r="224" spans="1:9">
      <c r="A224" s="6" t="s">
        <v>293</v>
      </c>
      <c r="B224" s="7" t="s">
        <v>14</v>
      </c>
      <c r="C224" s="7" t="s">
        <v>10</v>
      </c>
      <c r="D224" s="7" t="s">
        <v>13</v>
      </c>
      <c r="E224" s="7" t="s">
        <v>28</v>
      </c>
      <c r="F224" s="7" t="s">
        <v>186</v>
      </c>
      <c r="G224" s="7" t="s">
        <v>19</v>
      </c>
      <c r="H224" s="7" t="s">
        <v>16</v>
      </c>
      <c r="I224" s="7" t="s">
        <v>12</v>
      </c>
    </row>
    <row r="225" spans="1:9">
      <c r="A225" s="8" t="s">
        <v>292</v>
      </c>
      <c r="B225" s="9" t="s">
        <v>14</v>
      </c>
      <c r="C225" s="9" t="s">
        <v>11</v>
      </c>
      <c r="D225" s="9" t="s">
        <v>10</v>
      </c>
      <c r="E225" s="9" t="s">
        <v>28</v>
      </c>
      <c r="F225" s="9" t="s">
        <v>186</v>
      </c>
      <c r="G225" s="9" t="s">
        <v>13</v>
      </c>
      <c r="H225" s="9" t="s">
        <v>19</v>
      </c>
      <c r="I225" s="9" t="s">
        <v>17</v>
      </c>
    </row>
    <row r="226" spans="1:9">
      <c r="A226" s="6" t="s">
        <v>291</v>
      </c>
      <c r="B226" s="7" t="s">
        <v>14</v>
      </c>
      <c r="C226" s="7" t="s">
        <v>11</v>
      </c>
      <c r="D226" s="7" t="s">
        <v>13</v>
      </c>
      <c r="E226" s="7" t="s">
        <v>28</v>
      </c>
      <c r="F226" s="7" t="s">
        <v>186</v>
      </c>
      <c r="G226" s="7" t="s">
        <v>19</v>
      </c>
      <c r="H226" s="7" t="s">
        <v>16</v>
      </c>
      <c r="I226" s="7" t="s">
        <v>10</v>
      </c>
    </row>
    <row r="227" spans="1:9">
      <c r="A227" s="8" t="s">
        <v>290</v>
      </c>
      <c r="B227" s="9" t="s">
        <v>14</v>
      </c>
      <c r="C227" s="9" t="s">
        <v>10</v>
      </c>
      <c r="D227" s="9" t="s">
        <v>13</v>
      </c>
      <c r="E227" s="9" t="s">
        <v>28</v>
      </c>
      <c r="F227" s="9" t="s">
        <v>186</v>
      </c>
      <c r="G227" s="9" t="s">
        <v>19</v>
      </c>
      <c r="H227" s="9" t="s">
        <v>16</v>
      </c>
      <c r="I227" s="9" t="s">
        <v>17</v>
      </c>
    </row>
    <row r="228" spans="1:9">
      <c r="A228" s="6" t="s">
        <v>289</v>
      </c>
      <c r="B228" s="7" t="s">
        <v>28</v>
      </c>
      <c r="C228" s="7" t="s">
        <v>11</v>
      </c>
      <c r="D228" s="7" t="s">
        <v>10</v>
      </c>
      <c r="E228" s="7" t="s">
        <v>19</v>
      </c>
      <c r="F228" s="7" t="s">
        <v>186</v>
      </c>
      <c r="G228" s="7" t="s">
        <v>13</v>
      </c>
      <c r="H228" s="7" t="s">
        <v>12</v>
      </c>
      <c r="I228" s="7" t="s">
        <v>17</v>
      </c>
    </row>
    <row r="229" spans="1:9">
      <c r="A229" s="8" t="s">
        <v>288</v>
      </c>
      <c r="B229" s="9" t="s">
        <v>28</v>
      </c>
      <c r="C229" s="9" t="s">
        <v>11</v>
      </c>
      <c r="D229" s="9" t="s">
        <v>10</v>
      </c>
      <c r="E229" s="9" t="s">
        <v>19</v>
      </c>
      <c r="F229" s="9" t="s">
        <v>186</v>
      </c>
      <c r="G229" s="9" t="s">
        <v>13</v>
      </c>
      <c r="H229" s="9" t="s">
        <v>16</v>
      </c>
      <c r="I229" s="9" t="s">
        <v>12</v>
      </c>
    </row>
    <row r="230" spans="1:9">
      <c r="A230" s="6" t="s">
        <v>287</v>
      </c>
      <c r="B230" s="7" t="s">
        <v>14</v>
      </c>
      <c r="C230" s="7" t="s">
        <v>15</v>
      </c>
      <c r="D230" s="7" t="s">
        <v>65</v>
      </c>
      <c r="E230" s="7" t="s">
        <v>28</v>
      </c>
      <c r="F230" s="7" t="s">
        <v>186</v>
      </c>
      <c r="G230" s="7" t="s">
        <v>13</v>
      </c>
      <c r="H230" s="7" t="s">
        <v>19</v>
      </c>
      <c r="I230" s="7" t="s">
        <v>10</v>
      </c>
    </row>
    <row r="231" spans="1:9">
      <c r="A231" s="8" t="s">
        <v>286</v>
      </c>
      <c r="B231" s="9" t="s">
        <v>28</v>
      </c>
      <c r="C231" s="9" t="s">
        <v>11</v>
      </c>
      <c r="D231" s="9" t="s">
        <v>10</v>
      </c>
      <c r="E231" s="9" t="s">
        <v>19</v>
      </c>
      <c r="F231" s="9" t="s">
        <v>186</v>
      </c>
      <c r="G231" s="9" t="s">
        <v>13</v>
      </c>
      <c r="H231" s="9" t="s">
        <v>16</v>
      </c>
      <c r="I231" s="9" t="s">
        <v>17</v>
      </c>
    </row>
    <row r="232" spans="1:9">
      <c r="A232" s="6" t="s">
        <v>285</v>
      </c>
      <c r="B232" s="7" t="s">
        <v>14</v>
      </c>
      <c r="C232" s="7" t="s">
        <v>15</v>
      </c>
      <c r="D232" s="7" t="s">
        <v>11</v>
      </c>
      <c r="E232" s="7" t="s">
        <v>28</v>
      </c>
      <c r="F232" s="7" t="s">
        <v>186</v>
      </c>
      <c r="G232" s="7" t="s">
        <v>19</v>
      </c>
      <c r="H232" s="7" t="s">
        <v>10</v>
      </c>
      <c r="I232" s="7" t="s">
        <v>12</v>
      </c>
    </row>
    <row r="233" spans="1:9">
      <c r="A233" s="8" t="s">
        <v>284</v>
      </c>
      <c r="B233" s="9" t="s">
        <v>14</v>
      </c>
      <c r="C233" s="9" t="s">
        <v>15</v>
      </c>
      <c r="D233" s="9" t="s">
        <v>10</v>
      </c>
      <c r="E233" s="9" t="s">
        <v>28</v>
      </c>
      <c r="F233" s="9" t="s">
        <v>186</v>
      </c>
      <c r="G233" s="9" t="s">
        <v>19</v>
      </c>
      <c r="H233" s="9" t="s">
        <v>12</v>
      </c>
      <c r="I233" s="9" t="s">
        <v>17</v>
      </c>
    </row>
    <row r="234" spans="1:9">
      <c r="A234" s="6" t="s">
        <v>283</v>
      </c>
      <c r="B234" s="7" t="s">
        <v>14</v>
      </c>
      <c r="C234" s="7" t="s">
        <v>15</v>
      </c>
      <c r="D234" s="7" t="s">
        <v>10</v>
      </c>
      <c r="E234" s="7" t="s">
        <v>28</v>
      </c>
      <c r="F234" s="7" t="s">
        <v>186</v>
      </c>
      <c r="G234" s="7" t="s">
        <v>19</v>
      </c>
      <c r="H234" s="7" t="s">
        <v>16</v>
      </c>
      <c r="I234" s="7" t="s">
        <v>12</v>
      </c>
    </row>
    <row r="235" spans="1:9">
      <c r="A235" s="8" t="s">
        <v>282</v>
      </c>
      <c r="B235" s="9" t="s">
        <v>14</v>
      </c>
      <c r="C235" s="9" t="s">
        <v>15</v>
      </c>
      <c r="D235" s="9" t="s">
        <v>11</v>
      </c>
      <c r="E235" s="9" t="s">
        <v>28</v>
      </c>
      <c r="F235" s="9" t="s">
        <v>186</v>
      </c>
      <c r="G235" s="9" t="s">
        <v>19</v>
      </c>
      <c r="H235" s="9" t="s">
        <v>10</v>
      </c>
      <c r="I235" s="9" t="s">
        <v>17</v>
      </c>
    </row>
    <row r="236" spans="1:9">
      <c r="A236" s="6" t="s">
        <v>281</v>
      </c>
      <c r="B236" s="7" t="s">
        <v>14</v>
      </c>
      <c r="C236" s="7" t="s">
        <v>15</v>
      </c>
      <c r="D236" s="7" t="s">
        <v>11</v>
      </c>
      <c r="E236" s="7" t="s">
        <v>28</v>
      </c>
      <c r="F236" s="7" t="s">
        <v>186</v>
      </c>
      <c r="G236" s="7" t="s">
        <v>19</v>
      </c>
      <c r="H236" s="7" t="s">
        <v>16</v>
      </c>
      <c r="I236" s="7" t="s">
        <v>10</v>
      </c>
    </row>
    <row r="237" spans="1:9">
      <c r="A237" s="8" t="s">
        <v>280</v>
      </c>
      <c r="B237" s="9" t="s">
        <v>14</v>
      </c>
      <c r="C237" s="9" t="s">
        <v>15</v>
      </c>
      <c r="D237" s="9" t="s">
        <v>10</v>
      </c>
      <c r="E237" s="9" t="s">
        <v>28</v>
      </c>
      <c r="F237" s="9" t="s">
        <v>186</v>
      </c>
      <c r="G237" s="9" t="s">
        <v>19</v>
      </c>
      <c r="H237" s="9" t="s">
        <v>16</v>
      </c>
      <c r="I237" s="9" t="s">
        <v>17</v>
      </c>
    </row>
    <row r="238" spans="1:9">
      <c r="A238" s="6" t="s">
        <v>279</v>
      </c>
      <c r="B238" s="7" t="s">
        <v>10</v>
      </c>
      <c r="C238" s="7" t="s">
        <v>15</v>
      </c>
      <c r="D238" s="7" t="s">
        <v>11</v>
      </c>
      <c r="E238" s="7" t="s">
        <v>28</v>
      </c>
      <c r="F238" s="7" t="s">
        <v>186</v>
      </c>
      <c r="G238" s="7" t="s">
        <v>19</v>
      </c>
      <c r="H238" s="7" t="s">
        <v>12</v>
      </c>
      <c r="I238" s="7" t="s">
        <v>17</v>
      </c>
    </row>
    <row r="239" spans="1:9">
      <c r="A239" s="8" t="s">
        <v>278</v>
      </c>
      <c r="B239" s="9" t="s">
        <v>10</v>
      </c>
      <c r="C239" s="9" t="s">
        <v>15</v>
      </c>
      <c r="D239" s="9" t="s">
        <v>11</v>
      </c>
      <c r="E239" s="9" t="s">
        <v>28</v>
      </c>
      <c r="F239" s="9" t="s">
        <v>186</v>
      </c>
      <c r="G239" s="9" t="s">
        <v>19</v>
      </c>
      <c r="H239" s="9" t="s">
        <v>16</v>
      </c>
      <c r="I239" s="9" t="s">
        <v>12</v>
      </c>
    </row>
    <row r="240" spans="1:9">
      <c r="A240" s="6" t="s">
        <v>277</v>
      </c>
      <c r="B240" s="7" t="s">
        <v>10</v>
      </c>
      <c r="C240" s="7" t="s">
        <v>15</v>
      </c>
      <c r="D240" s="7" t="s">
        <v>12</v>
      </c>
      <c r="E240" s="7" t="s">
        <v>28</v>
      </c>
      <c r="F240" s="7" t="s">
        <v>186</v>
      </c>
      <c r="G240" s="7" t="s">
        <v>19</v>
      </c>
      <c r="H240" s="7" t="s">
        <v>16</v>
      </c>
      <c r="I240" s="7" t="s">
        <v>17</v>
      </c>
    </row>
    <row r="241" spans="1:9">
      <c r="A241" s="8" t="s">
        <v>276</v>
      </c>
      <c r="B241" s="9" t="s">
        <v>10</v>
      </c>
      <c r="C241" s="9" t="s">
        <v>15</v>
      </c>
      <c r="D241" s="9" t="s">
        <v>11</v>
      </c>
      <c r="E241" s="9" t="s">
        <v>28</v>
      </c>
      <c r="F241" s="9" t="s">
        <v>186</v>
      </c>
      <c r="G241" s="9" t="s">
        <v>19</v>
      </c>
      <c r="H241" s="9" t="s">
        <v>16</v>
      </c>
      <c r="I241" s="9" t="s">
        <v>17</v>
      </c>
    </row>
    <row r="242" spans="1:9">
      <c r="A242" s="6" t="s">
        <v>275</v>
      </c>
      <c r="B242" s="7" t="s">
        <v>14</v>
      </c>
      <c r="C242" s="7" t="s">
        <v>11</v>
      </c>
      <c r="D242" s="7" t="s">
        <v>10</v>
      </c>
      <c r="E242" s="7" t="s">
        <v>28</v>
      </c>
      <c r="F242" s="7" t="s">
        <v>186</v>
      </c>
      <c r="G242" s="7" t="s">
        <v>19</v>
      </c>
      <c r="H242" s="7" t="s">
        <v>12</v>
      </c>
      <c r="I242" s="7" t="s">
        <v>17</v>
      </c>
    </row>
    <row r="243" spans="1:9">
      <c r="A243" s="8" t="s">
        <v>274</v>
      </c>
      <c r="B243" s="9" t="s">
        <v>10</v>
      </c>
      <c r="C243" s="9" t="s">
        <v>11</v>
      </c>
      <c r="D243" s="9" t="s">
        <v>12</v>
      </c>
      <c r="E243" s="9" t="s">
        <v>28</v>
      </c>
      <c r="F243" s="9" t="s">
        <v>186</v>
      </c>
      <c r="G243" s="9" t="s">
        <v>19</v>
      </c>
      <c r="H243" s="9" t="s">
        <v>16</v>
      </c>
      <c r="I243" s="9" t="s">
        <v>17</v>
      </c>
    </row>
    <row r="244" spans="1:9">
      <c r="A244" s="6" t="s">
        <v>273</v>
      </c>
      <c r="B244" s="7" t="s">
        <v>14</v>
      </c>
      <c r="C244" s="7" t="s">
        <v>10</v>
      </c>
      <c r="D244" s="7" t="s">
        <v>12</v>
      </c>
      <c r="E244" s="7" t="s">
        <v>28</v>
      </c>
      <c r="F244" s="7" t="s">
        <v>186</v>
      </c>
      <c r="G244" s="7" t="s">
        <v>19</v>
      </c>
      <c r="H244" s="7" t="s">
        <v>16</v>
      </c>
      <c r="I244" s="7" t="s">
        <v>17</v>
      </c>
    </row>
    <row r="245" spans="1:9">
      <c r="A245" s="8" t="s">
        <v>272</v>
      </c>
      <c r="B245" s="9" t="s">
        <v>14</v>
      </c>
      <c r="C245" s="9" t="s">
        <v>11</v>
      </c>
      <c r="D245" s="9" t="s">
        <v>10</v>
      </c>
      <c r="E245" s="9" t="s">
        <v>28</v>
      </c>
      <c r="F245" s="9" t="s">
        <v>186</v>
      </c>
      <c r="G245" s="9" t="s">
        <v>19</v>
      </c>
      <c r="H245" s="9" t="s">
        <v>16</v>
      </c>
      <c r="I245" s="9" t="s">
        <v>17</v>
      </c>
    </row>
    <row r="246" spans="1:9">
      <c r="A246" s="6" t="s">
        <v>271</v>
      </c>
      <c r="B246" s="7" t="s">
        <v>14</v>
      </c>
      <c r="C246" s="7" t="s">
        <v>15</v>
      </c>
      <c r="D246" s="7" t="s">
        <v>65</v>
      </c>
      <c r="E246" s="7" t="s">
        <v>28</v>
      </c>
      <c r="F246" s="7" t="s">
        <v>186</v>
      </c>
      <c r="G246" s="7" t="s">
        <v>13</v>
      </c>
      <c r="H246" s="7" t="s">
        <v>19</v>
      </c>
      <c r="I246" s="7" t="s">
        <v>10</v>
      </c>
    </row>
    <row r="247" spans="1:9">
      <c r="A247" s="8" t="s">
        <v>270</v>
      </c>
      <c r="B247" s="9" t="s">
        <v>14</v>
      </c>
      <c r="C247" s="9" t="s">
        <v>15</v>
      </c>
      <c r="D247" s="9" t="s">
        <v>11</v>
      </c>
      <c r="E247" s="9" t="s">
        <v>28</v>
      </c>
      <c r="F247" s="9" t="s">
        <v>186</v>
      </c>
      <c r="G247" s="9" t="s">
        <v>13</v>
      </c>
      <c r="H247" s="9" t="s">
        <v>19</v>
      </c>
      <c r="I247" s="9" t="s">
        <v>12</v>
      </c>
    </row>
    <row r="248" spans="1:9">
      <c r="A248" s="6" t="s">
        <v>269</v>
      </c>
      <c r="B248" s="7" t="s">
        <v>14</v>
      </c>
      <c r="C248" s="7" t="s">
        <v>15</v>
      </c>
      <c r="D248" s="7" t="s">
        <v>13</v>
      </c>
      <c r="E248" s="7" t="s">
        <v>28</v>
      </c>
      <c r="F248" s="7" t="s">
        <v>186</v>
      </c>
      <c r="G248" s="7" t="s">
        <v>19</v>
      </c>
      <c r="H248" s="7" t="s">
        <v>12</v>
      </c>
      <c r="I248" s="7" t="s">
        <v>17</v>
      </c>
    </row>
    <row r="249" spans="1:9">
      <c r="A249" s="8" t="s">
        <v>268</v>
      </c>
      <c r="B249" s="9" t="s">
        <v>14</v>
      </c>
      <c r="C249" s="9" t="s">
        <v>15</v>
      </c>
      <c r="D249" s="9" t="s">
        <v>13</v>
      </c>
      <c r="E249" s="9" t="s">
        <v>28</v>
      </c>
      <c r="F249" s="9" t="s">
        <v>186</v>
      </c>
      <c r="G249" s="9" t="s">
        <v>19</v>
      </c>
      <c r="H249" s="9" t="s">
        <v>16</v>
      </c>
      <c r="I249" s="9" t="s">
        <v>12</v>
      </c>
    </row>
    <row r="250" spans="1:9">
      <c r="A250" s="6" t="s">
        <v>267</v>
      </c>
      <c r="B250" s="7" t="s">
        <v>14</v>
      </c>
      <c r="C250" s="7" t="s">
        <v>15</v>
      </c>
      <c r="D250" s="7" t="s">
        <v>11</v>
      </c>
      <c r="E250" s="7" t="s">
        <v>28</v>
      </c>
      <c r="F250" s="7" t="s">
        <v>186</v>
      </c>
      <c r="G250" s="7" t="s">
        <v>13</v>
      </c>
      <c r="H250" s="7" t="s">
        <v>19</v>
      </c>
      <c r="I250" s="7" t="s">
        <v>17</v>
      </c>
    </row>
    <row r="251" spans="1:9">
      <c r="A251" s="8" t="s">
        <v>266</v>
      </c>
      <c r="B251" s="9" t="s">
        <v>28</v>
      </c>
      <c r="C251" s="9" t="s">
        <v>15</v>
      </c>
      <c r="D251" s="9" t="s">
        <v>11</v>
      </c>
      <c r="E251" s="9" t="s">
        <v>19</v>
      </c>
      <c r="F251" s="9" t="s">
        <v>186</v>
      </c>
      <c r="G251" s="9" t="s">
        <v>13</v>
      </c>
      <c r="H251" s="9" t="s">
        <v>16</v>
      </c>
      <c r="I251" s="9" t="s">
        <v>14</v>
      </c>
    </row>
    <row r="252" spans="1:9">
      <c r="A252" s="6" t="s">
        <v>265</v>
      </c>
      <c r="B252" s="7" t="s">
        <v>14</v>
      </c>
      <c r="C252" s="7" t="s">
        <v>15</v>
      </c>
      <c r="D252" s="7" t="s">
        <v>13</v>
      </c>
      <c r="E252" s="7" t="s">
        <v>28</v>
      </c>
      <c r="F252" s="7" t="s">
        <v>186</v>
      </c>
      <c r="G252" s="7" t="s">
        <v>19</v>
      </c>
      <c r="H252" s="7" t="s">
        <v>16</v>
      </c>
      <c r="I252" s="7" t="s">
        <v>17</v>
      </c>
    </row>
    <row r="253" spans="1:9">
      <c r="A253" s="8" t="s">
        <v>264</v>
      </c>
      <c r="B253" s="9" t="s">
        <v>28</v>
      </c>
      <c r="C253" s="9" t="s">
        <v>15</v>
      </c>
      <c r="D253" s="9" t="s">
        <v>11</v>
      </c>
      <c r="E253" s="9" t="s">
        <v>19</v>
      </c>
      <c r="F253" s="9" t="s">
        <v>186</v>
      </c>
      <c r="G253" s="9" t="s">
        <v>13</v>
      </c>
      <c r="H253" s="9" t="s">
        <v>12</v>
      </c>
      <c r="I253" s="9" t="s">
        <v>17</v>
      </c>
    </row>
    <row r="254" spans="1:9">
      <c r="A254" s="6" t="s">
        <v>263</v>
      </c>
      <c r="B254" s="7" t="s">
        <v>28</v>
      </c>
      <c r="C254" s="7" t="s">
        <v>15</v>
      </c>
      <c r="D254" s="7" t="s">
        <v>11</v>
      </c>
      <c r="E254" s="7" t="s">
        <v>19</v>
      </c>
      <c r="F254" s="7" t="s">
        <v>186</v>
      </c>
      <c r="G254" s="7" t="s">
        <v>13</v>
      </c>
      <c r="H254" s="7" t="s">
        <v>16</v>
      </c>
      <c r="I254" s="7" t="s">
        <v>12</v>
      </c>
    </row>
    <row r="255" spans="1:9">
      <c r="A255" s="8" t="s">
        <v>262</v>
      </c>
      <c r="B255" s="9" t="s">
        <v>28</v>
      </c>
      <c r="C255" s="9" t="s">
        <v>15</v>
      </c>
      <c r="D255" s="9" t="s">
        <v>12</v>
      </c>
      <c r="E255" s="9" t="s">
        <v>19</v>
      </c>
      <c r="F255" s="9" t="s">
        <v>186</v>
      </c>
      <c r="G255" s="9" t="s">
        <v>13</v>
      </c>
      <c r="H255" s="9" t="s">
        <v>16</v>
      </c>
      <c r="I255" s="9" t="s">
        <v>17</v>
      </c>
    </row>
    <row r="256" spans="1:9">
      <c r="A256" s="6" t="s">
        <v>261</v>
      </c>
      <c r="B256" s="7" t="s">
        <v>28</v>
      </c>
      <c r="C256" s="7" t="s">
        <v>15</v>
      </c>
      <c r="D256" s="7" t="s">
        <v>11</v>
      </c>
      <c r="E256" s="7" t="s">
        <v>19</v>
      </c>
      <c r="F256" s="7" t="s">
        <v>186</v>
      </c>
      <c r="G256" s="7" t="s">
        <v>13</v>
      </c>
      <c r="H256" s="7" t="s">
        <v>16</v>
      </c>
      <c r="I256" s="7" t="s">
        <v>17</v>
      </c>
    </row>
    <row r="257" spans="1:9">
      <c r="A257" s="8" t="s">
        <v>260</v>
      </c>
      <c r="B257" s="9" t="s">
        <v>14</v>
      </c>
      <c r="C257" s="9" t="s">
        <v>11</v>
      </c>
      <c r="D257" s="9" t="s">
        <v>13</v>
      </c>
      <c r="E257" s="9" t="s">
        <v>28</v>
      </c>
      <c r="F257" s="9" t="s">
        <v>186</v>
      </c>
      <c r="G257" s="9" t="s">
        <v>19</v>
      </c>
      <c r="H257" s="9" t="s">
        <v>12</v>
      </c>
      <c r="I257" s="9" t="s">
        <v>17</v>
      </c>
    </row>
    <row r="258" spans="1:9">
      <c r="A258" s="6" t="s">
        <v>259</v>
      </c>
      <c r="B258" s="7" t="s">
        <v>14</v>
      </c>
      <c r="C258" s="7" t="s">
        <v>11</v>
      </c>
      <c r="D258" s="7" t="s">
        <v>13</v>
      </c>
      <c r="E258" s="7" t="s">
        <v>28</v>
      </c>
      <c r="F258" s="7" t="s">
        <v>186</v>
      </c>
      <c r="G258" s="7" t="s">
        <v>19</v>
      </c>
      <c r="H258" s="7" t="s">
        <v>16</v>
      </c>
      <c r="I258" s="7" t="s">
        <v>12</v>
      </c>
    </row>
    <row r="259" spans="1:9">
      <c r="A259" s="8" t="s">
        <v>258</v>
      </c>
      <c r="B259" s="9" t="s">
        <v>14</v>
      </c>
      <c r="C259" s="9" t="s">
        <v>13</v>
      </c>
      <c r="D259" s="9" t="s">
        <v>12</v>
      </c>
      <c r="E259" s="9" t="s">
        <v>28</v>
      </c>
      <c r="F259" s="9" t="s">
        <v>186</v>
      </c>
      <c r="G259" s="9" t="s">
        <v>19</v>
      </c>
      <c r="H259" s="9" t="s">
        <v>16</v>
      </c>
      <c r="I259" s="9" t="s">
        <v>17</v>
      </c>
    </row>
    <row r="260" spans="1:9">
      <c r="A260" s="6" t="s">
        <v>257</v>
      </c>
      <c r="B260" s="7" t="s">
        <v>14</v>
      </c>
      <c r="C260" s="7" t="s">
        <v>11</v>
      </c>
      <c r="D260" s="7" t="s">
        <v>13</v>
      </c>
      <c r="E260" s="7" t="s">
        <v>28</v>
      </c>
      <c r="F260" s="7" t="s">
        <v>186</v>
      </c>
      <c r="G260" s="7" t="s">
        <v>19</v>
      </c>
      <c r="H260" s="7" t="s">
        <v>16</v>
      </c>
      <c r="I260" s="7" t="s">
        <v>17</v>
      </c>
    </row>
    <row r="261" spans="1:9">
      <c r="A261" s="8" t="s">
        <v>256</v>
      </c>
      <c r="B261" s="9" t="s">
        <v>28</v>
      </c>
      <c r="C261" s="9" t="s">
        <v>11</v>
      </c>
      <c r="D261" s="9" t="s">
        <v>12</v>
      </c>
      <c r="E261" s="9" t="s">
        <v>19</v>
      </c>
      <c r="F261" s="9" t="s">
        <v>186</v>
      </c>
      <c r="G261" s="9" t="s">
        <v>13</v>
      </c>
      <c r="H261" s="9" t="s">
        <v>16</v>
      </c>
      <c r="I261" s="9" t="s">
        <v>17</v>
      </c>
    </row>
    <row r="262" spans="1:9">
      <c r="A262" s="6" t="s">
        <v>255</v>
      </c>
      <c r="B262" s="7" t="s">
        <v>14</v>
      </c>
      <c r="C262" s="7" t="s">
        <v>15</v>
      </c>
      <c r="D262" s="7" t="s">
        <v>11</v>
      </c>
      <c r="E262" s="7" t="s">
        <v>28</v>
      </c>
      <c r="F262" s="7" t="s">
        <v>186</v>
      </c>
      <c r="G262" s="7" t="s">
        <v>19</v>
      </c>
      <c r="H262" s="7" t="s">
        <v>12</v>
      </c>
      <c r="I262" s="7" t="s">
        <v>17</v>
      </c>
    </row>
    <row r="263" spans="1:9">
      <c r="A263" s="8" t="s">
        <v>254</v>
      </c>
      <c r="B263" s="9" t="s">
        <v>12</v>
      </c>
      <c r="C263" s="9" t="s">
        <v>15</v>
      </c>
      <c r="D263" s="9" t="s">
        <v>11</v>
      </c>
      <c r="E263" s="9" t="s">
        <v>28</v>
      </c>
      <c r="F263" s="9" t="s">
        <v>186</v>
      </c>
      <c r="G263" s="9" t="s">
        <v>19</v>
      </c>
      <c r="H263" s="9" t="s">
        <v>16</v>
      </c>
      <c r="I263" s="9" t="s">
        <v>17</v>
      </c>
    </row>
    <row r="264" spans="1:9">
      <c r="A264" s="6" t="s">
        <v>253</v>
      </c>
      <c r="B264" s="7" t="s">
        <v>14</v>
      </c>
      <c r="C264" s="7" t="s">
        <v>15</v>
      </c>
      <c r="D264" s="7" t="s">
        <v>12</v>
      </c>
      <c r="E264" s="7" t="s">
        <v>28</v>
      </c>
      <c r="F264" s="7" t="s">
        <v>186</v>
      </c>
      <c r="G264" s="7" t="s">
        <v>19</v>
      </c>
      <c r="H264" s="7" t="s">
        <v>16</v>
      </c>
      <c r="I264" s="7" t="s">
        <v>17</v>
      </c>
    </row>
    <row r="265" spans="1:9">
      <c r="A265" s="8" t="s">
        <v>252</v>
      </c>
      <c r="B265" s="9" t="s">
        <v>14</v>
      </c>
      <c r="C265" s="9" t="s">
        <v>15</v>
      </c>
      <c r="D265" s="9" t="s">
        <v>11</v>
      </c>
      <c r="E265" s="9" t="s">
        <v>28</v>
      </c>
      <c r="F265" s="9" t="s">
        <v>186</v>
      </c>
      <c r="G265" s="9" t="s">
        <v>19</v>
      </c>
      <c r="H265" s="9" t="s">
        <v>16</v>
      </c>
      <c r="I265" s="9" t="s">
        <v>17</v>
      </c>
    </row>
    <row r="266" spans="1:9">
      <c r="A266" s="6" t="s">
        <v>251</v>
      </c>
      <c r="B266" s="7" t="s">
        <v>14</v>
      </c>
      <c r="C266" s="7" t="s">
        <v>15</v>
      </c>
      <c r="D266" s="7" t="s">
        <v>65</v>
      </c>
      <c r="E266" s="7" t="s">
        <v>28</v>
      </c>
      <c r="F266" s="7" t="s">
        <v>186</v>
      </c>
      <c r="G266" s="7" t="s">
        <v>13</v>
      </c>
      <c r="H266" s="7" t="s">
        <v>19</v>
      </c>
      <c r="I266" s="7" t="s">
        <v>10</v>
      </c>
    </row>
    <row r="267" spans="1:9">
      <c r="A267" s="8" t="s">
        <v>250</v>
      </c>
      <c r="B267" s="9" t="s">
        <v>14</v>
      </c>
      <c r="C267" s="9" t="s">
        <v>11</v>
      </c>
      <c r="D267" s="9" t="s">
        <v>12</v>
      </c>
      <c r="E267" s="9" t="s">
        <v>28</v>
      </c>
      <c r="F267" s="9" t="s">
        <v>186</v>
      </c>
      <c r="G267" s="9" t="s">
        <v>19</v>
      </c>
      <c r="H267" s="9" t="s">
        <v>16</v>
      </c>
      <c r="I267" s="9" t="s">
        <v>17</v>
      </c>
    </row>
    <row r="268" spans="1:9">
      <c r="A268" s="6" t="s">
        <v>249</v>
      </c>
      <c r="B268" s="7" t="s">
        <v>14</v>
      </c>
      <c r="C268" s="7" t="s">
        <v>15</v>
      </c>
      <c r="D268" s="7" t="s">
        <v>11</v>
      </c>
      <c r="E268" s="7" t="s">
        <v>28</v>
      </c>
      <c r="F268" s="7" t="s">
        <v>186</v>
      </c>
      <c r="G268" s="7" t="s">
        <v>13</v>
      </c>
      <c r="H268" s="7" t="s">
        <v>10</v>
      </c>
      <c r="I268" s="7" t="s">
        <v>12</v>
      </c>
    </row>
    <row r="269" spans="1:9">
      <c r="A269" s="8" t="s">
        <v>248</v>
      </c>
      <c r="B269" s="9" t="s">
        <v>14</v>
      </c>
      <c r="C269" s="9" t="s">
        <v>15</v>
      </c>
      <c r="D269" s="9" t="s">
        <v>10</v>
      </c>
      <c r="E269" s="9" t="s">
        <v>28</v>
      </c>
      <c r="F269" s="9" t="s">
        <v>186</v>
      </c>
      <c r="G269" s="9" t="s">
        <v>13</v>
      </c>
      <c r="H269" s="9" t="s">
        <v>12</v>
      </c>
      <c r="I269" s="9" t="s">
        <v>17</v>
      </c>
    </row>
    <row r="270" spans="1:9">
      <c r="A270" s="6" t="s">
        <v>247</v>
      </c>
      <c r="B270" s="7" t="s">
        <v>14</v>
      </c>
      <c r="C270" s="7" t="s">
        <v>15</v>
      </c>
      <c r="D270" s="7" t="s">
        <v>10</v>
      </c>
      <c r="E270" s="7" t="s">
        <v>28</v>
      </c>
      <c r="F270" s="7" t="s">
        <v>186</v>
      </c>
      <c r="G270" s="7" t="s">
        <v>13</v>
      </c>
      <c r="H270" s="7" t="s">
        <v>16</v>
      </c>
      <c r="I270" s="7" t="s">
        <v>12</v>
      </c>
    </row>
    <row r="271" spans="1:9">
      <c r="A271" s="8" t="s">
        <v>246</v>
      </c>
      <c r="B271" s="9" t="s">
        <v>14</v>
      </c>
      <c r="C271" s="9" t="s">
        <v>15</v>
      </c>
      <c r="D271" s="9" t="s">
        <v>11</v>
      </c>
      <c r="E271" s="9" t="s">
        <v>28</v>
      </c>
      <c r="F271" s="9" t="s">
        <v>186</v>
      </c>
      <c r="G271" s="9" t="s">
        <v>13</v>
      </c>
      <c r="H271" s="9" t="s">
        <v>10</v>
      </c>
      <c r="I271" s="9" t="s">
        <v>17</v>
      </c>
    </row>
    <row r="272" spans="1:9">
      <c r="A272" s="6" t="s">
        <v>245</v>
      </c>
      <c r="B272" s="7" t="s">
        <v>14</v>
      </c>
      <c r="C272" s="7" t="s">
        <v>15</v>
      </c>
      <c r="D272" s="7" t="s">
        <v>11</v>
      </c>
      <c r="E272" s="7" t="s">
        <v>28</v>
      </c>
      <c r="F272" s="7" t="s">
        <v>186</v>
      </c>
      <c r="G272" s="7" t="s">
        <v>13</v>
      </c>
      <c r="H272" s="7" t="s">
        <v>16</v>
      </c>
      <c r="I272" s="7" t="s">
        <v>10</v>
      </c>
    </row>
    <row r="273" spans="1:9">
      <c r="A273" s="8" t="s">
        <v>244</v>
      </c>
      <c r="B273" s="9" t="s">
        <v>14</v>
      </c>
      <c r="C273" s="9" t="s">
        <v>15</v>
      </c>
      <c r="D273" s="9" t="s">
        <v>10</v>
      </c>
      <c r="E273" s="9" t="s">
        <v>28</v>
      </c>
      <c r="F273" s="9" t="s">
        <v>186</v>
      </c>
      <c r="G273" s="9" t="s">
        <v>13</v>
      </c>
      <c r="H273" s="9" t="s">
        <v>16</v>
      </c>
      <c r="I273" s="9" t="s">
        <v>17</v>
      </c>
    </row>
    <row r="274" spans="1:9">
      <c r="A274" s="6" t="s">
        <v>243</v>
      </c>
      <c r="B274" s="7" t="s">
        <v>10</v>
      </c>
      <c r="C274" s="7" t="s">
        <v>15</v>
      </c>
      <c r="D274" s="7" t="s">
        <v>11</v>
      </c>
      <c r="E274" s="7" t="s">
        <v>28</v>
      </c>
      <c r="F274" s="7" t="s">
        <v>186</v>
      </c>
      <c r="G274" s="7" t="s">
        <v>13</v>
      </c>
      <c r="H274" s="7" t="s">
        <v>12</v>
      </c>
      <c r="I274" s="7" t="s">
        <v>17</v>
      </c>
    </row>
    <row r="275" spans="1:9">
      <c r="A275" s="8" t="s">
        <v>242</v>
      </c>
      <c r="B275" s="9" t="s">
        <v>10</v>
      </c>
      <c r="C275" s="9" t="s">
        <v>15</v>
      </c>
      <c r="D275" s="9" t="s">
        <v>11</v>
      </c>
      <c r="E275" s="9" t="s">
        <v>28</v>
      </c>
      <c r="F275" s="9" t="s">
        <v>186</v>
      </c>
      <c r="G275" s="9" t="s">
        <v>13</v>
      </c>
      <c r="H275" s="9" t="s">
        <v>16</v>
      </c>
      <c r="I275" s="9" t="s">
        <v>12</v>
      </c>
    </row>
    <row r="276" spans="1:9">
      <c r="A276" s="6" t="s">
        <v>241</v>
      </c>
      <c r="B276" s="7" t="s">
        <v>10</v>
      </c>
      <c r="C276" s="7" t="s">
        <v>15</v>
      </c>
      <c r="D276" s="7" t="s">
        <v>12</v>
      </c>
      <c r="E276" s="7" t="s">
        <v>28</v>
      </c>
      <c r="F276" s="7" t="s">
        <v>186</v>
      </c>
      <c r="G276" s="7" t="s">
        <v>13</v>
      </c>
      <c r="H276" s="7" t="s">
        <v>16</v>
      </c>
      <c r="I276" s="7" t="s">
        <v>17</v>
      </c>
    </row>
    <row r="277" spans="1:9">
      <c r="A277" s="8" t="s">
        <v>240</v>
      </c>
      <c r="B277" s="9" t="s">
        <v>10</v>
      </c>
      <c r="C277" s="9" t="s">
        <v>15</v>
      </c>
      <c r="D277" s="9" t="s">
        <v>11</v>
      </c>
      <c r="E277" s="9" t="s">
        <v>28</v>
      </c>
      <c r="F277" s="9" t="s">
        <v>186</v>
      </c>
      <c r="G277" s="9" t="s">
        <v>13</v>
      </c>
      <c r="H277" s="9" t="s">
        <v>16</v>
      </c>
      <c r="I277" s="9" t="s">
        <v>17</v>
      </c>
    </row>
    <row r="278" spans="1:9">
      <c r="A278" s="6" t="s">
        <v>239</v>
      </c>
      <c r="B278" s="7" t="s">
        <v>14</v>
      </c>
      <c r="C278" s="7" t="s">
        <v>11</v>
      </c>
      <c r="D278" s="7" t="s">
        <v>10</v>
      </c>
      <c r="E278" s="7" t="s">
        <v>28</v>
      </c>
      <c r="F278" s="7" t="s">
        <v>186</v>
      </c>
      <c r="G278" s="7" t="s">
        <v>13</v>
      </c>
      <c r="H278" s="7" t="s">
        <v>12</v>
      </c>
      <c r="I278" s="7" t="s">
        <v>17</v>
      </c>
    </row>
    <row r="279" spans="1:9">
      <c r="A279" s="8" t="s">
        <v>238</v>
      </c>
      <c r="B279" s="9" t="s">
        <v>14</v>
      </c>
      <c r="C279" s="9" t="s">
        <v>11</v>
      </c>
      <c r="D279" s="9" t="s">
        <v>10</v>
      </c>
      <c r="E279" s="9" t="s">
        <v>28</v>
      </c>
      <c r="F279" s="9" t="s">
        <v>186</v>
      </c>
      <c r="G279" s="9" t="s">
        <v>13</v>
      </c>
      <c r="H279" s="9" t="s">
        <v>16</v>
      </c>
      <c r="I279" s="9" t="s">
        <v>12</v>
      </c>
    </row>
    <row r="280" spans="1:9">
      <c r="A280" s="6" t="s">
        <v>237</v>
      </c>
      <c r="B280" s="7" t="s">
        <v>14</v>
      </c>
      <c r="C280" s="7" t="s">
        <v>10</v>
      </c>
      <c r="D280" s="7" t="s">
        <v>12</v>
      </c>
      <c r="E280" s="7" t="s">
        <v>28</v>
      </c>
      <c r="F280" s="7" t="s">
        <v>186</v>
      </c>
      <c r="G280" s="7" t="s">
        <v>13</v>
      </c>
      <c r="H280" s="7" t="s">
        <v>16</v>
      </c>
      <c r="I280" s="7" t="s">
        <v>17</v>
      </c>
    </row>
    <row r="281" spans="1:9">
      <c r="A281" s="8" t="s">
        <v>236</v>
      </c>
      <c r="B281" s="9" t="s">
        <v>14</v>
      </c>
      <c r="C281" s="9" t="s">
        <v>11</v>
      </c>
      <c r="D281" s="9" t="s">
        <v>10</v>
      </c>
      <c r="E281" s="9" t="s">
        <v>28</v>
      </c>
      <c r="F281" s="9" t="s">
        <v>186</v>
      </c>
      <c r="G281" s="9" t="s">
        <v>13</v>
      </c>
      <c r="H281" s="9" t="s">
        <v>16</v>
      </c>
      <c r="I281" s="9" t="s">
        <v>17</v>
      </c>
    </row>
    <row r="282" spans="1:9">
      <c r="A282" s="6" t="s">
        <v>235</v>
      </c>
      <c r="B282" s="7" t="s">
        <v>10</v>
      </c>
      <c r="C282" s="7" t="s">
        <v>11</v>
      </c>
      <c r="D282" s="7" t="s">
        <v>12</v>
      </c>
      <c r="E282" s="7" t="s">
        <v>28</v>
      </c>
      <c r="F282" s="7" t="s">
        <v>186</v>
      </c>
      <c r="G282" s="7" t="s">
        <v>13</v>
      </c>
      <c r="H282" s="7" t="s">
        <v>16</v>
      </c>
      <c r="I282" s="7" t="s">
        <v>17</v>
      </c>
    </row>
    <row r="283" spans="1:9">
      <c r="A283" s="8" t="s">
        <v>234</v>
      </c>
      <c r="B283" s="9" t="s">
        <v>10</v>
      </c>
      <c r="C283" s="9" t="s">
        <v>15</v>
      </c>
      <c r="D283" s="9" t="s">
        <v>11</v>
      </c>
      <c r="E283" s="9" t="s">
        <v>28</v>
      </c>
      <c r="F283" s="9" t="s">
        <v>186</v>
      </c>
      <c r="G283" s="9" t="s">
        <v>14</v>
      </c>
      <c r="H283" s="9" t="s">
        <v>12</v>
      </c>
      <c r="I283" s="9" t="s">
        <v>17</v>
      </c>
    </row>
    <row r="284" spans="1:9">
      <c r="A284" s="6" t="s">
        <v>233</v>
      </c>
      <c r="B284" s="7" t="s">
        <v>10</v>
      </c>
      <c r="C284" s="7" t="s">
        <v>11</v>
      </c>
      <c r="D284" s="7" t="s">
        <v>12</v>
      </c>
      <c r="E284" s="7" t="s">
        <v>28</v>
      </c>
      <c r="F284" s="7" t="s">
        <v>186</v>
      </c>
      <c r="G284" s="7" t="s">
        <v>15</v>
      </c>
      <c r="H284" s="7" t="s">
        <v>16</v>
      </c>
      <c r="I284" s="7" t="s">
        <v>17</v>
      </c>
    </row>
    <row r="285" spans="1:9">
      <c r="A285" s="8" t="s">
        <v>232</v>
      </c>
      <c r="B285" s="9" t="s">
        <v>10</v>
      </c>
      <c r="C285" s="9" t="s">
        <v>15</v>
      </c>
      <c r="D285" s="9" t="s">
        <v>12</v>
      </c>
      <c r="E285" s="9" t="s">
        <v>28</v>
      </c>
      <c r="F285" s="9" t="s">
        <v>186</v>
      </c>
      <c r="G285" s="9" t="s">
        <v>14</v>
      </c>
      <c r="H285" s="9" t="s">
        <v>16</v>
      </c>
      <c r="I285" s="9" t="s">
        <v>17</v>
      </c>
    </row>
    <row r="286" spans="1:9">
      <c r="A286" s="6" t="s">
        <v>231</v>
      </c>
      <c r="B286" s="7" t="s">
        <v>10</v>
      </c>
      <c r="C286" s="7" t="s">
        <v>15</v>
      </c>
      <c r="D286" s="7" t="s">
        <v>11</v>
      </c>
      <c r="E286" s="7" t="s">
        <v>28</v>
      </c>
      <c r="F286" s="7" t="s">
        <v>186</v>
      </c>
      <c r="G286" s="7" t="s">
        <v>14</v>
      </c>
      <c r="H286" s="7" t="s">
        <v>16</v>
      </c>
      <c r="I286" s="7" t="s">
        <v>17</v>
      </c>
    </row>
    <row r="287" spans="1:9">
      <c r="A287" s="8" t="s">
        <v>230</v>
      </c>
      <c r="B287" s="9" t="s">
        <v>14</v>
      </c>
      <c r="C287" s="9" t="s">
        <v>15</v>
      </c>
      <c r="D287" s="9" t="s">
        <v>65</v>
      </c>
      <c r="E287" s="9" t="s">
        <v>28</v>
      </c>
      <c r="F287" s="9" t="s">
        <v>186</v>
      </c>
      <c r="G287" s="9" t="s">
        <v>13</v>
      </c>
      <c r="H287" s="9" t="s">
        <v>19</v>
      </c>
      <c r="I287" s="9" t="s">
        <v>10</v>
      </c>
    </row>
    <row r="288" spans="1:9">
      <c r="A288" s="6" t="s">
        <v>229</v>
      </c>
      <c r="B288" s="7" t="s">
        <v>10</v>
      </c>
      <c r="C288" s="7" t="s">
        <v>11</v>
      </c>
      <c r="D288" s="7" t="s">
        <v>12</v>
      </c>
      <c r="E288" s="7" t="s">
        <v>28</v>
      </c>
      <c r="F288" s="7" t="s">
        <v>186</v>
      </c>
      <c r="G288" s="7" t="s">
        <v>14</v>
      </c>
      <c r="H288" s="7" t="s">
        <v>16</v>
      </c>
      <c r="I288" s="7" t="s">
        <v>17</v>
      </c>
    </row>
    <row r="289" spans="1:9">
      <c r="A289" s="8" t="s">
        <v>228</v>
      </c>
      <c r="B289" s="9" t="s">
        <v>14</v>
      </c>
      <c r="C289" s="9" t="s">
        <v>15</v>
      </c>
      <c r="D289" s="9" t="s">
        <v>11</v>
      </c>
      <c r="E289" s="9" t="s">
        <v>28</v>
      </c>
      <c r="F289" s="9" t="s">
        <v>186</v>
      </c>
      <c r="G289" s="9" t="s">
        <v>13</v>
      </c>
      <c r="H289" s="9" t="s">
        <v>12</v>
      </c>
      <c r="I289" s="9" t="s">
        <v>17</v>
      </c>
    </row>
    <row r="290" spans="1:9">
      <c r="A290" s="6" t="s">
        <v>227</v>
      </c>
      <c r="B290" s="7" t="s">
        <v>14</v>
      </c>
      <c r="C290" s="7" t="s">
        <v>15</v>
      </c>
      <c r="D290" s="7" t="s">
        <v>11</v>
      </c>
      <c r="E290" s="7" t="s">
        <v>28</v>
      </c>
      <c r="F290" s="7" t="s">
        <v>186</v>
      </c>
      <c r="G290" s="7" t="s">
        <v>13</v>
      </c>
      <c r="H290" s="7" t="s">
        <v>16</v>
      </c>
      <c r="I290" s="7" t="s">
        <v>12</v>
      </c>
    </row>
    <row r="291" spans="1:9">
      <c r="A291" s="8" t="s">
        <v>226</v>
      </c>
      <c r="B291" s="9" t="s">
        <v>14</v>
      </c>
      <c r="C291" s="9" t="s">
        <v>15</v>
      </c>
      <c r="D291" s="9" t="s">
        <v>12</v>
      </c>
      <c r="E291" s="9" t="s">
        <v>28</v>
      </c>
      <c r="F291" s="9" t="s">
        <v>186</v>
      </c>
      <c r="G291" s="9" t="s">
        <v>13</v>
      </c>
      <c r="H291" s="9" t="s">
        <v>16</v>
      </c>
      <c r="I291" s="9" t="s">
        <v>17</v>
      </c>
    </row>
    <row r="292" spans="1:9">
      <c r="A292" s="6" t="s">
        <v>225</v>
      </c>
      <c r="B292" s="7" t="s">
        <v>14</v>
      </c>
      <c r="C292" s="7" t="s">
        <v>15</v>
      </c>
      <c r="D292" s="7" t="s">
        <v>11</v>
      </c>
      <c r="E292" s="7" t="s">
        <v>28</v>
      </c>
      <c r="F292" s="7" t="s">
        <v>186</v>
      </c>
      <c r="G292" s="7" t="s">
        <v>13</v>
      </c>
      <c r="H292" s="7" t="s">
        <v>16</v>
      </c>
      <c r="I292" s="7" t="s">
        <v>17</v>
      </c>
    </row>
    <row r="293" spans="1:9">
      <c r="A293" s="8" t="s">
        <v>224</v>
      </c>
      <c r="B293" s="9" t="s">
        <v>12</v>
      </c>
      <c r="C293" s="9" t="s">
        <v>15</v>
      </c>
      <c r="D293" s="9" t="s">
        <v>11</v>
      </c>
      <c r="E293" s="9" t="s">
        <v>28</v>
      </c>
      <c r="F293" s="9" t="s">
        <v>186</v>
      </c>
      <c r="G293" s="9" t="s">
        <v>13</v>
      </c>
      <c r="H293" s="9" t="s">
        <v>16</v>
      </c>
      <c r="I293" s="9" t="s">
        <v>17</v>
      </c>
    </row>
    <row r="294" spans="1:9">
      <c r="A294" s="6" t="s">
        <v>223</v>
      </c>
      <c r="B294" s="7" t="s">
        <v>14</v>
      </c>
      <c r="C294" s="7" t="s">
        <v>11</v>
      </c>
      <c r="D294" s="7" t="s">
        <v>12</v>
      </c>
      <c r="E294" s="7" t="s">
        <v>28</v>
      </c>
      <c r="F294" s="7" t="s">
        <v>186</v>
      </c>
      <c r="G294" s="7" t="s">
        <v>13</v>
      </c>
      <c r="H294" s="7" t="s">
        <v>16</v>
      </c>
      <c r="I294" s="7" t="s">
        <v>17</v>
      </c>
    </row>
    <row r="295" spans="1:9">
      <c r="A295" s="8" t="s">
        <v>222</v>
      </c>
      <c r="B295" s="9" t="s">
        <v>14</v>
      </c>
      <c r="C295" s="9" t="s">
        <v>11</v>
      </c>
      <c r="D295" s="9" t="s">
        <v>12</v>
      </c>
      <c r="E295" s="9" t="s">
        <v>28</v>
      </c>
      <c r="F295" s="9" t="s">
        <v>186</v>
      </c>
      <c r="G295" s="9" t="s">
        <v>15</v>
      </c>
      <c r="H295" s="9" t="s">
        <v>16</v>
      </c>
      <c r="I295" s="9" t="s">
        <v>17</v>
      </c>
    </row>
    <row r="296" spans="1:9">
      <c r="A296" s="6" t="s">
        <v>221</v>
      </c>
      <c r="B296" s="7" t="s">
        <v>14</v>
      </c>
      <c r="C296" s="7" t="s">
        <v>15</v>
      </c>
      <c r="D296" s="7" t="s">
        <v>11</v>
      </c>
      <c r="E296" s="7" t="s">
        <v>19</v>
      </c>
      <c r="F296" s="7" t="s">
        <v>186</v>
      </c>
      <c r="G296" s="7" t="s">
        <v>13</v>
      </c>
      <c r="H296" s="7" t="s">
        <v>10</v>
      </c>
      <c r="I296" s="7" t="s">
        <v>12</v>
      </c>
    </row>
    <row r="297" spans="1:9">
      <c r="A297" s="8" t="s">
        <v>220</v>
      </c>
      <c r="B297" s="9" t="s">
        <v>14</v>
      </c>
      <c r="C297" s="9" t="s">
        <v>15</v>
      </c>
      <c r="D297" s="9" t="s">
        <v>10</v>
      </c>
      <c r="E297" s="9" t="s">
        <v>19</v>
      </c>
      <c r="F297" s="9" t="s">
        <v>186</v>
      </c>
      <c r="G297" s="9" t="s">
        <v>13</v>
      </c>
      <c r="H297" s="9" t="s">
        <v>12</v>
      </c>
      <c r="I297" s="9" t="s">
        <v>17</v>
      </c>
    </row>
    <row r="298" spans="1:9">
      <c r="A298" s="6" t="s">
        <v>219</v>
      </c>
      <c r="B298" s="7" t="s">
        <v>14</v>
      </c>
      <c r="C298" s="7" t="s">
        <v>15</v>
      </c>
      <c r="D298" s="7" t="s">
        <v>10</v>
      </c>
      <c r="E298" s="7" t="s">
        <v>19</v>
      </c>
      <c r="F298" s="7" t="s">
        <v>186</v>
      </c>
      <c r="G298" s="7" t="s">
        <v>13</v>
      </c>
      <c r="H298" s="7" t="s">
        <v>16</v>
      </c>
      <c r="I298" s="7" t="s">
        <v>12</v>
      </c>
    </row>
    <row r="299" spans="1:9">
      <c r="A299" s="8" t="s">
        <v>218</v>
      </c>
      <c r="B299" s="9" t="s">
        <v>14</v>
      </c>
      <c r="C299" s="9" t="s">
        <v>15</v>
      </c>
      <c r="D299" s="9" t="s">
        <v>11</v>
      </c>
      <c r="E299" s="9" t="s">
        <v>19</v>
      </c>
      <c r="F299" s="9" t="s">
        <v>186</v>
      </c>
      <c r="G299" s="9" t="s">
        <v>13</v>
      </c>
      <c r="H299" s="9" t="s">
        <v>10</v>
      </c>
      <c r="I299" s="9" t="s">
        <v>17</v>
      </c>
    </row>
    <row r="300" spans="1:9">
      <c r="A300" s="6" t="s">
        <v>217</v>
      </c>
      <c r="B300" s="7" t="s">
        <v>14</v>
      </c>
      <c r="C300" s="7" t="s">
        <v>15</v>
      </c>
      <c r="D300" s="7" t="s">
        <v>11</v>
      </c>
      <c r="E300" s="7" t="s">
        <v>19</v>
      </c>
      <c r="F300" s="7" t="s">
        <v>186</v>
      </c>
      <c r="G300" s="7" t="s">
        <v>13</v>
      </c>
      <c r="H300" s="7" t="s">
        <v>16</v>
      </c>
      <c r="I300" s="7" t="s">
        <v>10</v>
      </c>
    </row>
    <row r="301" spans="1:9">
      <c r="A301" s="8" t="s">
        <v>216</v>
      </c>
      <c r="B301" s="9" t="s">
        <v>14</v>
      </c>
      <c r="C301" s="9" t="s">
        <v>15</v>
      </c>
      <c r="D301" s="9" t="s">
        <v>10</v>
      </c>
      <c r="E301" s="9" t="s">
        <v>19</v>
      </c>
      <c r="F301" s="9" t="s">
        <v>186</v>
      </c>
      <c r="G301" s="9" t="s">
        <v>13</v>
      </c>
      <c r="H301" s="9" t="s">
        <v>16</v>
      </c>
      <c r="I301" s="9" t="s">
        <v>17</v>
      </c>
    </row>
    <row r="302" spans="1:9">
      <c r="A302" s="6" t="s">
        <v>215</v>
      </c>
      <c r="B302" s="7" t="s">
        <v>10</v>
      </c>
      <c r="C302" s="7" t="s">
        <v>15</v>
      </c>
      <c r="D302" s="7" t="s">
        <v>11</v>
      </c>
      <c r="E302" s="7" t="s">
        <v>19</v>
      </c>
      <c r="F302" s="7" t="s">
        <v>186</v>
      </c>
      <c r="G302" s="7" t="s">
        <v>13</v>
      </c>
      <c r="H302" s="7" t="s">
        <v>12</v>
      </c>
      <c r="I302" s="7" t="s">
        <v>17</v>
      </c>
    </row>
    <row r="303" spans="1:9">
      <c r="A303" s="8" t="s">
        <v>214</v>
      </c>
      <c r="B303" s="9" t="s">
        <v>10</v>
      </c>
      <c r="C303" s="9" t="s">
        <v>15</v>
      </c>
      <c r="D303" s="9" t="s">
        <v>11</v>
      </c>
      <c r="E303" s="9" t="s">
        <v>19</v>
      </c>
      <c r="F303" s="9" t="s">
        <v>186</v>
      </c>
      <c r="G303" s="9" t="s">
        <v>13</v>
      </c>
      <c r="H303" s="9" t="s">
        <v>16</v>
      </c>
      <c r="I303" s="9" t="s">
        <v>12</v>
      </c>
    </row>
    <row r="304" spans="1:9">
      <c r="A304" s="6" t="s">
        <v>213</v>
      </c>
      <c r="B304" s="7" t="s">
        <v>10</v>
      </c>
      <c r="C304" s="7" t="s">
        <v>15</v>
      </c>
      <c r="D304" s="7" t="s">
        <v>12</v>
      </c>
      <c r="E304" s="7" t="s">
        <v>19</v>
      </c>
      <c r="F304" s="7" t="s">
        <v>186</v>
      </c>
      <c r="G304" s="7" t="s">
        <v>13</v>
      </c>
      <c r="H304" s="7" t="s">
        <v>16</v>
      </c>
      <c r="I304" s="7" t="s">
        <v>17</v>
      </c>
    </row>
    <row r="305" spans="1:9">
      <c r="A305" s="8" t="s">
        <v>212</v>
      </c>
      <c r="B305" s="9" t="s">
        <v>10</v>
      </c>
      <c r="C305" s="9" t="s">
        <v>15</v>
      </c>
      <c r="D305" s="9" t="s">
        <v>11</v>
      </c>
      <c r="E305" s="9" t="s">
        <v>19</v>
      </c>
      <c r="F305" s="9" t="s">
        <v>186</v>
      </c>
      <c r="G305" s="9" t="s">
        <v>13</v>
      </c>
      <c r="H305" s="9" t="s">
        <v>16</v>
      </c>
      <c r="I305" s="9" t="s">
        <v>17</v>
      </c>
    </row>
    <row r="306" spans="1:9">
      <c r="A306" s="6" t="s">
        <v>211</v>
      </c>
      <c r="B306" s="7" t="s">
        <v>14</v>
      </c>
      <c r="C306" s="7" t="s">
        <v>11</v>
      </c>
      <c r="D306" s="7" t="s">
        <v>10</v>
      </c>
      <c r="E306" s="7" t="s">
        <v>19</v>
      </c>
      <c r="F306" s="7" t="s">
        <v>186</v>
      </c>
      <c r="G306" s="7" t="s">
        <v>13</v>
      </c>
      <c r="H306" s="7" t="s">
        <v>12</v>
      </c>
      <c r="I306" s="7" t="s">
        <v>17</v>
      </c>
    </row>
    <row r="307" spans="1:9">
      <c r="A307" s="8" t="s">
        <v>210</v>
      </c>
      <c r="B307" s="9" t="s">
        <v>14</v>
      </c>
      <c r="C307" s="9" t="s">
        <v>11</v>
      </c>
      <c r="D307" s="9" t="s">
        <v>10</v>
      </c>
      <c r="E307" s="9" t="s">
        <v>19</v>
      </c>
      <c r="F307" s="9" t="s">
        <v>186</v>
      </c>
      <c r="G307" s="9" t="s">
        <v>13</v>
      </c>
      <c r="H307" s="9" t="s">
        <v>16</v>
      </c>
      <c r="I307" s="9" t="s">
        <v>12</v>
      </c>
    </row>
    <row r="308" spans="1:9">
      <c r="A308" s="6" t="s">
        <v>209</v>
      </c>
      <c r="B308" s="7" t="s">
        <v>14</v>
      </c>
      <c r="C308" s="7" t="s">
        <v>10</v>
      </c>
      <c r="D308" s="7" t="s">
        <v>12</v>
      </c>
      <c r="E308" s="7" t="s">
        <v>19</v>
      </c>
      <c r="F308" s="7" t="s">
        <v>186</v>
      </c>
      <c r="G308" s="7" t="s">
        <v>13</v>
      </c>
      <c r="H308" s="7" t="s">
        <v>16</v>
      </c>
      <c r="I308" s="7" t="s">
        <v>17</v>
      </c>
    </row>
    <row r="309" spans="1:9">
      <c r="A309" s="8" t="s">
        <v>208</v>
      </c>
      <c r="B309" s="9" t="s">
        <v>14</v>
      </c>
      <c r="C309" s="9" t="s">
        <v>11</v>
      </c>
      <c r="D309" s="9" t="s">
        <v>10</v>
      </c>
      <c r="E309" s="9" t="s">
        <v>19</v>
      </c>
      <c r="F309" s="9" t="s">
        <v>186</v>
      </c>
      <c r="G309" s="9" t="s">
        <v>13</v>
      </c>
      <c r="H309" s="9" t="s">
        <v>16</v>
      </c>
      <c r="I309" s="9" t="s">
        <v>17</v>
      </c>
    </row>
    <row r="310" spans="1:9">
      <c r="A310" s="6" t="s">
        <v>207</v>
      </c>
      <c r="B310" s="7" t="s">
        <v>10</v>
      </c>
      <c r="C310" s="7" t="s">
        <v>11</v>
      </c>
      <c r="D310" s="7" t="s">
        <v>12</v>
      </c>
      <c r="E310" s="7" t="s">
        <v>19</v>
      </c>
      <c r="F310" s="7" t="s">
        <v>186</v>
      </c>
      <c r="G310" s="7" t="s">
        <v>13</v>
      </c>
      <c r="H310" s="7" t="s">
        <v>16</v>
      </c>
      <c r="I310" s="7" t="s">
        <v>17</v>
      </c>
    </row>
    <row r="311" spans="1:9">
      <c r="A311" s="8" t="s">
        <v>206</v>
      </c>
      <c r="B311" s="9" t="s">
        <v>10</v>
      </c>
      <c r="C311" s="9" t="s">
        <v>15</v>
      </c>
      <c r="D311" s="9" t="s">
        <v>11</v>
      </c>
      <c r="E311" s="9" t="s">
        <v>19</v>
      </c>
      <c r="F311" s="9" t="s">
        <v>186</v>
      </c>
      <c r="G311" s="9" t="s">
        <v>14</v>
      </c>
      <c r="H311" s="9" t="s">
        <v>12</v>
      </c>
      <c r="I311" s="9" t="s">
        <v>17</v>
      </c>
    </row>
    <row r="312" spans="1:9">
      <c r="A312" s="6" t="s">
        <v>205</v>
      </c>
      <c r="B312" s="7" t="s">
        <v>10</v>
      </c>
      <c r="C312" s="7" t="s">
        <v>11</v>
      </c>
      <c r="D312" s="7" t="s">
        <v>12</v>
      </c>
      <c r="E312" s="7" t="s">
        <v>19</v>
      </c>
      <c r="F312" s="7" t="s">
        <v>186</v>
      </c>
      <c r="G312" s="7" t="s">
        <v>15</v>
      </c>
      <c r="H312" s="7" t="s">
        <v>16</v>
      </c>
      <c r="I312" s="7" t="s">
        <v>17</v>
      </c>
    </row>
    <row r="313" spans="1:9">
      <c r="A313" s="8" t="s">
        <v>204</v>
      </c>
      <c r="B313" s="9" t="s">
        <v>10</v>
      </c>
      <c r="C313" s="9" t="s">
        <v>15</v>
      </c>
      <c r="D313" s="9" t="s">
        <v>12</v>
      </c>
      <c r="E313" s="9" t="s">
        <v>19</v>
      </c>
      <c r="F313" s="9" t="s">
        <v>186</v>
      </c>
      <c r="G313" s="9" t="s">
        <v>14</v>
      </c>
      <c r="H313" s="9" t="s">
        <v>16</v>
      </c>
      <c r="I313" s="9" t="s">
        <v>17</v>
      </c>
    </row>
    <row r="314" spans="1:9">
      <c r="A314" s="6" t="s">
        <v>203</v>
      </c>
      <c r="B314" s="7" t="s">
        <v>10</v>
      </c>
      <c r="C314" s="7" t="s">
        <v>15</v>
      </c>
      <c r="D314" s="7" t="s">
        <v>11</v>
      </c>
      <c r="E314" s="7" t="s">
        <v>19</v>
      </c>
      <c r="F314" s="7" t="s">
        <v>186</v>
      </c>
      <c r="G314" s="7" t="s">
        <v>14</v>
      </c>
      <c r="H314" s="7" t="s">
        <v>16</v>
      </c>
      <c r="I314" s="7" t="s">
        <v>17</v>
      </c>
    </row>
    <row r="315" spans="1:9">
      <c r="A315" s="8" t="s">
        <v>202</v>
      </c>
      <c r="B315" s="9" t="s">
        <v>14</v>
      </c>
      <c r="C315" s="9" t="s">
        <v>15</v>
      </c>
      <c r="D315" s="9" t="s">
        <v>65</v>
      </c>
      <c r="E315" s="9" t="s">
        <v>28</v>
      </c>
      <c r="F315" s="9" t="s">
        <v>186</v>
      </c>
      <c r="G315" s="9" t="s">
        <v>13</v>
      </c>
      <c r="H315" s="9" t="s">
        <v>19</v>
      </c>
      <c r="I315" s="9" t="s">
        <v>10</v>
      </c>
    </row>
    <row r="316" spans="1:9">
      <c r="A316" s="6" t="s">
        <v>201</v>
      </c>
      <c r="B316" s="7" t="s">
        <v>10</v>
      </c>
      <c r="C316" s="7" t="s">
        <v>11</v>
      </c>
      <c r="D316" s="7" t="s">
        <v>12</v>
      </c>
      <c r="E316" s="7" t="s">
        <v>19</v>
      </c>
      <c r="F316" s="7" t="s">
        <v>186</v>
      </c>
      <c r="G316" s="7" t="s">
        <v>14</v>
      </c>
      <c r="H316" s="7" t="s">
        <v>16</v>
      </c>
      <c r="I316" s="7" t="s">
        <v>17</v>
      </c>
    </row>
    <row r="317" spans="1:9">
      <c r="A317" s="8" t="s">
        <v>200</v>
      </c>
      <c r="B317" s="9" t="s">
        <v>14</v>
      </c>
      <c r="C317" s="9" t="s">
        <v>15</v>
      </c>
      <c r="D317" s="9" t="s">
        <v>11</v>
      </c>
      <c r="E317" s="9" t="s">
        <v>19</v>
      </c>
      <c r="F317" s="9" t="s">
        <v>186</v>
      </c>
      <c r="G317" s="9" t="s">
        <v>13</v>
      </c>
      <c r="H317" s="9" t="s">
        <v>12</v>
      </c>
      <c r="I317" s="9" t="s">
        <v>17</v>
      </c>
    </row>
    <row r="318" spans="1:9">
      <c r="A318" s="6" t="s">
        <v>199</v>
      </c>
      <c r="B318" s="7" t="s">
        <v>14</v>
      </c>
      <c r="C318" s="7" t="s">
        <v>15</v>
      </c>
      <c r="D318" s="7" t="s">
        <v>11</v>
      </c>
      <c r="E318" s="7" t="s">
        <v>19</v>
      </c>
      <c r="F318" s="7" t="s">
        <v>186</v>
      </c>
      <c r="G318" s="7" t="s">
        <v>13</v>
      </c>
      <c r="H318" s="7" t="s">
        <v>16</v>
      </c>
      <c r="I318" s="7" t="s">
        <v>12</v>
      </c>
    </row>
    <row r="319" spans="1:9">
      <c r="A319" s="8" t="s">
        <v>198</v>
      </c>
      <c r="B319" s="9" t="s">
        <v>14</v>
      </c>
      <c r="C319" s="9" t="s">
        <v>15</v>
      </c>
      <c r="D319" s="9" t="s">
        <v>12</v>
      </c>
      <c r="E319" s="9" t="s">
        <v>19</v>
      </c>
      <c r="F319" s="9" t="s">
        <v>186</v>
      </c>
      <c r="G319" s="9" t="s">
        <v>13</v>
      </c>
      <c r="H319" s="9" t="s">
        <v>16</v>
      </c>
      <c r="I319" s="9" t="s">
        <v>17</v>
      </c>
    </row>
    <row r="320" spans="1:9">
      <c r="A320" s="6" t="s">
        <v>197</v>
      </c>
      <c r="B320" s="7" t="s">
        <v>14</v>
      </c>
      <c r="C320" s="7" t="s">
        <v>15</v>
      </c>
      <c r="D320" s="7" t="s">
        <v>11</v>
      </c>
      <c r="E320" s="7" t="s">
        <v>19</v>
      </c>
      <c r="F320" s="7" t="s">
        <v>186</v>
      </c>
      <c r="G320" s="7" t="s">
        <v>13</v>
      </c>
      <c r="H320" s="7" t="s">
        <v>16</v>
      </c>
      <c r="I320" s="7" t="s">
        <v>17</v>
      </c>
    </row>
    <row r="321" spans="1:9">
      <c r="A321" s="8" t="s">
        <v>196</v>
      </c>
      <c r="B321" s="9" t="s">
        <v>12</v>
      </c>
      <c r="C321" s="9" t="s">
        <v>15</v>
      </c>
      <c r="D321" s="9" t="s">
        <v>11</v>
      </c>
      <c r="E321" s="9" t="s">
        <v>19</v>
      </c>
      <c r="F321" s="9" t="s">
        <v>186</v>
      </c>
      <c r="G321" s="9" t="s">
        <v>13</v>
      </c>
      <c r="H321" s="9" t="s">
        <v>16</v>
      </c>
      <c r="I321" s="9" t="s">
        <v>17</v>
      </c>
    </row>
    <row r="322" spans="1:9">
      <c r="A322" s="6" t="s">
        <v>195</v>
      </c>
      <c r="B322" s="7" t="s">
        <v>14</v>
      </c>
      <c r="C322" s="7" t="s">
        <v>11</v>
      </c>
      <c r="D322" s="7" t="s">
        <v>12</v>
      </c>
      <c r="E322" s="7" t="s">
        <v>19</v>
      </c>
      <c r="F322" s="7" t="s">
        <v>186</v>
      </c>
      <c r="G322" s="7" t="s">
        <v>13</v>
      </c>
      <c r="H322" s="7" t="s">
        <v>16</v>
      </c>
      <c r="I322" s="7" t="s">
        <v>17</v>
      </c>
    </row>
    <row r="323" spans="1:9">
      <c r="A323" s="8" t="s">
        <v>194</v>
      </c>
      <c r="B323" s="9" t="s">
        <v>14</v>
      </c>
      <c r="C323" s="9" t="s">
        <v>11</v>
      </c>
      <c r="D323" s="9" t="s">
        <v>12</v>
      </c>
      <c r="E323" s="9" t="s">
        <v>19</v>
      </c>
      <c r="F323" s="9" t="s">
        <v>186</v>
      </c>
      <c r="G323" s="9" t="s">
        <v>15</v>
      </c>
      <c r="H323" s="9" t="s">
        <v>16</v>
      </c>
      <c r="I323" s="9" t="s">
        <v>17</v>
      </c>
    </row>
    <row r="324" spans="1:9">
      <c r="A324" s="6" t="s">
        <v>193</v>
      </c>
      <c r="B324" s="7" t="s">
        <v>10</v>
      </c>
      <c r="C324" s="7" t="s">
        <v>15</v>
      </c>
      <c r="D324" s="7" t="s">
        <v>11</v>
      </c>
      <c r="E324" s="7" t="s">
        <v>13</v>
      </c>
      <c r="F324" s="7" t="s">
        <v>186</v>
      </c>
      <c r="G324" s="7" t="s">
        <v>14</v>
      </c>
      <c r="H324" s="7" t="s">
        <v>12</v>
      </c>
      <c r="I324" s="7" t="s">
        <v>17</v>
      </c>
    </row>
    <row r="325" spans="1:9">
      <c r="A325" s="8" t="s">
        <v>192</v>
      </c>
      <c r="B325" s="9" t="s">
        <v>10</v>
      </c>
      <c r="C325" s="9" t="s">
        <v>15</v>
      </c>
      <c r="D325" s="9" t="s">
        <v>11</v>
      </c>
      <c r="E325" s="9" t="s">
        <v>13</v>
      </c>
      <c r="F325" s="9" t="s">
        <v>186</v>
      </c>
      <c r="G325" s="9" t="s">
        <v>14</v>
      </c>
      <c r="H325" s="9" t="s">
        <v>16</v>
      </c>
      <c r="I325" s="9" t="s">
        <v>12</v>
      </c>
    </row>
    <row r="326" spans="1:9">
      <c r="A326" s="6" t="s">
        <v>191</v>
      </c>
      <c r="B326" s="7" t="s">
        <v>10</v>
      </c>
      <c r="C326" s="7" t="s">
        <v>15</v>
      </c>
      <c r="D326" s="7" t="s">
        <v>12</v>
      </c>
      <c r="E326" s="7" t="s">
        <v>13</v>
      </c>
      <c r="F326" s="7" t="s">
        <v>186</v>
      </c>
      <c r="G326" s="7" t="s">
        <v>14</v>
      </c>
      <c r="H326" s="7" t="s">
        <v>16</v>
      </c>
      <c r="I326" s="7" t="s">
        <v>17</v>
      </c>
    </row>
    <row r="327" spans="1:9">
      <c r="A327" s="8" t="s">
        <v>190</v>
      </c>
      <c r="B327" s="9" t="s">
        <v>10</v>
      </c>
      <c r="C327" s="9" t="s">
        <v>15</v>
      </c>
      <c r="D327" s="9" t="s">
        <v>11</v>
      </c>
      <c r="E327" s="9" t="s">
        <v>13</v>
      </c>
      <c r="F327" s="9" t="s">
        <v>186</v>
      </c>
      <c r="G327" s="9" t="s">
        <v>14</v>
      </c>
      <c r="H327" s="9" t="s">
        <v>16</v>
      </c>
      <c r="I327" s="9" t="s">
        <v>17</v>
      </c>
    </row>
    <row r="328" spans="1:9">
      <c r="A328" s="6" t="s">
        <v>189</v>
      </c>
      <c r="B328" s="7" t="s">
        <v>10</v>
      </c>
      <c r="C328" s="7" t="s">
        <v>11</v>
      </c>
      <c r="D328" s="7" t="s">
        <v>12</v>
      </c>
      <c r="E328" s="7" t="s">
        <v>13</v>
      </c>
      <c r="F328" s="7" t="s">
        <v>186</v>
      </c>
      <c r="G328" s="7" t="s">
        <v>15</v>
      </c>
      <c r="H328" s="7" t="s">
        <v>16</v>
      </c>
      <c r="I328" s="7" t="s">
        <v>17</v>
      </c>
    </row>
    <row r="329" spans="1:9">
      <c r="A329" s="8" t="s">
        <v>188</v>
      </c>
      <c r="B329" s="9" t="s">
        <v>10</v>
      </c>
      <c r="C329" s="9" t="s">
        <v>11</v>
      </c>
      <c r="D329" s="9" t="s">
        <v>12</v>
      </c>
      <c r="E329" s="9" t="s">
        <v>13</v>
      </c>
      <c r="F329" s="9" t="s">
        <v>186</v>
      </c>
      <c r="G329" s="9" t="s">
        <v>14</v>
      </c>
      <c r="H329" s="9" t="s">
        <v>16</v>
      </c>
      <c r="I329" s="9" t="s">
        <v>17</v>
      </c>
    </row>
    <row r="330" spans="1:9">
      <c r="A330" s="6" t="s">
        <v>187</v>
      </c>
      <c r="B330" s="7" t="s">
        <v>10</v>
      </c>
      <c r="C330" s="7" t="s">
        <v>11</v>
      </c>
      <c r="D330" s="7" t="s">
        <v>12</v>
      </c>
      <c r="E330" s="7" t="s">
        <v>186</v>
      </c>
      <c r="F330" s="7" t="s">
        <v>14</v>
      </c>
      <c r="G330" s="7" t="s">
        <v>15</v>
      </c>
      <c r="H330" s="7" t="s">
        <v>16</v>
      </c>
      <c r="I330" s="7" t="s">
        <v>17</v>
      </c>
    </row>
    <row r="331" spans="1:9">
      <c r="A331" s="8" t="s">
        <v>185</v>
      </c>
      <c r="B331" s="9" t="s">
        <v>14</v>
      </c>
      <c r="C331" s="9" t="s">
        <v>11</v>
      </c>
      <c r="D331" s="9" t="s">
        <v>12</v>
      </c>
      <c r="E331" s="9" t="s">
        <v>13</v>
      </c>
      <c r="F331" s="9" t="s">
        <v>186</v>
      </c>
      <c r="G331" s="9" t="s">
        <v>15</v>
      </c>
      <c r="H331" s="9" t="s">
        <v>16</v>
      </c>
      <c r="I331" s="9" t="s">
        <v>17</v>
      </c>
    </row>
    <row r="332" spans="1:9">
      <c r="A332" s="6" t="s">
        <v>184</v>
      </c>
      <c r="B332" s="7" t="s">
        <v>14</v>
      </c>
      <c r="C332" s="7" t="s">
        <v>15</v>
      </c>
      <c r="D332" s="7" t="s">
        <v>65</v>
      </c>
      <c r="E332" s="7" t="s">
        <v>28</v>
      </c>
      <c r="F332" s="7" t="s">
        <v>12</v>
      </c>
      <c r="G332" s="7" t="s">
        <v>13</v>
      </c>
      <c r="H332" s="7" t="s">
        <v>19</v>
      </c>
      <c r="I332" s="7" t="s">
        <v>10</v>
      </c>
    </row>
    <row r="333" spans="1:9">
      <c r="A333" s="8" t="s">
        <v>183</v>
      </c>
      <c r="B333" s="9" t="s">
        <v>14</v>
      </c>
      <c r="C333" s="9" t="s">
        <v>15</v>
      </c>
      <c r="D333" s="9" t="s">
        <v>65</v>
      </c>
      <c r="E333" s="9" t="s">
        <v>28</v>
      </c>
      <c r="F333" s="9" t="s">
        <v>11</v>
      </c>
      <c r="G333" s="9" t="s">
        <v>13</v>
      </c>
      <c r="H333" s="9" t="s">
        <v>19</v>
      </c>
      <c r="I333" s="9" t="s">
        <v>10</v>
      </c>
    </row>
    <row r="334" spans="1:9">
      <c r="A334" s="6" t="s">
        <v>182</v>
      </c>
      <c r="B334" s="7" t="s">
        <v>28</v>
      </c>
      <c r="C334" s="7" t="s">
        <v>15</v>
      </c>
      <c r="D334" s="7" t="s">
        <v>65</v>
      </c>
      <c r="E334" s="7" t="s">
        <v>19</v>
      </c>
      <c r="F334" s="7" t="s">
        <v>14</v>
      </c>
      <c r="G334" s="7" t="s">
        <v>13</v>
      </c>
      <c r="H334" s="7" t="s">
        <v>10</v>
      </c>
      <c r="I334" s="7" t="s">
        <v>17</v>
      </c>
    </row>
    <row r="335" spans="1:9">
      <c r="A335" s="8" t="s">
        <v>181</v>
      </c>
      <c r="B335" s="9" t="s">
        <v>28</v>
      </c>
      <c r="C335" s="9" t="s">
        <v>15</v>
      </c>
      <c r="D335" s="9" t="s">
        <v>65</v>
      </c>
      <c r="E335" s="9" t="s">
        <v>19</v>
      </c>
      <c r="F335" s="9" t="s">
        <v>14</v>
      </c>
      <c r="G335" s="9" t="s">
        <v>13</v>
      </c>
      <c r="H335" s="9" t="s">
        <v>16</v>
      </c>
      <c r="I335" s="9" t="s">
        <v>10</v>
      </c>
    </row>
    <row r="336" spans="1:9">
      <c r="A336" s="6" t="s">
        <v>180</v>
      </c>
      <c r="B336" s="7" t="s">
        <v>28</v>
      </c>
      <c r="C336" s="7" t="s">
        <v>15</v>
      </c>
      <c r="D336" s="7" t="s">
        <v>65</v>
      </c>
      <c r="E336" s="7" t="s">
        <v>19</v>
      </c>
      <c r="F336" s="7" t="s">
        <v>11</v>
      </c>
      <c r="G336" s="7" t="s">
        <v>13</v>
      </c>
      <c r="H336" s="7" t="s">
        <v>10</v>
      </c>
      <c r="I336" s="7" t="s">
        <v>12</v>
      </c>
    </row>
    <row r="337" spans="1:9">
      <c r="A337" s="8" t="s">
        <v>179</v>
      </c>
      <c r="B337" s="9" t="s">
        <v>28</v>
      </c>
      <c r="C337" s="9" t="s">
        <v>15</v>
      </c>
      <c r="D337" s="9" t="s">
        <v>65</v>
      </c>
      <c r="E337" s="9" t="s">
        <v>19</v>
      </c>
      <c r="F337" s="9" t="s">
        <v>10</v>
      </c>
      <c r="G337" s="9" t="s">
        <v>13</v>
      </c>
      <c r="H337" s="9" t="s">
        <v>12</v>
      </c>
      <c r="I337" s="9" t="s">
        <v>17</v>
      </c>
    </row>
    <row r="338" spans="1:9">
      <c r="A338" s="6" t="s">
        <v>178</v>
      </c>
      <c r="B338" s="7" t="s">
        <v>28</v>
      </c>
      <c r="C338" s="7" t="s">
        <v>15</v>
      </c>
      <c r="D338" s="7" t="s">
        <v>65</v>
      </c>
      <c r="E338" s="7" t="s">
        <v>19</v>
      </c>
      <c r="F338" s="7" t="s">
        <v>10</v>
      </c>
      <c r="G338" s="7" t="s">
        <v>13</v>
      </c>
      <c r="H338" s="7" t="s">
        <v>16</v>
      </c>
      <c r="I338" s="7" t="s">
        <v>12</v>
      </c>
    </row>
    <row r="339" spans="1:9">
      <c r="A339" s="8" t="s">
        <v>177</v>
      </c>
      <c r="B339" s="9" t="s">
        <v>28</v>
      </c>
      <c r="C339" s="9" t="s">
        <v>15</v>
      </c>
      <c r="D339" s="9" t="s">
        <v>65</v>
      </c>
      <c r="E339" s="9" t="s">
        <v>19</v>
      </c>
      <c r="F339" s="9" t="s">
        <v>11</v>
      </c>
      <c r="G339" s="9" t="s">
        <v>13</v>
      </c>
      <c r="H339" s="9" t="s">
        <v>10</v>
      </c>
      <c r="I339" s="9" t="s">
        <v>17</v>
      </c>
    </row>
    <row r="340" spans="1:9">
      <c r="A340" s="6" t="s">
        <v>176</v>
      </c>
      <c r="B340" s="7" t="s">
        <v>28</v>
      </c>
      <c r="C340" s="7" t="s">
        <v>15</v>
      </c>
      <c r="D340" s="7" t="s">
        <v>65</v>
      </c>
      <c r="E340" s="7" t="s">
        <v>19</v>
      </c>
      <c r="F340" s="7" t="s">
        <v>11</v>
      </c>
      <c r="G340" s="7" t="s">
        <v>13</v>
      </c>
      <c r="H340" s="7" t="s">
        <v>16</v>
      </c>
      <c r="I340" s="7" t="s">
        <v>10</v>
      </c>
    </row>
    <row r="341" spans="1:9">
      <c r="A341" s="8" t="s">
        <v>175</v>
      </c>
      <c r="B341" s="9" t="s">
        <v>28</v>
      </c>
      <c r="C341" s="9" t="s">
        <v>15</v>
      </c>
      <c r="D341" s="9" t="s">
        <v>65</v>
      </c>
      <c r="E341" s="9" t="s">
        <v>19</v>
      </c>
      <c r="F341" s="9" t="s">
        <v>10</v>
      </c>
      <c r="G341" s="9" t="s">
        <v>13</v>
      </c>
      <c r="H341" s="9" t="s">
        <v>16</v>
      </c>
      <c r="I341" s="9" t="s">
        <v>17</v>
      </c>
    </row>
    <row r="342" spans="1:9">
      <c r="A342" s="6" t="s">
        <v>174</v>
      </c>
      <c r="B342" s="7" t="s">
        <v>28</v>
      </c>
      <c r="C342" s="7" t="s">
        <v>11</v>
      </c>
      <c r="D342" s="7" t="s">
        <v>65</v>
      </c>
      <c r="E342" s="7" t="s">
        <v>19</v>
      </c>
      <c r="F342" s="7" t="s">
        <v>14</v>
      </c>
      <c r="G342" s="7" t="s">
        <v>13</v>
      </c>
      <c r="H342" s="7" t="s">
        <v>10</v>
      </c>
      <c r="I342" s="7" t="s">
        <v>12</v>
      </c>
    </row>
    <row r="343" spans="1:9">
      <c r="A343" s="8" t="s">
        <v>173</v>
      </c>
      <c r="B343" s="9" t="s">
        <v>28</v>
      </c>
      <c r="C343" s="9" t="s">
        <v>10</v>
      </c>
      <c r="D343" s="9" t="s">
        <v>65</v>
      </c>
      <c r="E343" s="9" t="s">
        <v>19</v>
      </c>
      <c r="F343" s="9" t="s">
        <v>14</v>
      </c>
      <c r="G343" s="9" t="s">
        <v>13</v>
      </c>
      <c r="H343" s="9" t="s">
        <v>12</v>
      </c>
      <c r="I343" s="9" t="s">
        <v>17</v>
      </c>
    </row>
    <row r="344" spans="1:9">
      <c r="A344" s="6" t="s">
        <v>172</v>
      </c>
      <c r="B344" s="7" t="s">
        <v>28</v>
      </c>
      <c r="C344" s="7" t="s">
        <v>10</v>
      </c>
      <c r="D344" s="7" t="s">
        <v>65</v>
      </c>
      <c r="E344" s="7" t="s">
        <v>19</v>
      </c>
      <c r="F344" s="7" t="s">
        <v>14</v>
      </c>
      <c r="G344" s="7" t="s">
        <v>13</v>
      </c>
      <c r="H344" s="7" t="s">
        <v>16</v>
      </c>
      <c r="I344" s="7" t="s">
        <v>12</v>
      </c>
    </row>
    <row r="345" spans="1:9">
      <c r="A345" s="8" t="s">
        <v>171</v>
      </c>
      <c r="B345" s="9" t="s">
        <v>28</v>
      </c>
      <c r="C345" s="9" t="s">
        <v>11</v>
      </c>
      <c r="D345" s="9" t="s">
        <v>65</v>
      </c>
      <c r="E345" s="9" t="s">
        <v>19</v>
      </c>
      <c r="F345" s="9" t="s">
        <v>14</v>
      </c>
      <c r="G345" s="9" t="s">
        <v>13</v>
      </c>
      <c r="H345" s="9" t="s">
        <v>10</v>
      </c>
      <c r="I345" s="9" t="s">
        <v>17</v>
      </c>
    </row>
    <row r="346" spans="1:9">
      <c r="A346" s="6" t="s">
        <v>170</v>
      </c>
      <c r="B346" s="7" t="s">
        <v>28</v>
      </c>
      <c r="C346" s="7" t="s">
        <v>11</v>
      </c>
      <c r="D346" s="7" t="s">
        <v>65</v>
      </c>
      <c r="E346" s="7" t="s">
        <v>19</v>
      </c>
      <c r="F346" s="7" t="s">
        <v>14</v>
      </c>
      <c r="G346" s="7" t="s">
        <v>13</v>
      </c>
      <c r="H346" s="7" t="s">
        <v>16</v>
      </c>
      <c r="I346" s="7" t="s">
        <v>10</v>
      </c>
    </row>
    <row r="347" spans="1:9">
      <c r="A347" s="8" t="s">
        <v>169</v>
      </c>
      <c r="B347" s="9" t="s">
        <v>28</v>
      </c>
      <c r="C347" s="9" t="s">
        <v>10</v>
      </c>
      <c r="D347" s="9" t="s">
        <v>65</v>
      </c>
      <c r="E347" s="9" t="s">
        <v>19</v>
      </c>
      <c r="F347" s="9" t="s">
        <v>14</v>
      </c>
      <c r="G347" s="9" t="s">
        <v>13</v>
      </c>
      <c r="H347" s="9" t="s">
        <v>16</v>
      </c>
      <c r="I347" s="9" t="s">
        <v>17</v>
      </c>
    </row>
    <row r="348" spans="1:9">
      <c r="A348" s="6" t="s">
        <v>168</v>
      </c>
      <c r="B348" s="7" t="s">
        <v>28</v>
      </c>
      <c r="C348" s="7" t="s">
        <v>11</v>
      </c>
      <c r="D348" s="7" t="s">
        <v>65</v>
      </c>
      <c r="E348" s="7" t="s">
        <v>19</v>
      </c>
      <c r="F348" s="7" t="s">
        <v>10</v>
      </c>
      <c r="G348" s="7" t="s">
        <v>13</v>
      </c>
      <c r="H348" s="7" t="s">
        <v>12</v>
      </c>
      <c r="I348" s="7" t="s">
        <v>17</v>
      </c>
    </row>
    <row r="349" spans="1:9">
      <c r="A349" s="8" t="s">
        <v>167</v>
      </c>
      <c r="B349" s="9" t="s">
        <v>28</v>
      </c>
      <c r="C349" s="9" t="s">
        <v>11</v>
      </c>
      <c r="D349" s="9" t="s">
        <v>65</v>
      </c>
      <c r="E349" s="9" t="s">
        <v>19</v>
      </c>
      <c r="F349" s="9" t="s">
        <v>10</v>
      </c>
      <c r="G349" s="9" t="s">
        <v>13</v>
      </c>
      <c r="H349" s="9" t="s">
        <v>16</v>
      </c>
      <c r="I349" s="9" t="s">
        <v>12</v>
      </c>
    </row>
    <row r="350" spans="1:9">
      <c r="A350" s="6" t="s">
        <v>166</v>
      </c>
      <c r="B350" s="7" t="s">
        <v>14</v>
      </c>
      <c r="C350" s="7" t="s">
        <v>15</v>
      </c>
      <c r="D350" s="7" t="s">
        <v>65</v>
      </c>
      <c r="E350" s="7" t="s">
        <v>28</v>
      </c>
      <c r="F350" s="7" t="s">
        <v>186</v>
      </c>
      <c r="G350" s="7" t="s">
        <v>13</v>
      </c>
      <c r="H350" s="7" t="s">
        <v>19</v>
      </c>
      <c r="I350" s="7" t="s">
        <v>10</v>
      </c>
    </row>
    <row r="351" spans="1:9">
      <c r="A351" s="8" t="s">
        <v>165</v>
      </c>
      <c r="B351" s="9" t="s">
        <v>28</v>
      </c>
      <c r="C351" s="9" t="s">
        <v>11</v>
      </c>
      <c r="D351" s="9" t="s">
        <v>65</v>
      </c>
      <c r="E351" s="9" t="s">
        <v>19</v>
      </c>
      <c r="F351" s="9" t="s">
        <v>10</v>
      </c>
      <c r="G351" s="9" t="s">
        <v>13</v>
      </c>
      <c r="H351" s="9" t="s">
        <v>16</v>
      </c>
      <c r="I351" s="9" t="s">
        <v>17</v>
      </c>
    </row>
    <row r="352" spans="1:9">
      <c r="A352" s="6" t="s">
        <v>164</v>
      </c>
      <c r="B352" s="7" t="s">
        <v>14</v>
      </c>
      <c r="C352" s="7" t="s">
        <v>15</v>
      </c>
      <c r="D352" s="7" t="s">
        <v>65</v>
      </c>
      <c r="E352" s="7" t="s">
        <v>28</v>
      </c>
      <c r="F352" s="7" t="s">
        <v>11</v>
      </c>
      <c r="G352" s="7" t="s">
        <v>19</v>
      </c>
      <c r="H352" s="7" t="s">
        <v>10</v>
      </c>
      <c r="I352" s="7" t="s">
        <v>12</v>
      </c>
    </row>
    <row r="353" spans="1:9">
      <c r="A353" s="8" t="s">
        <v>163</v>
      </c>
      <c r="B353" s="9" t="s">
        <v>10</v>
      </c>
      <c r="C353" s="9" t="s">
        <v>15</v>
      </c>
      <c r="D353" s="9" t="s">
        <v>65</v>
      </c>
      <c r="E353" s="9" t="s">
        <v>28</v>
      </c>
      <c r="F353" s="9" t="s">
        <v>14</v>
      </c>
      <c r="G353" s="9" t="s">
        <v>19</v>
      </c>
      <c r="H353" s="9" t="s">
        <v>12</v>
      </c>
      <c r="I353" s="9" t="s">
        <v>17</v>
      </c>
    </row>
    <row r="354" spans="1:9">
      <c r="A354" s="6" t="s">
        <v>162</v>
      </c>
      <c r="B354" s="7" t="s">
        <v>10</v>
      </c>
      <c r="C354" s="7" t="s">
        <v>15</v>
      </c>
      <c r="D354" s="7" t="s">
        <v>65</v>
      </c>
      <c r="E354" s="7" t="s">
        <v>28</v>
      </c>
      <c r="F354" s="7" t="s">
        <v>14</v>
      </c>
      <c r="G354" s="7" t="s">
        <v>19</v>
      </c>
      <c r="H354" s="7" t="s">
        <v>16</v>
      </c>
      <c r="I354" s="7" t="s">
        <v>12</v>
      </c>
    </row>
    <row r="355" spans="1:9">
      <c r="A355" s="8" t="s">
        <v>161</v>
      </c>
      <c r="B355" s="9" t="s">
        <v>14</v>
      </c>
      <c r="C355" s="9" t="s">
        <v>15</v>
      </c>
      <c r="D355" s="9" t="s">
        <v>65</v>
      </c>
      <c r="E355" s="9" t="s">
        <v>28</v>
      </c>
      <c r="F355" s="9" t="s">
        <v>11</v>
      </c>
      <c r="G355" s="9" t="s">
        <v>19</v>
      </c>
      <c r="H355" s="9" t="s">
        <v>10</v>
      </c>
      <c r="I355" s="9" t="s">
        <v>17</v>
      </c>
    </row>
    <row r="356" spans="1:9">
      <c r="A356" s="6" t="s">
        <v>160</v>
      </c>
      <c r="B356" s="7" t="s">
        <v>14</v>
      </c>
      <c r="C356" s="7" t="s">
        <v>15</v>
      </c>
      <c r="D356" s="7" t="s">
        <v>65</v>
      </c>
      <c r="E356" s="7" t="s">
        <v>28</v>
      </c>
      <c r="F356" s="7" t="s">
        <v>11</v>
      </c>
      <c r="G356" s="7" t="s">
        <v>19</v>
      </c>
      <c r="H356" s="7" t="s">
        <v>16</v>
      </c>
      <c r="I356" s="7" t="s">
        <v>10</v>
      </c>
    </row>
    <row r="357" spans="1:9">
      <c r="A357" s="8" t="s">
        <v>159</v>
      </c>
      <c r="B357" s="9" t="s">
        <v>10</v>
      </c>
      <c r="C357" s="9" t="s">
        <v>15</v>
      </c>
      <c r="D357" s="9" t="s">
        <v>65</v>
      </c>
      <c r="E357" s="9" t="s">
        <v>28</v>
      </c>
      <c r="F357" s="9" t="s">
        <v>14</v>
      </c>
      <c r="G357" s="9" t="s">
        <v>19</v>
      </c>
      <c r="H357" s="9" t="s">
        <v>16</v>
      </c>
      <c r="I357" s="9" t="s">
        <v>17</v>
      </c>
    </row>
    <row r="358" spans="1:9">
      <c r="A358" s="6" t="s">
        <v>158</v>
      </c>
      <c r="B358" s="7" t="s">
        <v>10</v>
      </c>
      <c r="C358" s="7" t="s">
        <v>15</v>
      </c>
      <c r="D358" s="7" t="s">
        <v>65</v>
      </c>
      <c r="E358" s="7" t="s">
        <v>28</v>
      </c>
      <c r="F358" s="7" t="s">
        <v>11</v>
      </c>
      <c r="G358" s="7" t="s">
        <v>19</v>
      </c>
      <c r="H358" s="7" t="s">
        <v>12</v>
      </c>
      <c r="I358" s="7" t="s">
        <v>17</v>
      </c>
    </row>
    <row r="359" spans="1:9">
      <c r="A359" s="8" t="s">
        <v>157</v>
      </c>
      <c r="B359" s="9" t="s">
        <v>10</v>
      </c>
      <c r="C359" s="9" t="s">
        <v>15</v>
      </c>
      <c r="D359" s="9" t="s">
        <v>65</v>
      </c>
      <c r="E359" s="9" t="s">
        <v>28</v>
      </c>
      <c r="F359" s="9" t="s">
        <v>11</v>
      </c>
      <c r="G359" s="9" t="s">
        <v>19</v>
      </c>
      <c r="H359" s="9" t="s">
        <v>16</v>
      </c>
      <c r="I359" s="9" t="s">
        <v>12</v>
      </c>
    </row>
    <row r="360" spans="1:9">
      <c r="A360" s="6" t="s">
        <v>156</v>
      </c>
      <c r="B360" s="7" t="s">
        <v>10</v>
      </c>
      <c r="C360" s="7" t="s">
        <v>15</v>
      </c>
      <c r="D360" s="7" t="s">
        <v>65</v>
      </c>
      <c r="E360" s="7" t="s">
        <v>28</v>
      </c>
      <c r="F360" s="7" t="s">
        <v>12</v>
      </c>
      <c r="G360" s="7" t="s">
        <v>19</v>
      </c>
      <c r="H360" s="7" t="s">
        <v>16</v>
      </c>
      <c r="I360" s="7" t="s">
        <v>17</v>
      </c>
    </row>
    <row r="361" spans="1:9">
      <c r="A361" s="8" t="s">
        <v>155</v>
      </c>
      <c r="B361" s="9" t="s">
        <v>10</v>
      </c>
      <c r="C361" s="9" t="s">
        <v>15</v>
      </c>
      <c r="D361" s="9" t="s">
        <v>65</v>
      </c>
      <c r="E361" s="9" t="s">
        <v>28</v>
      </c>
      <c r="F361" s="9" t="s">
        <v>11</v>
      </c>
      <c r="G361" s="9" t="s">
        <v>19</v>
      </c>
      <c r="H361" s="9" t="s">
        <v>16</v>
      </c>
      <c r="I361" s="9" t="s">
        <v>17</v>
      </c>
    </row>
    <row r="362" spans="1:9">
      <c r="A362" s="6" t="s">
        <v>154</v>
      </c>
      <c r="B362" s="7" t="s">
        <v>10</v>
      </c>
      <c r="C362" s="7" t="s">
        <v>11</v>
      </c>
      <c r="D362" s="7" t="s">
        <v>65</v>
      </c>
      <c r="E362" s="7" t="s">
        <v>28</v>
      </c>
      <c r="F362" s="7" t="s">
        <v>14</v>
      </c>
      <c r="G362" s="7" t="s">
        <v>19</v>
      </c>
      <c r="H362" s="7" t="s">
        <v>12</v>
      </c>
      <c r="I362" s="7" t="s">
        <v>17</v>
      </c>
    </row>
    <row r="363" spans="1:9">
      <c r="A363" s="8" t="s">
        <v>153</v>
      </c>
      <c r="B363" s="9" t="s">
        <v>10</v>
      </c>
      <c r="C363" s="9" t="s">
        <v>11</v>
      </c>
      <c r="D363" s="9" t="s">
        <v>65</v>
      </c>
      <c r="E363" s="9" t="s">
        <v>28</v>
      </c>
      <c r="F363" s="9" t="s">
        <v>12</v>
      </c>
      <c r="G363" s="9" t="s">
        <v>19</v>
      </c>
      <c r="H363" s="9" t="s">
        <v>16</v>
      </c>
      <c r="I363" s="9" t="s">
        <v>17</v>
      </c>
    </row>
    <row r="364" spans="1:9">
      <c r="A364" s="6" t="s">
        <v>152</v>
      </c>
      <c r="B364" s="7" t="s">
        <v>10</v>
      </c>
      <c r="C364" s="7" t="s">
        <v>12</v>
      </c>
      <c r="D364" s="7" t="s">
        <v>65</v>
      </c>
      <c r="E364" s="7" t="s">
        <v>28</v>
      </c>
      <c r="F364" s="7" t="s">
        <v>14</v>
      </c>
      <c r="G364" s="7" t="s">
        <v>19</v>
      </c>
      <c r="H364" s="7" t="s">
        <v>16</v>
      </c>
      <c r="I364" s="7" t="s">
        <v>17</v>
      </c>
    </row>
    <row r="365" spans="1:9">
      <c r="A365" s="8" t="s">
        <v>151</v>
      </c>
      <c r="B365" s="9" t="s">
        <v>10</v>
      </c>
      <c r="C365" s="9" t="s">
        <v>11</v>
      </c>
      <c r="D365" s="9" t="s">
        <v>65</v>
      </c>
      <c r="E365" s="9" t="s">
        <v>28</v>
      </c>
      <c r="F365" s="9" t="s">
        <v>14</v>
      </c>
      <c r="G365" s="9" t="s">
        <v>19</v>
      </c>
      <c r="H365" s="9" t="s">
        <v>16</v>
      </c>
      <c r="I365" s="9" t="s">
        <v>17</v>
      </c>
    </row>
    <row r="366" spans="1:9">
      <c r="A366" s="6" t="s">
        <v>150</v>
      </c>
      <c r="B366" s="7" t="s">
        <v>14</v>
      </c>
      <c r="C366" s="7" t="s">
        <v>15</v>
      </c>
      <c r="D366" s="7" t="s">
        <v>65</v>
      </c>
      <c r="E366" s="7" t="s">
        <v>28</v>
      </c>
      <c r="F366" s="7" t="s">
        <v>186</v>
      </c>
      <c r="G366" s="7" t="s">
        <v>13</v>
      </c>
      <c r="H366" s="7" t="s">
        <v>19</v>
      </c>
      <c r="I366" s="7" t="s">
        <v>10</v>
      </c>
    </row>
    <row r="367" spans="1:9">
      <c r="A367" s="8" t="s">
        <v>149</v>
      </c>
      <c r="B367" s="9" t="s">
        <v>14</v>
      </c>
      <c r="C367" s="9" t="s">
        <v>15</v>
      </c>
      <c r="D367" s="9" t="s">
        <v>65</v>
      </c>
      <c r="E367" s="9" t="s">
        <v>28</v>
      </c>
      <c r="F367" s="9" t="s">
        <v>11</v>
      </c>
      <c r="G367" s="9" t="s">
        <v>13</v>
      </c>
      <c r="H367" s="9" t="s">
        <v>19</v>
      </c>
      <c r="I367" s="9" t="s">
        <v>12</v>
      </c>
    </row>
    <row r="368" spans="1:9">
      <c r="A368" s="6" t="s">
        <v>148</v>
      </c>
      <c r="B368" s="7" t="s">
        <v>28</v>
      </c>
      <c r="C368" s="7" t="s">
        <v>15</v>
      </c>
      <c r="D368" s="7" t="s">
        <v>65</v>
      </c>
      <c r="E368" s="7" t="s">
        <v>19</v>
      </c>
      <c r="F368" s="7" t="s">
        <v>14</v>
      </c>
      <c r="G368" s="7" t="s">
        <v>13</v>
      </c>
      <c r="H368" s="7" t="s">
        <v>12</v>
      </c>
      <c r="I368" s="7" t="s">
        <v>17</v>
      </c>
    </row>
    <row r="369" spans="1:9">
      <c r="A369" s="8" t="s">
        <v>147</v>
      </c>
      <c r="B369" s="9" t="s">
        <v>28</v>
      </c>
      <c r="C369" s="9" t="s">
        <v>15</v>
      </c>
      <c r="D369" s="9" t="s">
        <v>65</v>
      </c>
      <c r="E369" s="9" t="s">
        <v>19</v>
      </c>
      <c r="F369" s="9" t="s">
        <v>14</v>
      </c>
      <c r="G369" s="9" t="s">
        <v>13</v>
      </c>
      <c r="H369" s="9" t="s">
        <v>16</v>
      </c>
      <c r="I369" s="9" t="s">
        <v>12</v>
      </c>
    </row>
    <row r="370" spans="1:9">
      <c r="A370" s="6" t="s">
        <v>146</v>
      </c>
      <c r="B370" s="7" t="s">
        <v>14</v>
      </c>
      <c r="C370" s="7" t="s">
        <v>15</v>
      </c>
      <c r="D370" s="7" t="s">
        <v>65</v>
      </c>
      <c r="E370" s="7" t="s">
        <v>28</v>
      </c>
      <c r="F370" s="7" t="s">
        <v>11</v>
      </c>
      <c r="G370" s="7" t="s">
        <v>13</v>
      </c>
      <c r="H370" s="7" t="s">
        <v>19</v>
      </c>
      <c r="I370" s="7" t="s">
        <v>17</v>
      </c>
    </row>
    <row r="371" spans="1:9">
      <c r="A371" s="8" t="s">
        <v>145</v>
      </c>
      <c r="B371" s="9" t="s">
        <v>28</v>
      </c>
      <c r="C371" s="9" t="s">
        <v>15</v>
      </c>
      <c r="D371" s="9" t="s">
        <v>65</v>
      </c>
      <c r="E371" s="9" t="s">
        <v>19</v>
      </c>
      <c r="F371" s="9" t="s">
        <v>14</v>
      </c>
      <c r="G371" s="9" t="s">
        <v>13</v>
      </c>
      <c r="H371" s="9" t="s">
        <v>16</v>
      </c>
      <c r="I371" s="9" t="s">
        <v>11</v>
      </c>
    </row>
    <row r="372" spans="1:9">
      <c r="A372" s="6" t="s">
        <v>144</v>
      </c>
      <c r="B372" s="7" t="s">
        <v>28</v>
      </c>
      <c r="C372" s="7" t="s">
        <v>15</v>
      </c>
      <c r="D372" s="7" t="s">
        <v>65</v>
      </c>
      <c r="E372" s="7" t="s">
        <v>19</v>
      </c>
      <c r="F372" s="7" t="s">
        <v>14</v>
      </c>
      <c r="G372" s="7" t="s">
        <v>13</v>
      </c>
      <c r="H372" s="7" t="s">
        <v>16</v>
      </c>
      <c r="I372" s="7" t="s">
        <v>17</v>
      </c>
    </row>
    <row r="373" spans="1:9">
      <c r="A373" s="8" t="s">
        <v>143</v>
      </c>
      <c r="B373" s="9" t="s">
        <v>28</v>
      </c>
      <c r="C373" s="9" t="s">
        <v>15</v>
      </c>
      <c r="D373" s="9" t="s">
        <v>65</v>
      </c>
      <c r="E373" s="9" t="s">
        <v>19</v>
      </c>
      <c r="F373" s="9" t="s">
        <v>11</v>
      </c>
      <c r="G373" s="9" t="s">
        <v>13</v>
      </c>
      <c r="H373" s="9" t="s">
        <v>12</v>
      </c>
      <c r="I373" s="9" t="s">
        <v>17</v>
      </c>
    </row>
    <row r="374" spans="1:9">
      <c r="A374" s="6" t="s">
        <v>142</v>
      </c>
      <c r="B374" s="7" t="s">
        <v>28</v>
      </c>
      <c r="C374" s="7" t="s">
        <v>15</v>
      </c>
      <c r="D374" s="7" t="s">
        <v>65</v>
      </c>
      <c r="E374" s="7" t="s">
        <v>19</v>
      </c>
      <c r="F374" s="7" t="s">
        <v>11</v>
      </c>
      <c r="G374" s="7" t="s">
        <v>13</v>
      </c>
      <c r="H374" s="7" t="s">
        <v>16</v>
      </c>
      <c r="I374" s="7" t="s">
        <v>12</v>
      </c>
    </row>
    <row r="375" spans="1:9">
      <c r="A375" s="8" t="s">
        <v>141</v>
      </c>
      <c r="B375" s="9" t="s">
        <v>28</v>
      </c>
      <c r="C375" s="9" t="s">
        <v>15</v>
      </c>
      <c r="D375" s="9" t="s">
        <v>65</v>
      </c>
      <c r="E375" s="9" t="s">
        <v>19</v>
      </c>
      <c r="F375" s="9" t="s">
        <v>12</v>
      </c>
      <c r="G375" s="9" t="s">
        <v>13</v>
      </c>
      <c r="H375" s="9" t="s">
        <v>16</v>
      </c>
      <c r="I375" s="9" t="s">
        <v>17</v>
      </c>
    </row>
    <row r="376" spans="1:9">
      <c r="A376" s="6" t="s">
        <v>140</v>
      </c>
      <c r="B376" s="7" t="s">
        <v>28</v>
      </c>
      <c r="C376" s="7" t="s">
        <v>15</v>
      </c>
      <c r="D376" s="7" t="s">
        <v>65</v>
      </c>
      <c r="E376" s="7" t="s">
        <v>19</v>
      </c>
      <c r="F376" s="7" t="s">
        <v>11</v>
      </c>
      <c r="G376" s="7" t="s">
        <v>13</v>
      </c>
      <c r="H376" s="7" t="s">
        <v>16</v>
      </c>
      <c r="I376" s="7" t="s">
        <v>17</v>
      </c>
    </row>
    <row r="377" spans="1:9">
      <c r="A377" s="8" t="s">
        <v>139</v>
      </c>
      <c r="B377" s="9" t="s">
        <v>28</v>
      </c>
      <c r="C377" s="9" t="s">
        <v>11</v>
      </c>
      <c r="D377" s="9" t="s">
        <v>65</v>
      </c>
      <c r="E377" s="9" t="s">
        <v>19</v>
      </c>
      <c r="F377" s="9" t="s">
        <v>14</v>
      </c>
      <c r="G377" s="9" t="s">
        <v>13</v>
      </c>
      <c r="H377" s="9" t="s">
        <v>12</v>
      </c>
      <c r="I377" s="9" t="s">
        <v>17</v>
      </c>
    </row>
    <row r="378" spans="1:9">
      <c r="A378" s="6" t="s">
        <v>138</v>
      </c>
      <c r="B378" s="7" t="s">
        <v>28</v>
      </c>
      <c r="C378" s="7" t="s">
        <v>11</v>
      </c>
      <c r="D378" s="7" t="s">
        <v>65</v>
      </c>
      <c r="E378" s="7" t="s">
        <v>19</v>
      </c>
      <c r="F378" s="7" t="s">
        <v>14</v>
      </c>
      <c r="G378" s="7" t="s">
        <v>13</v>
      </c>
      <c r="H378" s="7" t="s">
        <v>16</v>
      </c>
      <c r="I378" s="7" t="s">
        <v>12</v>
      </c>
    </row>
    <row r="379" spans="1:9">
      <c r="A379" s="8" t="s">
        <v>137</v>
      </c>
      <c r="B379" s="9" t="s">
        <v>28</v>
      </c>
      <c r="C379" s="9" t="s">
        <v>12</v>
      </c>
      <c r="D379" s="9" t="s">
        <v>65</v>
      </c>
      <c r="E379" s="9" t="s">
        <v>19</v>
      </c>
      <c r="F379" s="9" t="s">
        <v>14</v>
      </c>
      <c r="G379" s="9" t="s">
        <v>13</v>
      </c>
      <c r="H379" s="9" t="s">
        <v>16</v>
      </c>
      <c r="I379" s="9" t="s">
        <v>17</v>
      </c>
    </row>
    <row r="380" spans="1:9">
      <c r="A380" s="6" t="s">
        <v>136</v>
      </c>
      <c r="B380" s="7" t="s">
        <v>28</v>
      </c>
      <c r="C380" s="7" t="s">
        <v>11</v>
      </c>
      <c r="D380" s="7" t="s">
        <v>65</v>
      </c>
      <c r="E380" s="7" t="s">
        <v>19</v>
      </c>
      <c r="F380" s="7" t="s">
        <v>14</v>
      </c>
      <c r="G380" s="7" t="s">
        <v>13</v>
      </c>
      <c r="H380" s="7" t="s">
        <v>16</v>
      </c>
      <c r="I380" s="7" t="s">
        <v>17</v>
      </c>
    </row>
    <row r="381" spans="1:9">
      <c r="A381" s="8" t="s">
        <v>135</v>
      </c>
      <c r="B381" s="9" t="s">
        <v>28</v>
      </c>
      <c r="C381" s="9" t="s">
        <v>11</v>
      </c>
      <c r="D381" s="9" t="s">
        <v>65</v>
      </c>
      <c r="E381" s="9" t="s">
        <v>19</v>
      </c>
      <c r="F381" s="9" t="s">
        <v>12</v>
      </c>
      <c r="G381" s="9" t="s">
        <v>13</v>
      </c>
      <c r="H381" s="9" t="s">
        <v>16</v>
      </c>
      <c r="I381" s="9" t="s">
        <v>17</v>
      </c>
    </row>
    <row r="382" spans="1:9">
      <c r="A382" s="6" t="s">
        <v>134</v>
      </c>
      <c r="B382" s="7" t="s">
        <v>14</v>
      </c>
      <c r="C382" s="7" t="s">
        <v>15</v>
      </c>
      <c r="D382" s="7" t="s">
        <v>65</v>
      </c>
      <c r="E382" s="7" t="s">
        <v>28</v>
      </c>
      <c r="F382" s="7" t="s">
        <v>11</v>
      </c>
      <c r="G382" s="7" t="s">
        <v>19</v>
      </c>
      <c r="H382" s="7" t="s">
        <v>12</v>
      </c>
      <c r="I382" s="7" t="s">
        <v>17</v>
      </c>
    </row>
    <row r="383" spans="1:9">
      <c r="A383" s="8" t="s">
        <v>133</v>
      </c>
      <c r="B383" s="9" t="s">
        <v>12</v>
      </c>
      <c r="C383" s="9" t="s">
        <v>15</v>
      </c>
      <c r="D383" s="9" t="s">
        <v>65</v>
      </c>
      <c r="E383" s="9" t="s">
        <v>28</v>
      </c>
      <c r="F383" s="9" t="s">
        <v>11</v>
      </c>
      <c r="G383" s="9" t="s">
        <v>19</v>
      </c>
      <c r="H383" s="9" t="s">
        <v>16</v>
      </c>
      <c r="I383" s="9" t="s">
        <v>17</v>
      </c>
    </row>
    <row r="384" spans="1:9">
      <c r="A384" s="6" t="s">
        <v>132</v>
      </c>
      <c r="B384" s="7" t="s">
        <v>14</v>
      </c>
      <c r="C384" s="7" t="s">
        <v>15</v>
      </c>
      <c r="D384" s="7" t="s">
        <v>65</v>
      </c>
      <c r="E384" s="7" t="s">
        <v>28</v>
      </c>
      <c r="F384" s="7" t="s">
        <v>12</v>
      </c>
      <c r="G384" s="7" t="s">
        <v>19</v>
      </c>
      <c r="H384" s="7" t="s">
        <v>16</v>
      </c>
      <c r="I384" s="7" t="s">
        <v>17</v>
      </c>
    </row>
    <row r="385" spans="1:9">
      <c r="A385" s="8" t="s">
        <v>131</v>
      </c>
      <c r="B385" s="9" t="s">
        <v>14</v>
      </c>
      <c r="C385" s="9" t="s">
        <v>15</v>
      </c>
      <c r="D385" s="9" t="s">
        <v>65</v>
      </c>
      <c r="E385" s="9" t="s">
        <v>28</v>
      </c>
      <c r="F385" s="9" t="s">
        <v>11</v>
      </c>
      <c r="G385" s="9" t="s">
        <v>19</v>
      </c>
      <c r="H385" s="9" t="s">
        <v>16</v>
      </c>
      <c r="I385" s="9" t="s">
        <v>17</v>
      </c>
    </row>
    <row r="386" spans="1:9">
      <c r="A386" s="6" t="s">
        <v>130</v>
      </c>
      <c r="B386" s="7" t="s">
        <v>14</v>
      </c>
      <c r="C386" s="7" t="s">
        <v>15</v>
      </c>
      <c r="D386" s="7" t="s">
        <v>65</v>
      </c>
      <c r="E386" s="7" t="s">
        <v>28</v>
      </c>
      <c r="F386" s="7" t="s">
        <v>186</v>
      </c>
      <c r="G386" s="7" t="s">
        <v>13</v>
      </c>
      <c r="H386" s="7" t="s">
        <v>19</v>
      </c>
      <c r="I386" s="7" t="s">
        <v>10</v>
      </c>
    </row>
    <row r="387" spans="1:9">
      <c r="A387" s="8" t="s">
        <v>129</v>
      </c>
      <c r="B387" s="9" t="s">
        <v>14</v>
      </c>
      <c r="C387" s="9" t="s">
        <v>11</v>
      </c>
      <c r="D387" s="9" t="s">
        <v>65</v>
      </c>
      <c r="E387" s="9" t="s">
        <v>28</v>
      </c>
      <c r="F387" s="9" t="s">
        <v>12</v>
      </c>
      <c r="G387" s="9" t="s">
        <v>19</v>
      </c>
      <c r="H387" s="9" t="s">
        <v>16</v>
      </c>
      <c r="I387" s="9" t="s">
        <v>17</v>
      </c>
    </row>
    <row r="388" spans="1:9">
      <c r="A388" s="6" t="s">
        <v>128</v>
      </c>
      <c r="B388" s="7" t="s">
        <v>14</v>
      </c>
      <c r="C388" s="7" t="s">
        <v>15</v>
      </c>
      <c r="D388" s="7" t="s">
        <v>65</v>
      </c>
      <c r="E388" s="7" t="s">
        <v>28</v>
      </c>
      <c r="F388" s="7" t="s">
        <v>11</v>
      </c>
      <c r="G388" s="7" t="s">
        <v>13</v>
      </c>
      <c r="H388" s="7" t="s">
        <v>10</v>
      </c>
      <c r="I388" s="7" t="s">
        <v>12</v>
      </c>
    </row>
    <row r="389" spans="1:9">
      <c r="A389" s="8" t="s">
        <v>127</v>
      </c>
      <c r="B389" s="9" t="s">
        <v>10</v>
      </c>
      <c r="C389" s="9" t="s">
        <v>15</v>
      </c>
      <c r="D389" s="9" t="s">
        <v>65</v>
      </c>
      <c r="E389" s="9" t="s">
        <v>28</v>
      </c>
      <c r="F389" s="9" t="s">
        <v>14</v>
      </c>
      <c r="G389" s="9" t="s">
        <v>13</v>
      </c>
      <c r="H389" s="9" t="s">
        <v>12</v>
      </c>
      <c r="I389" s="9" t="s">
        <v>17</v>
      </c>
    </row>
    <row r="390" spans="1:9">
      <c r="A390" s="6" t="s">
        <v>126</v>
      </c>
      <c r="B390" s="7" t="s">
        <v>10</v>
      </c>
      <c r="C390" s="7" t="s">
        <v>15</v>
      </c>
      <c r="D390" s="7" t="s">
        <v>65</v>
      </c>
      <c r="E390" s="7" t="s">
        <v>28</v>
      </c>
      <c r="F390" s="7" t="s">
        <v>14</v>
      </c>
      <c r="G390" s="7" t="s">
        <v>13</v>
      </c>
      <c r="H390" s="7" t="s">
        <v>16</v>
      </c>
      <c r="I390" s="7" t="s">
        <v>12</v>
      </c>
    </row>
    <row r="391" spans="1:9">
      <c r="A391" s="8" t="s">
        <v>125</v>
      </c>
      <c r="B391" s="9" t="s">
        <v>14</v>
      </c>
      <c r="C391" s="9" t="s">
        <v>15</v>
      </c>
      <c r="D391" s="9" t="s">
        <v>65</v>
      </c>
      <c r="E391" s="9" t="s">
        <v>28</v>
      </c>
      <c r="F391" s="9" t="s">
        <v>11</v>
      </c>
      <c r="G391" s="9" t="s">
        <v>13</v>
      </c>
      <c r="H391" s="9" t="s">
        <v>10</v>
      </c>
      <c r="I391" s="9" t="s">
        <v>17</v>
      </c>
    </row>
    <row r="392" spans="1:9">
      <c r="A392" s="6" t="s">
        <v>124</v>
      </c>
      <c r="B392" s="7" t="s">
        <v>14</v>
      </c>
      <c r="C392" s="7" t="s">
        <v>15</v>
      </c>
      <c r="D392" s="7" t="s">
        <v>65</v>
      </c>
      <c r="E392" s="7" t="s">
        <v>28</v>
      </c>
      <c r="F392" s="7" t="s">
        <v>11</v>
      </c>
      <c r="G392" s="7" t="s">
        <v>13</v>
      </c>
      <c r="H392" s="7" t="s">
        <v>16</v>
      </c>
      <c r="I392" s="7" t="s">
        <v>10</v>
      </c>
    </row>
    <row r="393" spans="1:9">
      <c r="A393" s="8" t="s">
        <v>123</v>
      </c>
      <c r="B393" s="9" t="s">
        <v>10</v>
      </c>
      <c r="C393" s="9" t="s">
        <v>15</v>
      </c>
      <c r="D393" s="9" t="s">
        <v>65</v>
      </c>
      <c r="E393" s="9" t="s">
        <v>28</v>
      </c>
      <c r="F393" s="9" t="s">
        <v>14</v>
      </c>
      <c r="G393" s="9" t="s">
        <v>13</v>
      </c>
      <c r="H393" s="9" t="s">
        <v>16</v>
      </c>
      <c r="I393" s="9" t="s">
        <v>17</v>
      </c>
    </row>
    <row r="394" spans="1:9">
      <c r="A394" s="6" t="s">
        <v>122</v>
      </c>
      <c r="B394" s="7" t="s">
        <v>10</v>
      </c>
      <c r="C394" s="7" t="s">
        <v>15</v>
      </c>
      <c r="D394" s="7" t="s">
        <v>65</v>
      </c>
      <c r="E394" s="7" t="s">
        <v>28</v>
      </c>
      <c r="F394" s="7" t="s">
        <v>11</v>
      </c>
      <c r="G394" s="7" t="s">
        <v>13</v>
      </c>
      <c r="H394" s="7" t="s">
        <v>12</v>
      </c>
      <c r="I394" s="7" t="s">
        <v>17</v>
      </c>
    </row>
    <row r="395" spans="1:9">
      <c r="A395" s="8" t="s">
        <v>121</v>
      </c>
      <c r="B395" s="9" t="s">
        <v>10</v>
      </c>
      <c r="C395" s="9" t="s">
        <v>15</v>
      </c>
      <c r="D395" s="9" t="s">
        <v>65</v>
      </c>
      <c r="E395" s="9" t="s">
        <v>28</v>
      </c>
      <c r="F395" s="9" t="s">
        <v>11</v>
      </c>
      <c r="G395" s="9" t="s">
        <v>13</v>
      </c>
      <c r="H395" s="9" t="s">
        <v>16</v>
      </c>
      <c r="I395" s="9" t="s">
        <v>12</v>
      </c>
    </row>
    <row r="396" spans="1:9">
      <c r="A396" s="6" t="s">
        <v>120</v>
      </c>
      <c r="B396" s="7" t="s">
        <v>10</v>
      </c>
      <c r="C396" s="7" t="s">
        <v>15</v>
      </c>
      <c r="D396" s="7" t="s">
        <v>65</v>
      </c>
      <c r="E396" s="7" t="s">
        <v>28</v>
      </c>
      <c r="F396" s="7" t="s">
        <v>12</v>
      </c>
      <c r="G396" s="7" t="s">
        <v>13</v>
      </c>
      <c r="H396" s="7" t="s">
        <v>16</v>
      </c>
      <c r="I396" s="7" t="s">
        <v>17</v>
      </c>
    </row>
    <row r="397" spans="1:9">
      <c r="A397" s="8" t="s">
        <v>119</v>
      </c>
      <c r="B397" s="9" t="s">
        <v>10</v>
      </c>
      <c r="C397" s="9" t="s">
        <v>15</v>
      </c>
      <c r="D397" s="9" t="s">
        <v>65</v>
      </c>
      <c r="E397" s="9" t="s">
        <v>28</v>
      </c>
      <c r="F397" s="9" t="s">
        <v>11</v>
      </c>
      <c r="G397" s="9" t="s">
        <v>13</v>
      </c>
      <c r="H397" s="9" t="s">
        <v>16</v>
      </c>
      <c r="I397" s="9" t="s">
        <v>17</v>
      </c>
    </row>
    <row r="398" spans="1:9">
      <c r="A398" s="6" t="s">
        <v>118</v>
      </c>
      <c r="B398" s="7" t="s">
        <v>10</v>
      </c>
      <c r="C398" s="7" t="s">
        <v>11</v>
      </c>
      <c r="D398" s="7" t="s">
        <v>65</v>
      </c>
      <c r="E398" s="7" t="s">
        <v>28</v>
      </c>
      <c r="F398" s="7" t="s">
        <v>14</v>
      </c>
      <c r="G398" s="7" t="s">
        <v>13</v>
      </c>
      <c r="H398" s="7" t="s">
        <v>12</v>
      </c>
      <c r="I398" s="7" t="s">
        <v>17</v>
      </c>
    </row>
    <row r="399" spans="1:9">
      <c r="A399" s="8" t="s">
        <v>117</v>
      </c>
      <c r="B399" s="9" t="s">
        <v>10</v>
      </c>
      <c r="C399" s="9" t="s">
        <v>11</v>
      </c>
      <c r="D399" s="9" t="s">
        <v>65</v>
      </c>
      <c r="E399" s="9" t="s">
        <v>28</v>
      </c>
      <c r="F399" s="9" t="s">
        <v>14</v>
      </c>
      <c r="G399" s="9" t="s">
        <v>13</v>
      </c>
      <c r="H399" s="9" t="s">
        <v>16</v>
      </c>
      <c r="I399" s="9" t="s">
        <v>12</v>
      </c>
    </row>
    <row r="400" spans="1:9">
      <c r="A400" s="6" t="s">
        <v>116</v>
      </c>
      <c r="B400" s="7" t="s">
        <v>10</v>
      </c>
      <c r="C400" s="7" t="s">
        <v>12</v>
      </c>
      <c r="D400" s="7" t="s">
        <v>65</v>
      </c>
      <c r="E400" s="7" t="s">
        <v>28</v>
      </c>
      <c r="F400" s="7" t="s">
        <v>14</v>
      </c>
      <c r="G400" s="7" t="s">
        <v>13</v>
      </c>
      <c r="H400" s="7" t="s">
        <v>16</v>
      </c>
      <c r="I400" s="7" t="s">
        <v>17</v>
      </c>
    </row>
    <row r="401" spans="1:9">
      <c r="A401" s="8" t="s">
        <v>115</v>
      </c>
      <c r="B401" s="9" t="s">
        <v>10</v>
      </c>
      <c r="C401" s="9" t="s">
        <v>11</v>
      </c>
      <c r="D401" s="9" t="s">
        <v>65</v>
      </c>
      <c r="E401" s="9" t="s">
        <v>28</v>
      </c>
      <c r="F401" s="9" t="s">
        <v>14</v>
      </c>
      <c r="G401" s="9" t="s">
        <v>13</v>
      </c>
      <c r="H401" s="9" t="s">
        <v>16</v>
      </c>
      <c r="I401" s="9" t="s">
        <v>17</v>
      </c>
    </row>
    <row r="402" spans="1:9">
      <c r="A402" s="6" t="s">
        <v>114</v>
      </c>
      <c r="B402" s="7" t="s">
        <v>10</v>
      </c>
      <c r="C402" s="7" t="s">
        <v>11</v>
      </c>
      <c r="D402" s="7" t="s">
        <v>65</v>
      </c>
      <c r="E402" s="7" t="s">
        <v>28</v>
      </c>
      <c r="F402" s="7" t="s">
        <v>12</v>
      </c>
      <c r="G402" s="7" t="s">
        <v>13</v>
      </c>
      <c r="H402" s="7" t="s">
        <v>16</v>
      </c>
      <c r="I402" s="7" t="s">
        <v>17</v>
      </c>
    </row>
    <row r="403" spans="1:9">
      <c r="A403" s="8" t="s">
        <v>113</v>
      </c>
      <c r="B403" s="9" t="s">
        <v>10</v>
      </c>
      <c r="C403" s="9" t="s">
        <v>11</v>
      </c>
      <c r="D403" s="9" t="s">
        <v>65</v>
      </c>
      <c r="E403" s="9" t="s">
        <v>28</v>
      </c>
      <c r="F403" s="9" t="s">
        <v>14</v>
      </c>
      <c r="G403" s="9" t="s">
        <v>15</v>
      </c>
      <c r="H403" s="9" t="s">
        <v>12</v>
      </c>
      <c r="I403" s="9" t="s">
        <v>17</v>
      </c>
    </row>
    <row r="404" spans="1:9">
      <c r="A404" s="6" t="s">
        <v>112</v>
      </c>
      <c r="B404" s="7" t="s">
        <v>10</v>
      </c>
      <c r="C404" s="7" t="s">
        <v>11</v>
      </c>
      <c r="D404" s="7" t="s">
        <v>65</v>
      </c>
      <c r="E404" s="7" t="s">
        <v>28</v>
      </c>
      <c r="F404" s="7" t="s">
        <v>12</v>
      </c>
      <c r="G404" s="7" t="s">
        <v>15</v>
      </c>
      <c r="H404" s="7" t="s">
        <v>16</v>
      </c>
      <c r="I404" s="7" t="s">
        <v>17</v>
      </c>
    </row>
    <row r="405" spans="1:9">
      <c r="A405" s="8" t="s">
        <v>111</v>
      </c>
      <c r="B405" s="9" t="s">
        <v>10</v>
      </c>
      <c r="C405" s="9" t="s">
        <v>15</v>
      </c>
      <c r="D405" s="9" t="s">
        <v>65</v>
      </c>
      <c r="E405" s="9" t="s">
        <v>28</v>
      </c>
      <c r="F405" s="9" t="s">
        <v>12</v>
      </c>
      <c r="G405" s="9" t="s">
        <v>14</v>
      </c>
      <c r="H405" s="9" t="s">
        <v>16</v>
      </c>
      <c r="I405" s="9" t="s">
        <v>17</v>
      </c>
    </row>
    <row r="406" spans="1:9">
      <c r="A406" s="6" t="s">
        <v>110</v>
      </c>
      <c r="B406" s="7" t="s">
        <v>10</v>
      </c>
      <c r="C406" s="7" t="s">
        <v>11</v>
      </c>
      <c r="D406" s="7" t="s">
        <v>65</v>
      </c>
      <c r="E406" s="7" t="s">
        <v>28</v>
      </c>
      <c r="F406" s="7" t="s">
        <v>14</v>
      </c>
      <c r="G406" s="7" t="s">
        <v>15</v>
      </c>
      <c r="H406" s="7" t="s">
        <v>16</v>
      </c>
      <c r="I406" s="7" t="s">
        <v>17</v>
      </c>
    </row>
    <row r="407" spans="1:9">
      <c r="A407" s="8" t="s">
        <v>109</v>
      </c>
      <c r="B407" s="9" t="s">
        <v>14</v>
      </c>
      <c r="C407" s="9" t="s">
        <v>15</v>
      </c>
      <c r="D407" s="9" t="s">
        <v>65</v>
      </c>
      <c r="E407" s="9" t="s">
        <v>28</v>
      </c>
      <c r="F407" s="9" t="s">
        <v>186</v>
      </c>
      <c r="G407" s="9" t="s">
        <v>13</v>
      </c>
      <c r="H407" s="9" t="s">
        <v>19</v>
      </c>
      <c r="I407" s="9" t="s">
        <v>10</v>
      </c>
    </row>
    <row r="408" spans="1:9">
      <c r="A408" s="6" t="s">
        <v>108</v>
      </c>
      <c r="B408" s="7" t="s">
        <v>10</v>
      </c>
      <c r="C408" s="7" t="s">
        <v>11</v>
      </c>
      <c r="D408" s="7" t="s">
        <v>65</v>
      </c>
      <c r="E408" s="7" t="s">
        <v>28</v>
      </c>
      <c r="F408" s="7" t="s">
        <v>12</v>
      </c>
      <c r="G408" s="7" t="s">
        <v>14</v>
      </c>
      <c r="H408" s="7" t="s">
        <v>16</v>
      </c>
      <c r="I408" s="7" t="s">
        <v>17</v>
      </c>
    </row>
    <row r="409" spans="1:9">
      <c r="A409" s="8" t="s">
        <v>107</v>
      </c>
      <c r="B409" s="9" t="s">
        <v>14</v>
      </c>
      <c r="C409" s="9" t="s">
        <v>15</v>
      </c>
      <c r="D409" s="9" t="s">
        <v>65</v>
      </c>
      <c r="E409" s="9" t="s">
        <v>28</v>
      </c>
      <c r="F409" s="9" t="s">
        <v>11</v>
      </c>
      <c r="G409" s="9" t="s">
        <v>13</v>
      </c>
      <c r="H409" s="9" t="s">
        <v>12</v>
      </c>
      <c r="I409" s="9" t="s">
        <v>17</v>
      </c>
    </row>
    <row r="410" spans="1:9">
      <c r="A410" s="6" t="s">
        <v>106</v>
      </c>
      <c r="B410" s="7" t="s">
        <v>14</v>
      </c>
      <c r="C410" s="7" t="s">
        <v>15</v>
      </c>
      <c r="D410" s="7" t="s">
        <v>65</v>
      </c>
      <c r="E410" s="7" t="s">
        <v>28</v>
      </c>
      <c r="F410" s="7" t="s">
        <v>11</v>
      </c>
      <c r="G410" s="7" t="s">
        <v>13</v>
      </c>
      <c r="H410" s="7" t="s">
        <v>16</v>
      </c>
      <c r="I410" s="7" t="s">
        <v>12</v>
      </c>
    </row>
    <row r="411" spans="1:9">
      <c r="A411" s="8" t="s">
        <v>105</v>
      </c>
      <c r="B411" s="9" t="s">
        <v>14</v>
      </c>
      <c r="C411" s="9" t="s">
        <v>15</v>
      </c>
      <c r="D411" s="9" t="s">
        <v>65</v>
      </c>
      <c r="E411" s="9" t="s">
        <v>28</v>
      </c>
      <c r="F411" s="9" t="s">
        <v>12</v>
      </c>
      <c r="G411" s="9" t="s">
        <v>13</v>
      </c>
      <c r="H411" s="9" t="s">
        <v>16</v>
      </c>
      <c r="I411" s="9" t="s">
        <v>17</v>
      </c>
    </row>
    <row r="412" spans="1:9">
      <c r="A412" s="6" t="s">
        <v>104</v>
      </c>
      <c r="B412" s="7" t="s">
        <v>14</v>
      </c>
      <c r="C412" s="7" t="s">
        <v>15</v>
      </c>
      <c r="D412" s="7" t="s">
        <v>65</v>
      </c>
      <c r="E412" s="7" t="s">
        <v>28</v>
      </c>
      <c r="F412" s="7" t="s">
        <v>11</v>
      </c>
      <c r="G412" s="7" t="s">
        <v>13</v>
      </c>
      <c r="H412" s="7" t="s">
        <v>16</v>
      </c>
      <c r="I412" s="7" t="s">
        <v>17</v>
      </c>
    </row>
    <row r="413" spans="1:9">
      <c r="A413" s="8" t="s">
        <v>103</v>
      </c>
      <c r="B413" s="9" t="s">
        <v>12</v>
      </c>
      <c r="C413" s="9" t="s">
        <v>15</v>
      </c>
      <c r="D413" s="9" t="s">
        <v>65</v>
      </c>
      <c r="E413" s="9" t="s">
        <v>28</v>
      </c>
      <c r="F413" s="9" t="s">
        <v>11</v>
      </c>
      <c r="G413" s="9" t="s">
        <v>13</v>
      </c>
      <c r="H413" s="9" t="s">
        <v>16</v>
      </c>
      <c r="I413" s="9" t="s">
        <v>17</v>
      </c>
    </row>
    <row r="414" spans="1:9">
      <c r="A414" s="6" t="s">
        <v>102</v>
      </c>
      <c r="B414" s="7" t="s">
        <v>14</v>
      </c>
      <c r="C414" s="7" t="s">
        <v>11</v>
      </c>
      <c r="D414" s="7" t="s">
        <v>65</v>
      </c>
      <c r="E414" s="7" t="s">
        <v>28</v>
      </c>
      <c r="F414" s="7" t="s">
        <v>12</v>
      </c>
      <c r="G414" s="7" t="s">
        <v>13</v>
      </c>
      <c r="H414" s="7" t="s">
        <v>16</v>
      </c>
      <c r="I414" s="7" t="s">
        <v>17</v>
      </c>
    </row>
    <row r="415" spans="1:9">
      <c r="A415" s="8" t="s">
        <v>101</v>
      </c>
      <c r="B415" s="9" t="s">
        <v>14</v>
      </c>
      <c r="C415" s="9" t="s">
        <v>11</v>
      </c>
      <c r="D415" s="9" t="s">
        <v>65</v>
      </c>
      <c r="E415" s="9" t="s">
        <v>28</v>
      </c>
      <c r="F415" s="9" t="s">
        <v>12</v>
      </c>
      <c r="G415" s="9" t="s">
        <v>15</v>
      </c>
      <c r="H415" s="9" t="s">
        <v>16</v>
      </c>
      <c r="I415" s="9" t="s">
        <v>17</v>
      </c>
    </row>
    <row r="416" spans="1:9">
      <c r="A416" s="6" t="s">
        <v>100</v>
      </c>
      <c r="B416" s="7" t="s">
        <v>14</v>
      </c>
      <c r="C416" s="7" t="s">
        <v>15</v>
      </c>
      <c r="D416" s="7" t="s">
        <v>65</v>
      </c>
      <c r="E416" s="7" t="s">
        <v>19</v>
      </c>
      <c r="F416" s="7" t="s">
        <v>11</v>
      </c>
      <c r="G416" s="7" t="s">
        <v>13</v>
      </c>
      <c r="H416" s="7" t="s">
        <v>10</v>
      </c>
      <c r="I416" s="7" t="s">
        <v>12</v>
      </c>
    </row>
    <row r="417" spans="1:9">
      <c r="A417" s="8" t="s">
        <v>99</v>
      </c>
      <c r="B417" s="9" t="s">
        <v>10</v>
      </c>
      <c r="C417" s="9" t="s">
        <v>15</v>
      </c>
      <c r="D417" s="9" t="s">
        <v>65</v>
      </c>
      <c r="E417" s="9" t="s">
        <v>19</v>
      </c>
      <c r="F417" s="9" t="s">
        <v>14</v>
      </c>
      <c r="G417" s="9" t="s">
        <v>13</v>
      </c>
      <c r="H417" s="9" t="s">
        <v>12</v>
      </c>
      <c r="I417" s="9" t="s">
        <v>17</v>
      </c>
    </row>
    <row r="418" spans="1:9">
      <c r="A418" s="6" t="s">
        <v>98</v>
      </c>
      <c r="B418" s="7" t="s">
        <v>10</v>
      </c>
      <c r="C418" s="7" t="s">
        <v>15</v>
      </c>
      <c r="D418" s="7" t="s">
        <v>65</v>
      </c>
      <c r="E418" s="7" t="s">
        <v>19</v>
      </c>
      <c r="F418" s="7" t="s">
        <v>14</v>
      </c>
      <c r="G418" s="7" t="s">
        <v>13</v>
      </c>
      <c r="H418" s="7" t="s">
        <v>16</v>
      </c>
      <c r="I418" s="7" t="s">
        <v>12</v>
      </c>
    </row>
    <row r="419" spans="1:9">
      <c r="A419" s="8" t="s">
        <v>97</v>
      </c>
      <c r="B419" s="9" t="s">
        <v>14</v>
      </c>
      <c r="C419" s="9" t="s">
        <v>15</v>
      </c>
      <c r="D419" s="9" t="s">
        <v>65</v>
      </c>
      <c r="E419" s="9" t="s">
        <v>19</v>
      </c>
      <c r="F419" s="9" t="s">
        <v>11</v>
      </c>
      <c r="G419" s="9" t="s">
        <v>13</v>
      </c>
      <c r="H419" s="9" t="s">
        <v>10</v>
      </c>
      <c r="I419" s="9" t="s">
        <v>17</v>
      </c>
    </row>
    <row r="420" spans="1:9">
      <c r="A420" s="6" t="s">
        <v>96</v>
      </c>
      <c r="B420" s="7" t="s">
        <v>14</v>
      </c>
      <c r="C420" s="7" t="s">
        <v>15</v>
      </c>
      <c r="D420" s="7" t="s">
        <v>65</v>
      </c>
      <c r="E420" s="7" t="s">
        <v>19</v>
      </c>
      <c r="F420" s="7" t="s">
        <v>11</v>
      </c>
      <c r="G420" s="7" t="s">
        <v>13</v>
      </c>
      <c r="H420" s="7" t="s">
        <v>16</v>
      </c>
      <c r="I420" s="7" t="s">
        <v>10</v>
      </c>
    </row>
    <row r="421" spans="1:9">
      <c r="A421" s="8" t="s">
        <v>95</v>
      </c>
      <c r="B421" s="9" t="s">
        <v>10</v>
      </c>
      <c r="C421" s="9" t="s">
        <v>15</v>
      </c>
      <c r="D421" s="9" t="s">
        <v>65</v>
      </c>
      <c r="E421" s="9" t="s">
        <v>19</v>
      </c>
      <c r="F421" s="9" t="s">
        <v>14</v>
      </c>
      <c r="G421" s="9" t="s">
        <v>13</v>
      </c>
      <c r="H421" s="9" t="s">
        <v>16</v>
      </c>
      <c r="I421" s="9" t="s">
        <v>17</v>
      </c>
    </row>
    <row r="422" spans="1:9">
      <c r="A422" s="6" t="s">
        <v>94</v>
      </c>
      <c r="B422" s="7" t="s">
        <v>10</v>
      </c>
      <c r="C422" s="7" t="s">
        <v>15</v>
      </c>
      <c r="D422" s="7" t="s">
        <v>65</v>
      </c>
      <c r="E422" s="7" t="s">
        <v>19</v>
      </c>
      <c r="F422" s="7" t="s">
        <v>11</v>
      </c>
      <c r="G422" s="7" t="s">
        <v>13</v>
      </c>
      <c r="H422" s="7" t="s">
        <v>12</v>
      </c>
      <c r="I422" s="7" t="s">
        <v>17</v>
      </c>
    </row>
    <row r="423" spans="1:9">
      <c r="A423" s="8" t="s">
        <v>93</v>
      </c>
      <c r="B423" s="9" t="s">
        <v>10</v>
      </c>
      <c r="C423" s="9" t="s">
        <v>15</v>
      </c>
      <c r="D423" s="9" t="s">
        <v>65</v>
      </c>
      <c r="E423" s="9" t="s">
        <v>19</v>
      </c>
      <c r="F423" s="9" t="s">
        <v>11</v>
      </c>
      <c r="G423" s="9" t="s">
        <v>13</v>
      </c>
      <c r="H423" s="9" t="s">
        <v>16</v>
      </c>
      <c r="I423" s="9" t="s">
        <v>12</v>
      </c>
    </row>
    <row r="424" spans="1:9">
      <c r="A424" s="6" t="s">
        <v>92</v>
      </c>
      <c r="B424" s="7" t="s">
        <v>10</v>
      </c>
      <c r="C424" s="7" t="s">
        <v>15</v>
      </c>
      <c r="D424" s="7" t="s">
        <v>65</v>
      </c>
      <c r="E424" s="7" t="s">
        <v>19</v>
      </c>
      <c r="F424" s="7" t="s">
        <v>12</v>
      </c>
      <c r="G424" s="7" t="s">
        <v>13</v>
      </c>
      <c r="H424" s="7" t="s">
        <v>16</v>
      </c>
      <c r="I424" s="7" t="s">
        <v>17</v>
      </c>
    </row>
    <row r="425" spans="1:9">
      <c r="A425" s="8" t="s">
        <v>91</v>
      </c>
      <c r="B425" s="9" t="s">
        <v>10</v>
      </c>
      <c r="C425" s="9" t="s">
        <v>15</v>
      </c>
      <c r="D425" s="9" t="s">
        <v>65</v>
      </c>
      <c r="E425" s="9" t="s">
        <v>19</v>
      </c>
      <c r="F425" s="9" t="s">
        <v>11</v>
      </c>
      <c r="G425" s="9" t="s">
        <v>13</v>
      </c>
      <c r="H425" s="9" t="s">
        <v>16</v>
      </c>
      <c r="I425" s="9" t="s">
        <v>17</v>
      </c>
    </row>
    <row r="426" spans="1:9">
      <c r="A426" s="6" t="s">
        <v>90</v>
      </c>
      <c r="B426" s="7" t="s">
        <v>10</v>
      </c>
      <c r="C426" s="7" t="s">
        <v>11</v>
      </c>
      <c r="D426" s="7" t="s">
        <v>65</v>
      </c>
      <c r="E426" s="7" t="s">
        <v>19</v>
      </c>
      <c r="F426" s="7" t="s">
        <v>14</v>
      </c>
      <c r="G426" s="7" t="s">
        <v>13</v>
      </c>
      <c r="H426" s="7" t="s">
        <v>12</v>
      </c>
      <c r="I426" s="7" t="s">
        <v>17</v>
      </c>
    </row>
    <row r="427" spans="1:9">
      <c r="A427" s="8" t="s">
        <v>89</v>
      </c>
      <c r="B427" s="9" t="s">
        <v>10</v>
      </c>
      <c r="C427" s="9" t="s">
        <v>11</v>
      </c>
      <c r="D427" s="9" t="s">
        <v>65</v>
      </c>
      <c r="E427" s="9" t="s">
        <v>19</v>
      </c>
      <c r="F427" s="9" t="s">
        <v>14</v>
      </c>
      <c r="G427" s="9" t="s">
        <v>13</v>
      </c>
      <c r="H427" s="9" t="s">
        <v>16</v>
      </c>
      <c r="I427" s="9" t="s">
        <v>12</v>
      </c>
    </row>
    <row r="428" spans="1:9">
      <c r="A428" s="6" t="s">
        <v>88</v>
      </c>
      <c r="B428" s="7" t="s">
        <v>10</v>
      </c>
      <c r="C428" s="7" t="s">
        <v>12</v>
      </c>
      <c r="D428" s="7" t="s">
        <v>65</v>
      </c>
      <c r="E428" s="7" t="s">
        <v>19</v>
      </c>
      <c r="F428" s="7" t="s">
        <v>14</v>
      </c>
      <c r="G428" s="7" t="s">
        <v>13</v>
      </c>
      <c r="H428" s="7" t="s">
        <v>16</v>
      </c>
      <c r="I428" s="7" t="s">
        <v>17</v>
      </c>
    </row>
    <row r="429" spans="1:9">
      <c r="A429" s="8" t="s">
        <v>87</v>
      </c>
      <c r="B429" s="9" t="s">
        <v>10</v>
      </c>
      <c r="C429" s="9" t="s">
        <v>11</v>
      </c>
      <c r="D429" s="9" t="s">
        <v>65</v>
      </c>
      <c r="E429" s="9" t="s">
        <v>19</v>
      </c>
      <c r="F429" s="9" t="s">
        <v>14</v>
      </c>
      <c r="G429" s="9" t="s">
        <v>13</v>
      </c>
      <c r="H429" s="9" t="s">
        <v>16</v>
      </c>
      <c r="I429" s="9" t="s">
        <v>17</v>
      </c>
    </row>
    <row r="430" spans="1:9">
      <c r="A430" s="6" t="s">
        <v>86</v>
      </c>
      <c r="B430" s="7" t="s">
        <v>10</v>
      </c>
      <c r="C430" s="7" t="s">
        <v>11</v>
      </c>
      <c r="D430" s="7" t="s">
        <v>65</v>
      </c>
      <c r="E430" s="7" t="s">
        <v>19</v>
      </c>
      <c r="F430" s="7" t="s">
        <v>12</v>
      </c>
      <c r="G430" s="7" t="s">
        <v>13</v>
      </c>
      <c r="H430" s="7" t="s">
        <v>16</v>
      </c>
      <c r="I430" s="7" t="s">
        <v>17</v>
      </c>
    </row>
    <row r="431" spans="1:9">
      <c r="A431" s="8" t="s">
        <v>85</v>
      </c>
      <c r="B431" s="9" t="s">
        <v>10</v>
      </c>
      <c r="C431" s="9" t="s">
        <v>11</v>
      </c>
      <c r="D431" s="9" t="s">
        <v>65</v>
      </c>
      <c r="E431" s="9" t="s">
        <v>19</v>
      </c>
      <c r="F431" s="9" t="s">
        <v>14</v>
      </c>
      <c r="G431" s="9" t="s">
        <v>15</v>
      </c>
      <c r="H431" s="9" t="s">
        <v>12</v>
      </c>
      <c r="I431" s="9" t="s">
        <v>17</v>
      </c>
    </row>
    <row r="432" spans="1:9">
      <c r="A432" s="6" t="s">
        <v>84</v>
      </c>
      <c r="B432" s="7" t="s">
        <v>10</v>
      </c>
      <c r="C432" s="7" t="s">
        <v>11</v>
      </c>
      <c r="D432" s="7" t="s">
        <v>65</v>
      </c>
      <c r="E432" s="7" t="s">
        <v>19</v>
      </c>
      <c r="F432" s="7" t="s">
        <v>12</v>
      </c>
      <c r="G432" s="7" t="s">
        <v>15</v>
      </c>
      <c r="H432" s="7" t="s">
        <v>16</v>
      </c>
      <c r="I432" s="7" t="s">
        <v>17</v>
      </c>
    </row>
    <row r="433" spans="1:9">
      <c r="A433" s="8" t="s">
        <v>83</v>
      </c>
      <c r="B433" s="9" t="s">
        <v>10</v>
      </c>
      <c r="C433" s="9" t="s">
        <v>15</v>
      </c>
      <c r="D433" s="9" t="s">
        <v>65</v>
      </c>
      <c r="E433" s="9" t="s">
        <v>19</v>
      </c>
      <c r="F433" s="9" t="s">
        <v>12</v>
      </c>
      <c r="G433" s="9" t="s">
        <v>14</v>
      </c>
      <c r="H433" s="9" t="s">
        <v>16</v>
      </c>
      <c r="I433" s="9" t="s">
        <v>17</v>
      </c>
    </row>
    <row r="434" spans="1:9">
      <c r="A434" s="6" t="s">
        <v>82</v>
      </c>
      <c r="B434" s="7" t="s">
        <v>10</v>
      </c>
      <c r="C434" s="7" t="s">
        <v>11</v>
      </c>
      <c r="D434" s="7" t="s">
        <v>65</v>
      </c>
      <c r="E434" s="7" t="s">
        <v>19</v>
      </c>
      <c r="F434" s="7" t="s">
        <v>14</v>
      </c>
      <c r="G434" s="7" t="s">
        <v>15</v>
      </c>
      <c r="H434" s="7" t="s">
        <v>16</v>
      </c>
      <c r="I434" s="7" t="s">
        <v>17</v>
      </c>
    </row>
    <row r="435" spans="1:9">
      <c r="A435" s="8" t="s">
        <v>81</v>
      </c>
      <c r="B435" s="9" t="s">
        <v>14</v>
      </c>
      <c r="C435" s="9" t="s">
        <v>15</v>
      </c>
      <c r="D435" s="9" t="s">
        <v>65</v>
      </c>
      <c r="E435" s="9" t="s">
        <v>28</v>
      </c>
      <c r="F435" s="9" t="s">
        <v>186</v>
      </c>
      <c r="G435" s="9" t="s">
        <v>13</v>
      </c>
      <c r="H435" s="9" t="s">
        <v>19</v>
      </c>
      <c r="I435" s="9" t="s">
        <v>10</v>
      </c>
    </row>
    <row r="436" spans="1:9">
      <c r="A436" s="6" t="s">
        <v>80</v>
      </c>
      <c r="B436" s="7" t="s">
        <v>10</v>
      </c>
      <c r="C436" s="7" t="s">
        <v>11</v>
      </c>
      <c r="D436" s="7" t="s">
        <v>65</v>
      </c>
      <c r="E436" s="7" t="s">
        <v>19</v>
      </c>
      <c r="F436" s="7" t="s">
        <v>12</v>
      </c>
      <c r="G436" s="7" t="s">
        <v>14</v>
      </c>
      <c r="H436" s="7" t="s">
        <v>16</v>
      </c>
      <c r="I436" s="7" t="s">
        <v>17</v>
      </c>
    </row>
    <row r="437" spans="1:9">
      <c r="A437" s="8" t="s">
        <v>79</v>
      </c>
      <c r="B437" s="9" t="s">
        <v>14</v>
      </c>
      <c r="C437" s="9" t="s">
        <v>15</v>
      </c>
      <c r="D437" s="9" t="s">
        <v>65</v>
      </c>
      <c r="E437" s="9" t="s">
        <v>19</v>
      </c>
      <c r="F437" s="9" t="s">
        <v>11</v>
      </c>
      <c r="G437" s="9" t="s">
        <v>13</v>
      </c>
      <c r="H437" s="9" t="s">
        <v>12</v>
      </c>
      <c r="I437" s="9" t="s">
        <v>17</v>
      </c>
    </row>
    <row r="438" spans="1:9">
      <c r="A438" s="6" t="s">
        <v>78</v>
      </c>
      <c r="B438" s="7" t="s">
        <v>14</v>
      </c>
      <c r="C438" s="7" t="s">
        <v>15</v>
      </c>
      <c r="D438" s="7" t="s">
        <v>65</v>
      </c>
      <c r="E438" s="7" t="s">
        <v>19</v>
      </c>
      <c r="F438" s="7" t="s">
        <v>11</v>
      </c>
      <c r="G438" s="7" t="s">
        <v>13</v>
      </c>
      <c r="H438" s="7" t="s">
        <v>16</v>
      </c>
      <c r="I438" s="7" t="s">
        <v>12</v>
      </c>
    </row>
    <row r="439" spans="1:9">
      <c r="A439" s="8" t="s">
        <v>77</v>
      </c>
      <c r="B439" s="9" t="s">
        <v>14</v>
      </c>
      <c r="C439" s="9" t="s">
        <v>15</v>
      </c>
      <c r="D439" s="9" t="s">
        <v>65</v>
      </c>
      <c r="E439" s="9" t="s">
        <v>19</v>
      </c>
      <c r="F439" s="9" t="s">
        <v>12</v>
      </c>
      <c r="G439" s="9" t="s">
        <v>13</v>
      </c>
      <c r="H439" s="9" t="s">
        <v>16</v>
      </c>
      <c r="I439" s="9" t="s">
        <v>17</v>
      </c>
    </row>
    <row r="440" spans="1:9">
      <c r="A440" s="6" t="s">
        <v>76</v>
      </c>
      <c r="B440" s="7" t="s">
        <v>14</v>
      </c>
      <c r="C440" s="7" t="s">
        <v>15</v>
      </c>
      <c r="D440" s="7" t="s">
        <v>65</v>
      </c>
      <c r="E440" s="7" t="s">
        <v>19</v>
      </c>
      <c r="F440" s="7" t="s">
        <v>11</v>
      </c>
      <c r="G440" s="7" t="s">
        <v>13</v>
      </c>
      <c r="H440" s="7" t="s">
        <v>16</v>
      </c>
      <c r="I440" s="7" t="s">
        <v>17</v>
      </c>
    </row>
    <row r="441" spans="1:9">
      <c r="A441" s="8" t="s">
        <v>75</v>
      </c>
      <c r="B441" s="9" t="s">
        <v>12</v>
      </c>
      <c r="C441" s="9" t="s">
        <v>15</v>
      </c>
      <c r="D441" s="9" t="s">
        <v>65</v>
      </c>
      <c r="E441" s="9" t="s">
        <v>19</v>
      </c>
      <c r="F441" s="9" t="s">
        <v>11</v>
      </c>
      <c r="G441" s="9" t="s">
        <v>13</v>
      </c>
      <c r="H441" s="9" t="s">
        <v>16</v>
      </c>
      <c r="I441" s="9" t="s">
        <v>17</v>
      </c>
    </row>
    <row r="442" spans="1:9">
      <c r="A442" s="6" t="s">
        <v>74</v>
      </c>
      <c r="B442" s="7" t="s">
        <v>14</v>
      </c>
      <c r="C442" s="7" t="s">
        <v>11</v>
      </c>
      <c r="D442" s="7" t="s">
        <v>65</v>
      </c>
      <c r="E442" s="7" t="s">
        <v>19</v>
      </c>
      <c r="F442" s="7" t="s">
        <v>12</v>
      </c>
      <c r="G442" s="7" t="s">
        <v>13</v>
      </c>
      <c r="H442" s="7" t="s">
        <v>16</v>
      </c>
      <c r="I442" s="7" t="s">
        <v>17</v>
      </c>
    </row>
    <row r="443" spans="1:9">
      <c r="A443" s="8" t="s">
        <v>73</v>
      </c>
      <c r="B443" s="9" t="s">
        <v>14</v>
      </c>
      <c r="C443" s="9" t="s">
        <v>11</v>
      </c>
      <c r="D443" s="9" t="s">
        <v>65</v>
      </c>
      <c r="E443" s="9" t="s">
        <v>19</v>
      </c>
      <c r="F443" s="9" t="s">
        <v>12</v>
      </c>
      <c r="G443" s="9" t="s">
        <v>15</v>
      </c>
      <c r="H443" s="9" t="s">
        <v>16</v>
      </c>
      <c r="I443" s="9" t="s">
        <v>17</v>
      </c>
    </row>
    <row r="444" spans="1:9">
      <c r="A444" s="6" t="s">
        <v>72</v>
      </c>
      <c r="B444" s="7" t="s">
        <v>10</v>
      </c>
      <c r="C444" s="7" t="s">
        <v>11</v>
      </c>
      <c r="D444" s="7" t="s">
        <v>65</v>
      </c>
      <c r="E444" s="7" t="s">
        <v>13</v>
      </c>
      <c r="F444" s="7" t="s">
        <v>14</v>
      </c>
      <c r="G444" s="7" t="s">
        <v>15</v>
      </c>
      <c r="H444" s="7" t="s">
        <v>12</v>
      </c>
      <c r="I444" s="7" t="s">
        <v>17</v>
      </c>
    </row>
    <row r="445" spans="1:9">
      <c r="A445" s="8" t="s">
        <v>71</v>
      </c>
      <c r="B445" s="9" t="s">
        <v>10</v>
      </c>
      <c r="C445" s="9" t="s">
        <v>11</v>
      </c>
      <c r="D445" s="9" t="s">
        <v>65</v>
      </c>
      <c r="E445" s="9" t="s">
        <v>13</v>
      </c>
      <c r="F445" s="9" t="s">
        <v>14</v>
      </c>
      <c r="G445" s="9" t="s">
        <v>15</v>
      </c>
      <c r="H445" s="9" t="s">
        <v>16</v>
      </c>
      <c r="I445" s="9" t="s">
        <v>12</v>
      </c>
    </row>
    <row r="446" spans="1:9">
      <c r="A446" s="6" t="s">
        <v>70</v>
      </c>
      <c r="B446" s="7" t="s">
        <v>10</v>
      </c>
      <c r="C446" s="7" t="s">
        <v>15</v>
      </c>
      <c r="D446" s="7" t="s">
        <v>65</v>
      </c>
      <c r="E446" s="7" t="s">
        <v>13</v>
      </c>
      <c r="F446" s="7" t="s">
        <v>12</v>
      </c>
      <c r="G446" s="7" t="s">
        <v>14</v>
      </c>
      <c r="H446" s="7" t="s">
        <v>16</v>
      </c>
      <c r="I446" s="7" t="s">
        <v>17</v>
      </c>
    </row>
    <row r="447" spans="1:9">
      <c r="A447" s="8" t="s">
        <v>69</v>
      </c>
      <c r="B447" s="9" t="s">
        <v>10</v>
      </c>
      <c r="C447" s="9" t="s">
        <v>11</v>
      </c>
      <c r="D447" s="9" t="s">
        <v>65</v>
      </c>
      <c r="E447" s="9" t="s">
        <v>13</v>
      </c>
      <c r="F447" s="9" t="s">
        <v>14</v>
      </c>
      <c r="G447" s="9" t="s">
        <v>15</v>
      </c>
      <c r="H447" s="9" t="s">
        <v>16</v>
      </c>
      <c r="I447" s="9" t="s">
        <v>17</v>
      </c>
    </row>
    <row r="448" spans="1:9">
      <c r="A448" s="6" t="s">
        <v>68</v>
      </c>
      <c r="B448" s="7" t="s">
        <v>10</v>
      </c>
      <c r="C448" s="7" t="s">
        <v>11</v>
      </c>
      <c r="D448" s="7" t="s">
        <v>65</v>
      </c>
      <c r="E448" s="7" t="s">
        <v>13</v>
      </c>
      <c r="F448" s="7" t="s">
        <v>12</v>
      </c>
      <c r="G448" s="7" t="s">
        <v>15</v>
      </c>
      <c r="H448" s="7" t="s">
        <v>16</v>
      </c>
      <c r="I448" s="7" t="s">
        <v>17</v>
      </c>
    </row>
    <row r="449" spans="1:9">
      <c r="A449" s="8" t="s">
        <v>67</v>
      </c>
      <c r="B449" s="9" t="s">
        <v>10</v>
      </c>
      <c r="C449" s="9" t="s">
        <v>11</v>
      </c>
      <c r="D449" s="9" t="s">
        <v>65</v>
      </c>
      <c r="E449" s="9" t="s">
        <v>13</v>
      </c>
      <c r="F449" s="9" t="s">
        <v>12</v>
      </c>
      <c r="G449" s="9" t="s">
        <v>14</v>
      </c>
      <c r="H449" s="9" t="s">
        <v>16</v>
      </c>
      <c r="I449" s="9" t="s">
        <v>17</v>
      </c>
    </row>
    <row r="450" spans="1:9">
      <c r="A450" s="6" t="s">
        <v>66</v>
      </c>
      <c r="B450" s="7" t="s">
        <v>10</v>
      </c>
      <c r="C450" s="7" t="s">
        <v>11</v>
      </c>
      <c r="D450" s="7" t="s">
        <v>12</v>
      </c>
      <c r="E450" s="7" t="s">
        <v>65</v>
      </c>
      <c r="F450" s="7" t="s">
        <v>14</v>
      </c>
      <c r="G450" s="7" t="s">
        <v>15</v>
      </c>
      <c r="H450" s="7" t="s">
        <v>16</v>
      </c>
      <c r="I450" s="7" t="s">
        <v>17</v>
      </c>
    </row>
    <row r="451" spans="1:9">
      <c r="A451" s="8" t="s">
        <v>64</v>
      </c>
      <c r="B451" s="9" t="s">
        <v>14</v>
      </c>
      <c r="C451" s="9" t="s">
        <v>11</v>
      </c>
      <c r="D451" s="9" t="s">
        <v>65</v>
      </c>
      <c r="E451" s="9" t="s">
        <v>13</v>
      </c>
      <c r="F451" s="9" t="s">
        <v>12</v>
      </c>
      <c r="G451" s="9" t="s">
        <v>15</v>
      </c>
      <c r="H451" s="9" t="s">
        <v>16</v>
      </c>
      <c r="I451" s="9" t="s">
        <v>17</v>
      </c>
    </row>
    <row r="452" spans="1:9">
      <c r="A452" s="6" t="s">
        <v>63</v>
      </c>
      <c r="B452" s="7" t="s">
        <v>28</v>
      </c>
      <c r="C452" s="7" t="s">
        <v>15</v>
      </c>
      <c r="D452" s="7" t="s">
        <v>11</v>
      </c>
      <c r="E452" s="7" t="s">
        <v>19</v>
      </c>
      <c r="F452" s="7" t="s">
        <v>14</v>
      </c>
      <c r="G452" s="7" t="s">
        <v>13</v>
      </c>
      <c r="H452" s="7" t="s">
        <v>10</v>
      </c>
      <c r="I452" s="7" t="s">
        <v>12</v>
      </c>
    </row>
    <row r="453" spans="1:9">
      <c r="A453" s="8" t="s">
        <v>62</v>
      </c>
      <c r="B453" s="9" t="s">
        <v>28</v>
      </c>
      <c r="C453" s="9" t="s">
        <v>15</v>
      </c>
      <c r="D453" s="9" t="s">
        <v>10</v>
      </c>
      <c r="E453" s="9" t="s">
        <v>19</v>
      </c>
      <c r="F453" s="9" t="s">
        <v>14</v>
      </c>
      <c r="G453" s="9" t="s">
        <v>13</v>
      </c>
      <c r="H453" s="9" t="s">
        <v>12</v>
      </c>
      <c r="I453" s="9" t="s">
        <v>17</v>
      </c>
    </row>
    <row r="454" spans="1:9">
      <c r="A454" s="6" t="s">
        <v>61</v>
      </c>
      <c r="B454" s="7" t="s">
        <v>28</v>
      </c>
      <c r="C454" s="7" t="s">
        <v>15</v>
      </c>
      <c r="D454" s="7" t="s">
        <v>10</v>
      </c>
      <c r="E454" s="7" t="s">
        <v>19</v>
      </c>
      <c r="F454" s="7" t="s">
        <v>14</v>
      </c>
      <c r="G454" s="7" t="s">
        <v>13</v>
      </c>
      <c r="H454" s="7" t="s">
        <v>16</v>
      </c>
      <c r="I454" s="7" t="s">
        <v>12</v>
      </c>
    </row>
    <row r="455" spans="1:9">
      <c r="A455" s="8" t="s">
        <v>60</v>
      </c>
      <c r="B455" s="9" t="s">
        <v>28</v>
      </c>
      <c r="C455" s="9" t="s">
        <v>15</v>
      </c>
      <c r="D455" s="9" t="s">
        <v>11</v>
      </c>
      <c r="E455" s="9" t="s">
        <v>19</v>
      </c>
      <c r="F455" s="9" t="s">
        <v>14</v>
      </c>
      <c r="G455" s="9" t="s">
        <v>13</v>
      </c>
      <c r="H455" s="9" t="s">
        <v>10</v>
      </c>
      <c r="I455" s="9" t="s">
        <v>17</v>
      </c>
    </row>
    <row r="456" spans="1:9">
      <c r="A456" s="6" t="s">
        <v>59</v>
      </c>
      <c r="B456" s="7" t="s">
        <v>28</v>
      </c>
      <c r="C456" s="7" t="s">
        <v>15</v>
      </c>
      <c r="D456" s="7" t="s">
        <v>11</v>
      </c>
      <c r="E456" s="7" t="s">
        <v>19</v>
      </c>
      <c r="F456" s="7" t="s">
        <v>14</v>
      </c>
      <c r="G456" s="7" t="s">
        <v>13</v>
      </c>
      <c r="H456" s="7" t="s">
        <v>16</v>
      </c>
      <c r="I456" s="7" t="s">
        <v>10</v>
      </c>
    </row>
    <row r="457" spans="1:9">
      <c r="A457" s="8" t="s">
        <v>58</v>
      </c>
      <c r="B457" s="9" t="s">
        <v>28</v>
      </c>
      <c r="C457" s="9" t="s">
        <v>15</v>
      </c>
      <c r="D457" s="9" t="s">
        <v>10</v>
      </c>
      <c r="E457" s="9" t="s">
        <v>19</v>
      </c>
      <c r="F457" s="9" t="s">
        <v>14</v>
      </c>
      <c r="G457" s="9" t="s">
        <v>13</v>
      </c>
      <c r="H457" s="9" t="s">
        <v>16</v>
      </c>
      <c r="I457" s="9" t="s">
        <v>17</v>
      </c>
    </row>
    <row r="458" spans="1:9">
      <c r="A458" s="6" t="s">
        <v>57</v>
      </c>
      <c r="B458" s="7" t="s">
        <v>28</v>
      </c>
      <c r="C458" s="7" t="s">
        <v>15</v>
      </c>
      <c r="D458" s="7" t="s">
        <v>10</v>
      </c>
      <c r="E458" s="7" t="s">
        <v>19</v>
      </c>
      <c r="F458" s="7" t="s">
        <v>11</v>
      </c>
      <c r="G458" s="7" t="s">
        <v>13</v>
      </c>
      <c r="H458" s="7" t="s">
        <v>12</v>
      </c>
      <c r="I458" s="7" t="s">
        <v>17</v>
      </c>
    </row>
    <row r="459" spans="1:9">
      <c r="A459" s="8" t="s">
        <v>56</v>
      </c>
      <c r="B459" s="9" t="s">
        <v>28</v>
      </c>
      <c r="C459" s="9" t="s">
        <v>15</v>
      </c>
      <c r="D459" s="9" t="s">
        <v>10</v>
      </c>
      <c r="E459" s="9" t="s">
        <v>19</v>
      </c>
      <c r="F459" s="9" t="s">
        <v>11</v>
      </c>
      <c r="G459" s="9" t="s">
        <v>13</v>
      </c>
      <c r="H459" s="9" t="s">
        <v>16</v>
      </c>
      <c r="I459" s="9" t="s">
        <v>12</v>
      </c>
    </row>
    <row r="460" spans="1:9">
      <c r="A460" s="6" t="s">
        <v>55</v>
      </c>
      <c r="B460" s="7" t="s">
        <v>28</v>
      </c>
      <c r="C460" s="7" t="s">
        <v>15</v>
      </c>
      <c r="D460" s="7" t="s">
        <v>10</v>
      </c>
      <c r="E460" s="7" t="s">
        <v>19</v>
      </c>
      <c r="F460" s="7" t="s">
        <v>12</v>
      </c>
      <c r="G460" s="7" t="s">
        <v>13</v>
      </c>
      <c r="H460" s="7" t="s">
        <v>16</v>
      </c>
      <c r="I460" s="7" t="s">
        <v>17</v>
      </c>
    </row>
    <row r="461" spans="1:9">
      <c r="A461" s="8" t="s">
        <v>54</v>
      </c>
      <c r="B461" s="9" t="s">
        <v>28</v>
      </c>
      <c r="C461" s="9" t="s">
        <v>15</v>
      </c>
      <c r="D461" s="9" t="s">
        <v>10</v>
      </c>
      <c r="E461" s="9" t="s">
        <v>19</v>
      </c>
      <c r="F461" s="9" t="s">
        <v>11</v>
      </c>
      <c r="G461" s="9" t="s">
        <v>13</v>
      </c>
      <c r="H461" s="9" t="s">
        <v>16</v>
      </c>
      <c r="I461" s="9" t="s">
        <v>17</v>
      </c>
    </row>
    <row r="462" spans="1:9">
      <c r="A462" s="6" t="s">
        <v>53</v>
      </c>
      <c r="B462" s="7" t="s">
        <v>28</v>
      </c>
      <c r="C462" s="7" t="s">
        <v>11</v>
      </c>
      <c r="D462" s="7" t="s">
        <v>10</v>
      </c>
      <c r="E462" s="7" t="s">
        <v>19</v>
      </c>
      <c r="F462" s="7" t="s">
        <v>14</v>
      </c>
      <c r="G462" s="7" t="s">
        <v>13</v>
      </c>
      <c r="H462" s="7" t="s">
        <v>12</v>
      </c>
      <c r="I462" s="7" t="s">
        <v>17</v>
      </c>
    </row>
    <row r="463" spans="1:9">
      <c r="A463" s="8" t="s">
        <v>52</v>
      </c>
      <c r="B463" s="9" t="s">
        <v>28</v>
      </c>
      <c r="C463" s="9" t="s">
        <v>11</v>
      </c>
      <c r="D463" s="9" t="s">
        <v>10</v>
      </c>
      <c r="E463" s="9" t="s">
        <v>19</v>
      </c>
      <c r="F463" s="9" t="s">
        <v>14</v>
      </c>
      <c r="G463" s="9" t="s">
        <v>13</v>
      </c>
      <c r="H463" s="9" t="s">
        <v>16</v>
      </c>
      <c r="I463" s="9" t="s">
        <v>12</v>
      </c>
    </row>
    <row r="464" spans="1:9">
      <c r="A464" s="6" t="s">
        <v>51</v>
      </c>
      <c r="B464" s="7" t="s">
        <v>28</v>
      </c>
      <c r="C464" s="7" t="s">
        <v>10</v>
      </c>
      <c r="D464" s="7" t="s">
        <v>12</v>
      </c>
      <c r="E464" s="7" t="s">
        <v>19</v>
      </c>
      <c r="F464" s="7" t="s">
        <v>14</v>
      </c>
      <c r="G464" s="7" t="s">
        <v>13</v>
      </c>
      <c r="H464" s="7" t="s">
        <v>16</v>
      </c>
      <c r="I464" s="7" t="s">
        <v>17</v>
      </c>
    </row>
    <row r="465" spans="1:9">
      <c r="A465" s="8" t="s">
        <v>50</v>
      </c>
      <c r="B465" s="9" t="s">
        <v>28</v>
      </c>
      <c r="C465" s="9" t="s">
        <v>11</v>
      </c>
      <c r="D465" s="9" t="s">
        <v>10</v>
      </c>
      <c r="E465" s="9" t="s">
        <v>19</v>
      </c>
      <c r="F465" s="9" t="s">
        <v>14</v>
      </c>
      <c r="G465" s="9" t="s">
        <v>13</v>
      </c>
      <c r="H465" s="9" t="s">
        <v>16</v>
      </c>
      <c r="I465" s="9" t="s">
        <v>17</v>
      </c>
    </row>
    <row r="466" spans="1:9">
      <c r="A466" s="6" t="s">
        <v>49</v>
      </c>
      <c r="B466" s="7" t="s">
        <v>28</v>
      </c>
      <c r="C466" s="7" t="s">
        <v>11</v>
      </c>
      <c r="D466" s="7" t="s">
        <v>10</v>
      </c>
      <c r="E466" s="7" t="s">
        <v>19</v>
      </c>
      <c r="F466" s="7" t="s">
        <v>12</v>
      </c>
      <c r="G466" s="7" t="s">
        <v>13</v>
      </c>
      <c r="H466" s="7" t="s">
        <v>16</v>
      </c>
      <c r="I466" s="7" t="s">
        <v>17</v>
      </c>
    </row>
    <row r="467" spans="1:9">
      <c r="A467" s="8" t="s">
        <v>48</v>
      </c>
      <c r="B467" s="9" t="s">
        <v>10</v>
      </c>
      <c r="C467" s="9" t="s">
        <v>15</v>
      </c>
      <c r="D467" s="9" t="s">
        <v>11</v>
      </c>
      <c r="E467" s="9" t="s">
        <v>28</v>
      </c>
      <c r="F467" s="9" t="s">
        <v>14</v>
      </c>
      <c r="G467" s="9" t="s">
        <v>19</v>
      </c>
      <c r="H467" s="9" t="s">
        <v>12</v>
      </c>
      <c r="I467" s="9" t="s">
        <v>17</v>
      </c>
    </row>
    <row r="468" spans="1:9">
      <c r="A468" s="6" t="s">
        <v>47</v>
      </c>
      <c r="B468" s="7" t="s">
        <v>10</v>
      </c>
      <c r="C468" s="7" t="s">
        <v>15</v>
      </c>
      <c r="D468" s="7" t="s">
        <v>12</v>
      </c>
      <c r="E468" s="7" t="s">
        <v>28</v>
      </c>
      <c r="F468" s="7" t="s">
        <v>11</v>
      </c>
      <c r="G468" s="7" t="s">
        <v>19</v>
      </c>
      <c r="H468" s="7" t="s">
        <v>16</v>
      </c>
      <c r="I468" s="7" t="s">
        <v>17</v>
      </c>
    </row>
    <row r="469" spans="1:9">
      <c r="A469" s="8" t="s">
        <v>46</v>
      </c>
      <c r="B469" s="9" t="s">
        <v>10</v>
      </c>
      <c r="C469" s="9" t="s">
        <v>15</v>
      </c>
      <c r="D469" s="9" t="s">
        <v>12</v>
      </c>
      <c r="E469" s="9" t="s">
        <v>28</v>
      </c>
      <c r="F469" s="9" t="s">
        <v>14</v>
      </c>
      <c r="G469" s="9" t="s">
        <v>19</v>
      </c>
      <c r="H469" s="9" t="s">
        <v>16</v>
      </c>
      <c r="I469" s="9" t="s">
        <v>17</v>
      </c>
    </row>
    <row r="470" spans="1:9">
      <c r="A470" s="6" t="s">
        <v>45</v>
      </c>
      <c r="B470" s="7" t="s">
        <v>10</v>
      </c>
      <c r="C470" s="7" t="s">
        <v>15</v>
      </c>
      <c r="D470" s="7" t="s">
        <v>11</v>
      </c>
      <c r="E470" s="7" t="s">
        <v>28</v>
      </c>
      <c r="F470" s="7" t="s">
        <v>14</v>
      </c>
      <c r="G470" s="7" t="s">
        <v>19</v>
      </c>
      <c r="H470" s="7" t="s">
        <v>16</v>
      </c>
      <c r="I470" s="7" t="s">
        <v>17</v>
      </c>
    </row>
    <row r="471" spans="1:9">
      <c r="A471" s="8" t="s">
        <v>44</v>
      </c>
      <c r="B471" s="9" t="s">
        <v>14</v>
      </c>
      <c r="C471" s="9" t="s">
        <v>15</v>
      </c>
      <c r="D471" s="9" t="s">
        <v>65</v>
      </c>
      <c r="E471" s="9" t="s">
        <v>28</v>
      </c>
      <c r="F471" s="9" t="s">
        <v>186</v>
      </c>
      <c r="G471" s="9" t="s">
        <v>13</v>
      </c>
      <c r="H471" s="9" t="s">
        <v>19</v>
      </c>
      <c r="I471" s="9" t="s">
        <v>10</v>
      </c>
    </row>
    <row r="472" spans="1:9">
      <c r="A472" s="6" t="s">
        <v>43</v>
      </c>
      <c r="B472" s="7" t="s">
        <v>10</v>
      </c>
      <c r="C472" s="7" t="s">
        <v>11</v>
      </c>
      <c r="D472" s="7" t="s">
        <v>12</v>
      </c>
      <c r="E472" s="7" t="s">
        <v>28</v>
      </c>
      <c r="F472" s="7" t="s">
        <v>14</v>
      </c>
      <c r="G472" s="7" t="s">
        <v>19</v>
      </c>
      <c r="H472" s="7" t="s">
        <v>16</v>
      </c>
      <c r="I472" s="7" t="s">
        <v>17</v>
      </c>
    </row>
    <row r="473" spans="1:9">
      <c r="A473" s="8" t="s">
        <v>42</v>
      </c>
      <c r="B473" s="9" t="s">
        <v>28</v>
      </c>
      <c r="C473" s="9" t="s">
        <v>15</v>
      </c>
      <c r="D473" s="9" t="s">
        <v>11</v>
      </c>
      <c r="E473" s="9" t="s">
        <v>19</v>
      </c>
      <c r="F473" s="9" t="s">
        <v>14</v>
      </c>
      <c r="G473" s="9" t="s">
        <v>13</v>
      </c>
      <c r="H473" s="9" t="s">
        <v>12</v>
      </c>
      <c r="I473" s="9" t="s">
        <v>17</v>
      </c>
    </row>
    <row r="474" spans="1:9">
      <c r="A474" s="6" t="s">
        <v>41</v>
      </c>
      <c r="B474" s="7" t="s">
        <v>28</v>
      </c>
      <c r="C474" s="7" t="s">
        <v>15</v>
      </c>
      <c r="D474" s="7" t="s">
        <v>11</v>
      </c>
      <c r="E474" s="7" t="s">
        <v>19</v>
      </c>
      <c r="F474" s="7" t="s">
        <v>14</v>
      </c>
      <c r="G474" s="7" t="s">
        <v>13</v>
      </c>
      <c r="H474" s="7" t="s">
        <v>16</v>
      </c>
      <c r="I474" s="7" t="s">
        <v>12</v>
      </c>
    </row>
    <row r="475" spans="1:9">
      <c r="A475" s="8" t="s">
        <v>40</v>
      </c>
      <c r="B475" s="9" t="s">
        <v>28</v>
      </c>
      <c r="C475" s="9" t="s">
        <v>15</v>
      </c>
      <c r="D475" s="9" t="s">
        <v>12</v>
      </c>
      <c r="E475" s="9" t="s">
        <v>19</v>
      </c>
      <c r="F475" s="9" t="s">
        <v>14</v>
      </c>
      <c r="G475" s="9" t="s">
        <v>13</v>
      </c>
      <c r="H475" s="9" t="s">
        <v>16</v>
      </c>
      <c r="I475" s="9" t="s">
        <v>17</v>
      </c>
    </row>
    <row r="476" spans="1:9">
      <c r="A476" s="6" t="s">
        <v>39</v>
      </c>
      <c r="B476" s="7" t="s">
        <v>28</v>
      </c>
      <c r="C476" s="7" t="s">
        <v>15</v>
      </c>
      <c r="D476" s="7" t="s">
        <v>11</v>
      </c>
      <c r="E476" s="7" t="s">
        <v>19</v>
      </c>
      <c r="F476" s="7" t="s">
        <v>14</v>
      </c>
      <c r="G476" s="7" t="s">
        <v>13</v>
      </c>
      <c r="H476" s="7" t="s">
        <v>16</v>
      </c>
      <c r="I476" s="7" t="s">
        <v>17</v>
      </c>
    </row>
    <row r="477" spans="1:9">
      <c r="A477" s="8" t="s">
        <v>38</v>
      </c>
      <c r="B477" s="9" t="s">
        <v>28</v>
      </c>
      <c r="C477" s="9" t="s">
        <v>15</v>
      </c>
      <c r="D477" s="9" t="s">
        <v>12</v>
      </c>
      <c r="E477" s="9" t="s">
        <v>19</v>
      </c>
      <c r="F477" s="9" t="s">
        <v>11</v>
      </c>
      <c r="G477" s="9" t="s">
        <v>13</v>
      </c>
      <c r="H477" s="9" t="s">
        <v>16</v>
      </c>
      <c r="I477" s="9" t="s">
        <v>17</v>
      </c>
    </row>
    <row r="478" spans="1:9">
      <c r="A478" s="6" t="s">
        <v>37</v>
      </c>
      <c r="B478" s="7" t="s">
        <v>28</v>
      </c>
      <c r="C478" s="7" t="s">
        <v>11</v>
      </c>
      <c r="D478" s="7" t="s">
        <v>12</v>
      </c>
      <c r="E478" s="7" t="s">
        <v>19</v>
      </c>
      <c r="F478" s="7" t="s">
        <v>14</v>
      </c>
      <c r="G478" s="7" t="s">
        <v>13</v>
      </c>
      <c r="H478" s="7" t="s">
        <v>16</v>
      </c>
      <c r="I478" s="7" t="s">
        <v>17</v>
      </c>
    </row>
    <row r="479" spans="1:9">
      <c r="A479" s="8" t="s">
        <v>36</v>
      </c>
      <c r="B479" s="9" t="s">
        <v>14</v>
      </c>
      <c r="C479" s="9" t="s">
        <v>15</v>
      </c>
      <c r="D479" s="9" t="s">
        <v>12</v>
      </c>
      <c r="E479" s="9" t="s">
        <v>28</v>
      </c>
      <c r="F479" s="9" t="s">
        <v>11</v>
      </c>
      <c r="G479" s="9" t="s">
        <v>19</v>
      </c>
      <c r="H479" s="9" t="s">
        <v>16</v>
      </c>
      <c r="I479" s="9" t="s">
        <v>17</v>
      </c>
    </row>
    <row r="480" spans="1:9">
      <c r="A480" s="6" t="s">
        <v>35</v>
      </c>
      <c r="B480" s="7" t="s">
        <v>10</v>
      </c>
      <c r="C480" s="7" t="s">
        <v>15</v>
      </c>
      <c r="D480" s="7" t="s">
        <v>11</v>
      </c>
      <c r="E480" s="7" t="s">
        <v>28</v>
      </c>
      <c r="F480" s="7" t="s">
        <v>14</v>
      </c>
      <c r="G480" s="7" t="s">
        <v>13</v>
      </c>
      <c r="H480" s="7" t="s">
        <v>12</v>
      </c>
      <c r="I480" s="7" t="s">
        <v>17</v>
      </c>
    </row>
    <row r="481" spans="1:9">
      <c r="A481" s="8" t="s">
        <v>34</v>
      </c>
      <c r="B481" s="9" t="s">
        <v>10</v>
      </c>
      <c r="C481" s="9" t="s">
        <v>15</v>
      </c>
      <c r="D481" s="9" t="s">
        <v>11</v>
      </c>
      <c r="E481" s="9" t="s">
        <v>28</v>
      </c>
      <c r="F481" s="9" t="s">
        <v>14</v>
      </c>
      <c r="G481" s="9" t="s">
        <v>13</v>
      </c>
      <c r="H481" s="9" t="s">
        <v>16</v>
      </c>
      <c r="I481" s="9" t="s">
        <v>12</v>
      </c>
    </row>
    <row r="482" spans="1:9">
      <c r="A482" s="6" t="s">
        <v>33</v>
      </c>
      <c r="B482" s="7" t="s">
        <v>10</v>
      </c>
      <c r="C482" s="7" t="s">
        <v>15</v>
      </c>
      <c r="D482" s="7" t="s">
        <v>12</v>
      </c>
      <c r="E482" s="7" t="s">
        <v>28</v>
      </c>
      <c r="F482" s="7" t="s">
        <v>14</v>
      </c>
      <c r="G482" s="7" t="s">
        <v>13</v>
      </c>
      <c r="H482" s="7" t="s">
        <v>16</v>
      </c>
      <c r="I482" s="7" t="s">
        <v>17</v>
      </c>
    </row>
    <row r="483" spans="1:9">
      <c r="A483" s="8" t="s">
        <v>32</v>
      </c>
      <c r="B483" s="9" t="s">
        <v>10</v>
      </c>
      <c r="C483" s="9" t="s">
        <v>15</v>
      </c>
      <c r="D483" s="9" t="s">
        <v>11</v>
      </c>
      <c r="E483" s="9" t="s">
        <v>28</v>
      </c>
      <c r="F483" s="9" t="s">
        <v>14</v>
      </c>
      <c r="G483" s="9" t="s">
        <v>13</v>
      </c>
      <c r="H483" s="9" t="s">
        <v>16</v>
      </c>
      <c r="I483" s="9" t="s">
        <v>17</v>
      </c>
    </row>
    <row r="484" spans="1:9">
      <c r="A484" s="6" t="s">
        <v>31</v>
      </c>
      <c r="B484" s="7" t="s">
        <v>10</v>
      </c>
      <c r="C484" s="7" t="s">
        <v>15</v>
      </c>
      <c r="D484" s="7" t="s">
        <v>12</v>
      </c>
      <c r="E484" s="7" t="s">
        <v>28</v>
      </c>
      <c r="F484" s="7" t="s">
        <v>11</v>
      </c>
      <c r="G484" s="7" t="s">
        <v>13</v>
      </c>
      <c r="H484" s="7" t="s">
        <v>16</v>
      </c>
      <c r="I484" s="7" t="s">
        <v>17</v>
      </c>
    </row>
    <row r="485" spans="1:9">
      <c r="A485" s="8" t="s">
        <v>30</v>
      </c>
      <c r="B485" s="9" t="s">
        <v>10</v>
      </c>
      <c r="C485" s="9" t="s">
        <v>11</v>
      </c>
      <c r="D485" s="9" t="s">
        <v>12</v>
      </c>
      <c r="E485" s="9" t="s">
        <v>28</v>
      </c>
      <c r="F485" s="9" t="s">
        <v>14</v>
      </c>
      <c r="G485" s="9" t="s">
        <v>13</v>
      </c>
      <c r="H485" s="9" t="s">
        <v>16</v>
      </c>
      <c r="I485" s="9" t="s">
        <v>17</v>
      </c>
    </row>
    <row r="486" spans="1:9">
      <c r="A486" s="6" t="s">
        <v>29</v>
      </c>
      <c r="B486" s="7" t="s">
        <v>10</v>
      </c>
      <c r="C486" s="7" t="s">
        <v>11</v>
      </c>
      <c r="D486" s="7" t="s">
        <v>12</v>
      </c>
      <c r="E486" s="7" t="s">
        <v>28</v>
      </c>
      <c r="F486" s="7" t="s">
        <v>14</v>
      </c>
      <c r="G486" s="7" t="s">
        <v>15</v>
      </c>
      <c r="H486" s="7" t="s">
        <v>16</v>
      </c>
      <c r="I486" s="7" t="s">
        <v>17</v>
      </c>
    </row>
    <row r="487" spans="1:9">
      <c r="A487" s="8" t="s">
        <v>27</v>
      </c>
      <c r="B487" s="9" t="s">
        <v>14</v>
      </c>
      <c r="C487" s="9" t="s">
        <v>15</v>
      </c>
      <c r="D487" s="9" t="s">
        <v>12</v>
      </c>
      <c r="E487" s="9" t="s">
        <v>28</v>
      </c>
      <c r="F487" s="9" t="s">
        <v>11</v>
      </c>
      <c r="G487" s="9" t="s">
        <v>13</v>
      </c>
      <c r="H487" s="9" t="s">
        <v>16</v>
      </c>
      <c r="I487" s="9" t="s">
        <v>17</v>
      </c>
    </row>
    <row r="488" spans="1:9">
      <c r="A488" s="6" t="s">
        <v>26</v>
      </c>
      <c r="B488" s="7" t="s">
        <v>10</v>
      </c>
      <c r="C488" s="7" t="s">
        <v>15</v>
      </c>
      <c r="D488" s="7" t="s">
        <v>11</v>
      </c>
      <c r="E488" s="7" t="s">
        <v>19</v>
      </c>
      <c r="F488" s="7" t="s">
        <v>14</v>
      </c>
      <c r="G488" s="7" t="s">
        <v>13</v>
      </c>
      <c r="H488" s="7" t="s">
        <v>12</v>
      </c>
      <c r="I488" s="7" t="s">
        <v>17</v>
      </c>
    </row>
    <row r="489" spans="1:9">
      <c r="A489" s="8" t="s">
        <v>25</v>
      </c>
      <c r="B489" s="9" t="s">
        <v>10</v>
      </c>
      <c r="C489" s="9" t="s">
        <v>15</v>
      </c>
      <c r="D489" s="9" t="s">
        <v>11</v>
      </c>
      <c r="E489" s="9" t="s">
        <v>19</v>
      </c>
      <c r="F489" s="9" t="s">
        <v>14</v>
      </c>
      <c r="G489" s="9" t="s">
        <v>13</v>
      </c>
      <c r="H489" s="9" t="s">
        <v>16</v>
      </c>
      <c r="I489" s="9" t="s">
        <v>12</v>
      </c>
    </row>
    <row r="490" spans="1:9">
      <c r="A490" s="6" t="s">
        <v>24</v>
      </c>
      <c r="B490" s="7" t="s">
        <v>10</v>
      </c>
      <c r="C490" s="7" t="s">
        <v>15</v>
      </c>
      <c r="D490" s="7" t="s">
        <v>12</v>
      </c>
      <c r="E490" s="7" t="s">
        <v>19</v>
      </c>
      <c r="F490" s="7" t="s">
        <v>14</v>
      </c>
      <c r="G490" s="7" t="s">
        <v>13</v>
      </c>
      <c r="H490" s="7" t="s">
        <v>16</v>
      </c>
      <c r="I490" s="7" t="s">
        <v>17</v>
      </c>
    </row>
    <row r="491" spans="1:9">
      <c r="A491" s="8" t="s">
        <v>23</v>
      </c>
      <c r="B491" s="9" t="s">
        <v>10</v>
      </c>
      <c r="C491" s="9" t="s">
        <v>15</v>
      </c>
      <c r="D491" s="9" t="s">
        <v>11</v>
      </c>
      <c r="E491" s="9" t="s">
        <v>19</v>
      </c>
      <c r="F491" s="9" t="s">
        <v>14</v>
      </c>
      <c r="G491" s="9" t="s">
        <v>13</v>
      </c>
      <c r="H491" s="9" t="s">
        <v>16</v>
      </c>
      <c r="I491" s="9" t="s">
        <v>17</v>
      </c>
    </row>
    <row r="492" spans="1:9">
      <c r="A492" s="6" t="s">
        <v>22</v>
      </c>
      <c r="B492" s="7" t="s">
        <v>10</v>
      </c>
      <c r="C492" s="7" t="s">
        <v>15</v>
      </c>
      <c r="D492" s="7" t="s">
        <v>12</v>
      </c>
      <c r="E492" s="7" t="s">
        <v>19</v>
      </c>
      <c r="F492" s="7" t="s">
        <v>11</v>
      </c>
      <c r="G492" s="7" t="s">
        <v>13</v>
      </c>
      <c r="H492" s="7" t="s">
        <v>16</v>
      </c>
      <c r="I492" s="7" t="s">
        <v>17</v>
      </c>
    </row>
    <row r="493" spans="1:9">
      <c r="A493" s="8" t="s">
        <v>21</v>
      </c>
      <c r="B493" s="9" t="s">
        <v>10</v>
      </c>
      <c r="C493" s="9" t="s">
        <v>11</v>
      </c>
      <c r="D493" s="9" t="s">
        <v>12</v>
      </c>
      <c r="E493" s="9" t="s">
        <v>19</v>
      </c>
      <c r="F493" s="9" t="s">
        <v>14</v>
      </c>
      <c r="G493" s="9" t="s">
        <v>13</v>
      </c>
      <c r="H493" s="9" t="s">
        <v>16</v>
      </c>
      <c r="I493" s="9" t="s">
        <v>17</v>
      </c>
    </row>
    <row r="494" spans="1:9">
      <c r="A494" s="6" t="s">
        <v>20</v>
      </c>
      <c r="B494" s="7" t="s">
        <v>10</v>
      </c>
      <c r="C494" s="7" t="s">
        <v>11</v>
      </c>
      <c r="D494" s="7" t="s">
        <v>12</v>
      </c>
      <c r="E494" s="7" t="s">
        <v>19</v>
      </c>
      <c r="F494" s="7" t="s">
        <v>14</v>
      </c>
      <c r="G494" s="7" t="s">
        <v>15</v>
      </c>
      <c r="H494" s="7" t="s">
        <v>16</v>
      </c>
      <c r="I494" s="7" t="s">
        <v>17</v>
      </c>
    </row>
    <row r="495" spans="1:9">
      <c r="A495" s="8" t="s">
        <v>18</v>
      </c>
      <c r="B495" s="9" t="s">
        <v>14</v>
      </c>
      <c r="C495" s="9" t="s">
        <v>15</v>
      </c>
      <c r="D495" s="9" t="s">
        <v>12</v>
      </c>
      <c r="E495" s="9" t="s">
        <v>19</v>
      </c>
      <c r="F495" s="9" t="s">
        <v>11</v>
      </c>
      <c r="G495" s="9" t="s">
        <v>13</v>
      </c>
      <c r="H495" s="9" t="s">
        <v>16</v>
      </c>
      <c r="I495" s="9" t="s">
        <v>17</v>
      </c>
    </row>
    <row r="496" spans="1:9">
      <c r="A496" s="6" t="s">
        <v>9</v>
      </c>
      <c r="B496" s="7" t="s">
        <v>10</v>
      </c>
      <c r="C496" s="7" t="s">
        <v>11</v>
      </c>
      <c r="D496" s="7" t="s">
        <v>12</v>
      </c>
      <c r="E496" s="7" t="s">
        <v>13</v>
      </c>
      <c r="F496" s="7" t="s">
        <v>14</v>
      </c>
      <c r="G496" s="7" t="s">
        <v>15</v>
      </c>
      <c r="H496" s="7" t="s">
        <v>16</v>
      </c>
      <c r="I496" s="7" t="s">
        <v>17</v>
      </c>
    </row>
  </sheetData>
  <autoFilter ref="A1:I496" xr:uid="{A4563231-D22C-4DA7-9CBA-FD8B128A4A36}">
    <sortState xmlns:xlrd2="http://schemas.microsoft.com/office/spreadsheetml/2017/richdata2" ref="A2:I496">
      <sortCondition ref="A1:A496"/>
    </sortState>
  </autoFilter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496"/>
  <sheetViews>
    <sheetView topLeftCell="E469" workbookViewId="0">
      <selection activeCell="K2" sqref="K2:S496"/>
    </sheetView>
  </sheetViews>
  <sheetFormatPr defaultRowHeight="13.8"/>
  <cols>
    <col min="1" max="1" width="14" customWidth="1"/>
    <col min="2" max="9" width="10" customWidth="1"/>
    <col min="11" max="11" width="11.09765625" bestFit="1" customWidth="1"/>
    <col min="21" max="28" width="13.09765625" bestFit="1" customWidth="1"/>
  </cols>
  <sheetData>
    <row r="1" spans="1:28" ht="14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28" ht="14.4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  <c r="S2" t="s">
        <v>17</v>
      </c>
      <c r="U2" t="b">
        <f>L2=_R32Matchups[[#This Row],[1A vs]]</f>
        <v>1</v>
      </c>
      <c r="V2" t="b">
        <f>M2=_R32Matchups[[#This Row],[1B vs]]</f>
        <v>1</v>
      </c>
      <c r="W2" t="b">
        <f>N2=_R32Matchups[[#This Row],[1D vs]]</f>
        <v>1</v>
      </c>
      <c r="X2" t="b">
        <f>O2=_R32Matchups[[#This Row],[1E vs]]</f>
        <v>1</v>
      </c>
      <c r="Y2" t="b">
        <f>P2=_R32Matchups[[#This Row],[1G vs]]</f>
        <v>1</v>
      </c>
      <c r="Z2" t="b">
        <f>Q2=_R32Matchups[[#This Row],[1I vs]]</f>
        <v>1</v>
      </c>
      <c r="AA2" t="b">
        <f>R2=_R32Matchups[[#This Row],[1K vs]]</f>
        <v>1</v>
      </c>
      <c r="AB2" t="b">
        <f>S2=_R32Matchups[[#This Row],[1L vs]]</f>
        <v>1</v>
      </c>
    </row>
    <row r="3" spans="1:28" ht="14.4">
      <c r="A3" s="2" t="s">
        <v>18</v>
      </c>
      <c r="B3" s="2" t="s">
        <v>14</v>
      </c>
      <c r="C3" s="2" t="s">
        <v>15</v>
      </c>
      <c r="D3" s="2" t="s">
        <v>12</v>
      </c>
      <c r="E3" s="2" t="s">
        <v>19</v>
      </c>
      <c r="F3" s="2" t="s">
        <v>11</v>
      </c>
      <c r="G3" s="2" t="s">
        <v>13</v>
      </c>
      <c r="H3" s="2" t="s">
        <v>16</v>
      </c>
      <c r="I3" s="2" t="s">
        <v>17</v>
      </c>
      <c r="K3" t="s">
        <v>18</v>
      </c>
      <c r="L3" t="s">
        <v>14</v>
      </c>
      <c r="M3" t="s">
        <v>15</v>
      </c>
      <c r="N3" t="s">
        <v>12</v>
      </c>
      <c r="O3" t="s">
        <v>19</v>
      </c>
      <c r="P3" t="s">
        <v>11</v>
      </c>
      <c r="Q3" t="s">
        <v>13</v>
      </c>
      <c r="R3" t="s">
        <v>16</v>
      </c>
      <c r="S3" t="s">
        <v>17</v>
      </c>
      <c r="U3" t="b">
        <f>L3=_R32Matchups[[#This Row],[1A vs]]</f>
        <v>1</v>
      </c>
      <c r="V3" t="b">
        <f>M3=_R32Matchups[[#This Row],[1B vs]]</f>
        <v>1</v>
      </c>
      <c r="W3" t="b">
        <f>N3=_R32Matchups[[#This Row],[1D vs]]</f>
        <v>1</v>
      </c>
      <c r="X3" t="b">
        <f>O3=_R32Matchups[[#This Row],[1E vs]]</f>
        <v>1</v>
      </c>
      <c r="Y3" t="b">
        <f>P3=_R32Matchups[[#This Row],[1G vs]]</f>
        <v>1</v>
      </c>
      <c r="Z3" t="b">
        <f>Q3=_R32Matchups[[#This Row],[1I vs]]</f>
        <v>1</v>
      </c>
      <c r="AA3" t="b">
        <f>R3=_R32Matchups[[#This Row],[1K vs]]</f>
        <v>1</v>
      </c>
      <c r="AB3" t="b">
        <f>S3=_R32Matchups[[#This Row],[1L vs]]</f>
        <v>1</v>
      </c>
    </row>
    <row r="4" spans="1:28" ht="14.4">
      <c r="A4" s="2" t="s">
        <v>20</v>
      </c>
      <c r="B4" s="2" t="s">
        <v>10</v>
      </c>
      <c r="C4" s="2" t="s">
        <v>11</v>
      </c>
      <c r="D4" s="2" t="s">
        <v>12</v>
      </c>
      <c r="E4" s="2" t="s">
        <v>19</v>
      </c>
      <c r="F4" s="2" t="s">
        <v>14</v>
      </c>
      <c r="G4" s="2" t="s">
        <v>15</v>
      </c>
      <c r="H4" s="2" t="s">
        <v>16</v>
      </c>
      <c r="I4" s="2" t="s">
        <v>17</v>
      </c>
      <c r="K4" t="s">
        <v>20</v>
      </c>
      <c r="L4" t="s">
        <v>10</v>
      </c>
      <c r="M4" t="s">
        <v>11</v>
      </c>
      <c r="N4" t="s">
        <v>12</v>
      </c>
      <c r="O4" t="s">
        <v>19</v>
      </c>
      <c r="P4" t="s">
        <v>14</v>
      </c>
      <c r="Q4" t="s">
        <v>15</v>
      </c>
      <c r="R4" t="s">
        <v>16</v>
      </c>
      <c r="S4" t="s">
        <v>17</v>
      </c>
      <c r="U4" t="b">
        <f>L4=_R32Matchups[[#This Row],[1A vs]]</f>
        <v>1</v>
      </c>
      <c r="V4" t="b">
        <f>M4=_R32Matchups[[#This Row],[1B vs]]</f>
        <v>1</v>
      </c>
      <c r="W4" t="b">
        <f>N4=_R32Matchups[[#This Row],[1D vs]]</f>
        <v>1</v>
      </c>
      <c r="X4" t="b">
        <f>O4=_R32Matchups[[#This Row],[1E vs]]</f>
        <v>1</v>
      </c>
      <c r="Y4" t="b">
        <f>P4=_R32Matchups[[#This Row],[1G vs]]</f>
        <v>1</v>
      </c>
      <c r="Z4" t="b">
        <f>Q4=_R32Matchups[[#This Row],[1I vs]]</f>
        <v>1</v>
      </c>
      <c r="AA4" t="b">
        <f>R4=_R32Matchups[[#This Row],[1K vs]]</f>
        <v>1</v>
      </c>
      <c r="AB4" t="b">
        <f>S4=_R32Matchups[[#This Row],[1L vs]]</f>
        <v>1</v>
      </c>
    </row>
    <row r="5" spans="1:28" ht="14.4">
      <c r="A5" s="2" t="s">
        <v>21</v>
      </c>
      <c r="B5" s="2" t="s">
        <v>10</v>
      </c>
      <c r="C5" s="2" t="s">
        <v>11</v>
      </c>
      <c r="D5" s="2" t="s">
        <v>12</v>
      </c>
      <c r="E5" s="2" t="s">
        <v>19</v>
      </c>
      <c r="F5" s="2" t="s">
        <v>14</v>
      </c>
      <c r="G5" s="2" t="s">
        <v>13</v>
      </c>
      <c r="H5" s="2" t="s">
        <v>16</v>
      </c>
      <c r="I5" s="2" t="s">
        <v>17</v>
      </c>
      <c r="K5" t="s">
        <v>21</v>
      </c>
      <c r="L5" t="s">
        <v>10</v>
      </c>
      <c r="M5" t="s">
        <v>11</v>
      </c>
      <c r="N5" t="s">
        <v>12</v>
      </c>
      <c r="O5" t="s">
        <v>19</v>
      </c>
      <c r="P5" t="s">
        <v>14</v>
      </c>
      <c r="Q5" t="s">
        <v>13</v>
      </c>
      <c r="R5" t="s">
        <v>16</v>
      </c>
      <c r="S5" t="s">
        <v>17</v>
      </c>
      <c r="U5" t="b">
        <f>L5=_R32Matchups[[#This Row],[1A vs]]</f>
        <v>1</v>
      </c>
      <c r="V5" t="b">
        <f>M5=_R32Matchups[[#This Row],[1B vs]]</f>
        <v>1</v>
      </c>
      <c r="W5" t="b">
        <f>N5=_R32Matchups[[#This Row],[1D vs]]</f>
        <v>1</v>
      </c>
      <c r="X5" t="b">
        <f>O5=_R32Matchups[[#This Row],[1E vs]]</f>
        <v>1</v>
      </c>
      <c r="Y5" t="b">
        <f>P5=_R32Matchups[[#This Row],[1G vs]]</f>
        <v>1</v>
      </c>
      <c r="Z5" t="b">
        <f>Q5=_R32Matchups[[#This Row],[1I vs]]</f>
        <v>1</v>
      </c>
      <c r="AA5" t="b">
        <f>R5=_R32Matchups[[#This Row],[1K vs]]</f>
        <v>1</v>
      </c>
      <c r="AB5" t="b">
        <f>S5=_R32Matchups[[#This Row],[1L vs]]</f>
        <v>1</v>
      </c>
    </row>
    <row r="6" spans="1:28" ht="14.4">
      <c r="A6" s="2" t="s">
        <v>22</v>
      </c>
      <c r="B6" s="2" t="s">
        <v>10</v>
      </c>
      <c r="C6" s="2" t="s">
        <v>15</v>
      </c>
      <c r="D6" s="2" t="s">
        <v>12</v>
      </c>
      <c r="E6" s="2" t="s">
        <v>19</v>
      </c>
      <c r="F6" s="2" t="s">
        <v>11</v>
      </c>
      <c r="G6" s="2" t="s">
        <v>13</v>
      </c>
      <c r="H6" s="2" t="s">
        <v>16</v>
      </c>
      <c r="I6" s="2" t="s">
        <v>17</v>
      </c>
      <c r="K6" t="s">
        <v>22</v>
      </c>
      <c r="L6" t="s">
        <v>10</v>
      </c>
      <c r="M6" t="s">
        <v>15</v>
      </c>
      <c r="N6" t="s">
        <v>12</v>
      </c>
      <c r="O6" t="s">
        <v>19</v>
      </c>
      <c r="P6" t="s">
        <v>11</v>
      </c>
      <c r="Q6" t="s">
        <v>13</v>
      </c>
      <c r="R6" t="s">
        <v>16</v>
      </c>
      <c r="S6" t="s">
        <v>17</v>
      </c>
      <c r="U6" t="b">
        <f>L6=_R32Matchups[[#This Row],[1A vs]]</f>
        <v>1</v>
      </c>
      <c r="V6" t="b">
        <f>M6=_R32Matchups[[#This Row],[1B vs]]</f>
        <v>1</v>
      </c>
      <c r="W6" t="b">
        <f>N6=_R32Matchups[[#This Row],[1D vs]]</f>
        <v>1</v>
      </c>
      <c r="X6" t="b">
        <f>O6=_R32Matchups[[#This Row],[1E vs]]</f>
        <v>1</v>
      </c>
      <c r="Y6" t="b">
        <f>P6=_R32Matchups[[#This Row],[1G vs]]</f>
        <v>1</v>
      </c>
      <c r="Z6" t="b">
        <f>Q6=_R32Matchups[[#This Row],[1I vs]]</f>
        <v>1</v>
      </c>
      <c r="AA6" t="b">
        <f>R6=_R32Matchups[[#This Row],[1K vs]]</f>
        <v>1</v>
      </c>
      <c r="AB6" t="b">
        <f>S6=_R32Matchups[[#This Row],[1L vs]]</f>
        <v>1</v>
      </c>
    </row>
    <row r="7" spans="1:28" ht="14.4">
      <c r="A7" s="2" t="s">
        <v>23</v>
      </c>
      <c r="B7" s="2" t="s">
        <v>10</v>
      </c>
      <c r="C7" s="2" t="s">
        <v>15</v>
      </c>
      <c r="D7" s="2" t="s">
        <v>11</v>
      </c>
      <c r="E7" s="2" t="s">
        <v>19</v>
      </c>
      <c r="F7" s="2" t="s">
        <v>14</v>
      </c>
      <c r="G7" s="2" t="s">
        <v>13</v>
      </c>
      <c r="H7" s="2" t="s">
        <v>16</v>
      </c>
      <c r="I7" s="2" t="s">
        <v>17</v>
      </c>
      <c r="K7" t="s">
        <v>23</v>
      </c>
      <c r="L7" t="s">
        <v>10</v>
      </c>
      <c r="M7" t="s">
        <v>15</v>
      </c>
      <c r="N7" t="s">
        <v>11</v>
      </c>
      <c r="O7" t="s">
        <v>19</v>
      </c>
      <c r="P7" t="s">
        <v>14</v>
      </c>
      <c r="Q7" t="s">
        <v>13</v>
      </c>
      <c r="R7" t="s">
        <v>16</v>
      </c>
      <c r="S7" t="s">
        <v>17</v>
      </c>
      <c r="U7" t="b">
        <f>L7=_R32Matchups[[#This Row],[1A vs]]</f>
        <v>1</v>
      </c>
      <c r="V7" t="b">
        <f>M7=_R32Matchups[[#This Row],[1B vs]]</f>
        <v>1</v>
      </c>
      <c r="W7" t="b">
        <f>N7=_R32Matchups[[#This Row],[1D vs]]</f>
        <v>1</v>
      </c>
      <c r="X7" t="b">
        <f>O7=_R32Matchups[[#This Row],[1E vs]]</f>
        <v>1</v>
      </c>
      <c r="Y7" t="b">
        <f>P7=_R32Matchups[[#This Row],[1G vs]]</f>
        <v>1</v>
      </c>
      <c r="Z7" t="b">
        <f>Q7=_R32Matchups[[#This Row],[1I vs]]</f>
        <v>1</v>
      </c>
      <c r="AA7" t="b">
        <f>R7=_R32Matchups[[#This Row],[1K vs]]</f>
        <v>1</v>
      </c>
      <c r="AB7" t="b">
        <f>S7=_R32Matchups[[#This Row],[1L vs]]</f>
        <v>1</v>
      </c>
    </row>
    <row r="8" spans="1:28" ht="14.4">
      <c r="A8" s="2" t="s">
        <v>24</v>
      </c>
      <c r="B8" s="2" t="s">
        <v>10</v>
      </c>
      <c r="C8" s="2" t="s">
        <v>15</v>
      </c>
      <c r="D8" s="2" t="s">
        <v>12</v>
      </c>
      <c r="E8" s="2" t="s">
        <v>19</v>
      </c>
      <c r="F8" s="2" t="s">
        <v>14</v>
      </c>
      <c r="G8" s="2" t="s">
        <v>13</v>
      </c>
      <c r="H8" s="2" t="s">
        <v>16</v>
      </c>
      <c r="I8" s="2" t="s">
        <v>17</v>
      </c>
      <c r="K8" t="s">
        <v>24</v>
      </c>
      <c r="L8" t="s">
        <v>10</v>
      </c>
      <c r="M8" t="s">
        <v>15</v>
      </c>
      <c r="N8" t="s">
        <v>12</v>
      </c>
      <c r="O8" t="s">
        <v>19</v>
      </c>
      <c r="P8" t="s">
        <v>14</v>
      </c>
      <c r="Q8" t="s">
        <v>13</v>
      </c>
      <c r="R8" t="s">
        <v>16</v>
      </c>
      <c r="S8" t="s">
        <v>17</v>
      </c>
      <c r="U8" t="b">
        <f>L8=_R32Matchups[[#This Row],[1A vs]]</f>
        <v>1</v>
      </c>
      <c r="V8" t="b">
        <f>M8=_R32Matchups[[#This Row],[1B vs]]</f>
        <v>1</v>
      </c>
      <c r="W8" t="b">
        <f>N8=_R32Matchups[[#This Row],[1D vs]]</f>
        <v>1</v>
      </c>
      <c r="X8" t="b">
        <f>O8=_R32Matchups[[#This Row],[1E vs]]</f>
        <v>1</v>
      </c>
      <c r="Y8" t="b">
        <f>P8=_R32Matchups[[#This Row],[1G vs]]</f>
        <v>1</v>
      </c>
      <c r="Z8" t="b">
        <f>Q8=_R32Matchups[[#This Row],[1I vs]]</f>
        <v>1</v>
      </c>
      <c r="AA8" t="b">
        <f>R8=_R32Matchups[[#This Row],[1K vs]]</f>
        <v>1</v>
      </c>
      <c r="AB8" t="b">
        <f>S8=_R32Matchups[[#This Row],[1L vs]]</f>
        <v>1</v>
      </c>
    </row>
    <row r="9" spans="1:28" ht="14.4">
      <c r="A9" s="2" t="s">
        <v>25</v>
      </c>
      <c r="B9" s="2" t="s">
        <v>10</v>
      </c>
      <c r="C9" s="2" t="s">
        <v>15</v>
      </c>
      <c r="D9" s="2" t="s">
        <v>11</v>
      </c>
      <c r="E9" s="2" t="s">
        <v>19</v>
      </c>
      <c r="F9" s="2" t="s">
        <v>14</v>
      </c>
      <c r="G9" s="2" t="s">
        <v>13</v>
      </c>
      <c r="H9" s="2" t="s">
        <v>16</v>
      </c>
      <c r="I9" s="2" t="s">
        <v>12</v>
      </c>
      <c r="K9" t="s">
        <v>25</v>
      </c>
      <c r="L9" t="s">
        <v>10</v>
      </c>
      <c r="M9" t="s">
        <v>15</v>
      </c>
      <c r="N9" t="s">
        <v>11</v>
      </c>
      <c r="O9" t="s">
        <v>19</v>
      </c>
      <c r="P9" t="s">
        <v>14</v>
      </c>
      <c r="Q9" t="s">
        <v>13</v>
      </c>
      <c r="R9" t="s">
        <v>16</v>
      </c>
      <c r="S9" t="s">
        <v>12</v>
      </c>
      <c r="U9" t="b">
        <f>L9=_R32Matchups[[#This Row],[1A vs]]</f>
        <v>1</v>
      </c>
      <c r="V9" t="b">
        <f>M9=_R32Matchups[[#This Row],[1B vs]]</f>
        <v>1</v>
      </c>
      <c r="W9" t="b">
        <f>N9=_R32Matchups[[#This Row],[1D vs]]</f>
        <v>1</v>
      </c>
      <c r="X9" t="b">
        <f>O9=_R32Matchups[[#This Row],[1E vs]]</f>
        <v>1</v>
      </c>
      <c r="Y9" t="b">
        <f>P9=_R32Matchups[[#This Row],[1G vs]]</f>
        <v>1</v>
      </c>
      <c r="Z9" t="b">
        <f>Q9=_R32Matchups[[#This Row],[1I vs]]</f>
        <v>1</v>
      </c>
      <c r="AA9" t="b">
        <f>R9=_R32Matchups[[#This Row],[1K vs]]</f>
        <v>1</v>
      </c>
      <c r="AB9" t="b">
        <f>S9=_R32Matchups[[#This Row],[1L vs]]</f>
        <v>1</v>
      </c>
    </row>
    <row r="10" spans="1:28" ht="14.4">
      <c r="A10" s="2" t="s">
        <v>26</v>
      </c>
      <c r="B10" s="2" t="s">
        <v>10</v>
      </c>
      <c r="C10" s="2" t="s">
        <v>15</v>
      </c>
      <c r="D10" s="2" t="s">
        <v>11</v>
      </c>
      <c r="E10" s="2" t="s">
        <v>19</v>
      </c>
      <c r="F10" s="2" t="s">
        <v>14</v>
      </c>
      <c r="G10" s="2" t="s">
        <v>13</v>
      </c>
      <c r="H10" s="2" t="s">
        <v>12</v>
      </c>
      <c r="I10" s="2" t="s">
        <v>17</v>
      </c>
      <c r="K10" t="s">
        <v>26</v>
      </c>
      <c r="L10" t="s">
        <v>10</v>
      </c>
      <c r="M10" t="s">
        <v>15</v>
      </c>
      <c r="N10" t="s">
        <v>11</v>
      </c>
      <c r="O10" t="s">
        <v>19</v>
      </c>
      <c r="P10" t="s">
        <v>14</v>
      </c>
      <c r="Q10" t="s">
        <v>13</v>
      </c>
      <c r="R10" t="s">
        <v>12</v>
      </c>
      <c r="S10" t="s">
        <v>17</v>
      </c>
      <c r="U10" t="b">
        <f>L10=_R32Matchups[[#This Row],[1A vs]]</f>
        <v>1</v>
      </c>
      <c r="V10" t="b">
        <f>M10=_R32Matchups[[#This Row],[1B vs]]</f>
        <v>1</v>
      </c>
      <c r="W10" t="b">
        <f>N10=_R32Matchups[[#This Row],[1D vs]]</f>
        <v>1</v>
      </c>
      <c r="X10" t="b">
        <f>O10=_R32Matchups[[#This Row],[1E vs]]</f>
        <v>1</v>
      </c>
      <c r="Y10" t="b">
        <f>P10=_R32Matchups[[#This Row],[1G vs]]</f>
        <v>1</v>
      </c>
      <c r="Z10" t="b">
        <f>Q10=_R32Matchups[[#This Row],[1I vs]]</f>
        <v>1</v>
      </c>
      <c r="AA10" t="b">
        <f>R10=_R32Matchups[[#This Row],[1K vs]]</f>
        <v>1</v>
      </c>
      <c r="AB10" t="b">
        <f>S10=_R32Matchups[[#This Row],[1L vs]]</f>
        <v>1</v>
      </c>
    </row>
    <row r="11" spans="1:28" ht="14.4">
      <c r="A11" s="2" t="s">
        <v>27</v>
      </c>
      <c r="B11" s="2" t="s">
        <v>14</v>
      </c>
      <c r="C11" s="2" t="s">
        <v>15</v>
      </c>
      <c r="D11" s="2" t="s">
        <v>12</v>
      </c>
      <c r="E11" s="2" t="s">
        <v>28</v>
      </c>
      <c r="F11" s="2" t="s">
        <v>11</v>
      </c>
      <c r="G11" s="2" t="s">
        <v>13</v>
      </c>
      <c r="H11" s="2" t="s">
        <v>16</v>
      </c>
      <c r="I11" s="2" t="s">
        <v>17</v>
      </c>
      <c r="K11" t="s">
        <v>27</v>
      </c>
      <c r="L11" t="s">
        <v>14</v>
      </c>
      <c r="M11" t="s">
        <v>15</v>
      </c>
      <c r="N11" t="s">
        <v>12</v>
      </c>
      <c r="O11" t="s">
        <v>28</v>
      </c>
      <c r="P11" t="s">
        <v>11</v>
      </c>
      <c r="Q11" t="s">
        <v>13</v>
      </c>
      <c r="R11" t="s">
        <v>16</v>
      </c>
      <c r="S11" t="s">
        <v>17</v>
      </c>
      <c r="U11" t="b">
        <f>L11=_R32Matchups[[#This Row],[1A vs]]</f>
        <v>1</v>
      </c>
      <c r="V11" t="b">
        <f>M11=_R32Matchups[[#This Row],[1B vs]]</f>
        <v>1</v>
      </c>
      <c r="W11" t="b">
        <f>N11=_R32Matchups[[#This Row],[1D vs]]</f>
        <v>1</v>
      </c>
      <c r="X11" t="b">
        <f>O11=_R32Matchups[[#This Row],[1E vs]]</f>
        <v>1</v>
      </c>
      <c r="Y11" t="b">
        <f>P11=_R32Matchups[[#This Row],[1G vs]]</f>
        <v>1</v>
      </c>
      <c r="Z11" t="b">
        <f>Q11=_R32Matchups[[#This Row],[1I vs]]</f>
        <v>1</v>
      </c>
      <c r="AA11" t="b">
        <f>R11=_R32Matchups[[#This Row],[1K vs]]</f>
        <v>1</v>
      </c>
      <c r="AB11" t="b">
        <f>S11=_R32Matchups[[#This Row],[1L vs]]</f>
        <v>1</v>
      </c>
    </row>
    <row r="12" spans="1:28" ht="14.4">
      <c r="A12" s="2" t="s">
        <v>29</v>
      </c>
      <c r="B12" s="2" t="s">
        <v>10</v>
      </c>
      <c r="C12" s="2" t="s">
        <v>11</v>
      </c>
      <c r="D12" s="2" t="s">
        <v>12</v>
      </c>
      <c r="E12" s="2" t="s">
        <v>28</v>
      </c>
      <c r="F12" s="2" t="s">
        <v>14</v>
      </c>
      <c r="G12" s="2" t="s">
        <v>15</v>
      </c>
      <c r="H12" s="2" t="s">
        <v>16</v>
      </c>
      <c r="I12" s="2" t="s">
        <v>17</v>
      </c>
      <c r="K12" t="s">
        <v>29</v>
      </c>
      <c r="L12" t="s">
        <v>10</v>
      </c>
      <c r="M12" t="s">
        <v>11</v>
      </c>
      <c r="N12" t="s">
        <v>12</v>
      </c>
      <c r="O12" t="s">
        <v>28</v>
      </c>
      <c r="P12" t="s">
        <v>14</v>
      </c>
      <c r="Q12" t="s">
        <v>15</v>
      </c>
      <c r="R12" t="s">
        <v>16</v>
      </c>
      <c r="S12" t="s">
        <v>17</v>
      </c>
      <c r="U12" t="b">
        <f>L12=_R32Matchups[[#This Row],[1A vs]]</f>
        <v>1</v>
      </c>
      <c r="V12" t="b">
        <f>M12=_R32Matchups[[#This Row],[1B vs]]</f>
        <v>1</v>
      </c>
      <c r="W12" t="b">
        <f>N12=_R32Matchups[[#This Row],[1D vs]]</f>
        <v>1</v>
      </c>
      <c r="X12" t="b">
        <f>O12=_R32Matchups[[#This Row],[1E vs]]</f>
        <v>1</v>
      </c>
      <c r="Y12" t="b">
        <f>P12=_R32Matchups[[#This Row],[1G vs]]</f>
        <v>1</v>
      </c>
      <c r="Z12" t="b">
        <f>Q12=_R32Matchups[[#This Row],[1I vs]]</f>
        <v>1</v>
      </c>
      <c r="AA12" t="b">
        <f>R12=_R32Matchups[[#This Row],[1K vs]]</f>
        <v>1</v>
      </c>
      <c r="AB12" t="b">
        <f>S12=_R32Matchups[[#This Row],[1L vs]]</f>
        <v>1</v>
      </c>
    </row>
    <row r="13" spans="1:28" ht="14.4">
      <c r="A13" s="2" t="s">
        <v>30</v>
      </c>
      <c r="B13" s="2" t="s">
        <v>10</v>
      </c>
      <c r="C13" s="2" t="s">
        <v>11</v>
      </c>
      <c r="D13" s="2" t="s">
        <v>12</v>
      </c>
      <c r="E13" s="2" t="s">
        <v>28</v>
      </c>
      <c r="F13" s="2" t="s">
        <v>14</v>
      </c>
      <c r="G13" s="2" t="s">
        <v>13</v>
      </c>
      <c r="H13" s="2" t="s">
        <v>16</v>
      </c>
      <c r="I13" s="2" t="s">
        <v>17</v>
      </c>
      <c r="K13" t="s">
        <v>30</v>
      </c>
      <c r="L13" t="s">
        <v>10</v>
      </c>
      <c r="M13" t="s">
        <v>11</v>
      </c>
      <c r="N13" t="s">
        <v>12</v>
      </c>
      <c r="O13" t="s">
        <v>28</v>
      </c>
      <c r="P13" t="s">
        <v>14</v>
      </c>
      <c r="Q13" t="s">
        <v>13</v>
      </c>
      <c r="R13" t="s">
        <v>16</v>
      </c>
      <c r="S13" t="s">
        <v>17</v>
      </c>
      <c r="U13" t="b">
        <f>L13=_R32Matchups[[#This Row],[1A vs]]</f>
        <v>1</v>
      </c>
      <c r="V13" t="b">
        <f>M13=_R32Matchups[[#This Row],[1B vs]]</f>
        <v>1</v>
      </c>
      <c r="W13" t="b">
        <f>N13=_R32Matchups[[#This Row],[1D vs]]</f>
        <v>1</v>
      </c>
      <c r="X13" t="b">
        <f>O13=_R32Matchups[[#This Row],[1E vs]]</f>
        <v>1</v>
      </c>
      <c r="Y13" t="b">
        <f>P13=_R32Matchups[[#This Row],[1G vs]]</f>
        <v>1</v>
      </c>
      <c r="Z13" t="b">
        <f>Q13=_R32Matchups[[#This Row],[1I vs]]</f>
        <v>1</v>
      </c>
      <c r="AA13" t="b">
        <f>R13=_R32Matchups[[#This Row],[1K vs]]</f>
        <v>1</v>
      </c>
      <c r="AB13" t="b">
        <f>S13=_R32Matchups[[#This Row],[1L vs]]</f>
        <v>1</v>
      </c>
    </row>
    <row r="14" spans="1:28" ht="14.4">
      <c r="A14" s="2" t="s">
        <v>31</v>
      </c>
      <c r="B14" s="2" t="s">
        <v>10</v>
      </c>
      <c r="C14" s="2" t="s">
        <v>15</v>
      </c>
      <c r="D14" s="2" t="s">
        <v>12</v>
      </c>
      <c r="E14" s="2" t="s">
        <v>28</v>
      </c>
      <c r="F14" s="2" t="s">
        <v>11</v>
      </c>
      <c r="G14" s="2" t="s">
        <v>13</v>
      </c>
      <c r="H14" s="2" t="s">
        <v>16</v>
      </c>
      <c r="I14" s="2" t="s">
        <v>17</v>
      </c>
      <c r="K14" t="s">
        <v>31</v>
      </c>
      <c r="L14" t="s">
        <v>10</v>
      </c>
      <c r="M14" t="s">
        <v>15</v>
      </c>
      <c r="N14" t="s">
        <v>12</v>
      </c>
      <c r="O14" t="s">
        <v>28</v>
      </c>
      <c r="P14" t="s">
        <v>11</v>
      </c>
      <c r="Q14" t="s">
        <v>13</v>
      </c>
      <c r="R14" t="s">
        <v>16</v>
      </c>
      <c r="S14" t="s">
        <v>17</v>
      </c>
      <c r="U14" t="b">
        <f>L14=_R32Matchups[[#This Row],[1A vs]]</f>
        <v>1</v>
      </c>
      <c r="V14" t="b">
        <f>M14=_R32Matchups[[#This Row],[1B vs]]</f>
        <v>1</v>
      </c>
      <c r="W14" t="b">
        <f>N14=_R32Matchups[[#This Row],[1D vs]]</f>
        <v>1</v>
      </c>
      <c r="X14" t="b">
        <f>O14=_R32Matchups[[#This Row],[1E vs]]</f>
        <v>1</v>
      </c>
      <c r="Y14" t="b">
        <f>P14=_R32Matchups[[#This Row],[1G vs]]</f>
        <v>1</v>
      </c>
      <c r="Z14" t="b">
        <f>Q14=_R32Matchups[[#This Row],[1I vs]]</f>
        <v>1</v>
      </c>
      <c r="AA14" t="b">
        <f>R14=_R32Matchups[[#This Row],[1K vs]]</f>
        <v>1</v>
      </c>
      <c r="AB14" t="b">
        <f>S14=_R32Matchups[[#This Row],[1L vs]]</f>
        <v>1</v>
      </c>
    </row>
    <row r="15" spans="1:28" ht="14.4">
      <c r="A15" s="2" t="s">
        <v>32</v>
      </c>
      <c r="B15" s="2" t="s">
        <v>10</v>
      </c>
      <c r="C15" s="2" t="s">
        <v>15</v>
      </c>
      <c r="D15" s="2" t="s">
        <v>11</v>
      </c>
      <c r="E15" s="2" t="s">
        <v>28</v>
      </c>
      <c r="F15" s="2" t="s">
        <v>14</v>
      </c>
      <c r="G15" s="2" t="s">
        <v>13</v>
      </c>
      <c r="H15" s="2" t="s">
        <v>16</v>
      </c>
      <c r="I15" s="2" t="s">
        <v>17</v>
      </c>
      <c r="K15" t="s">
        <v>32</v>
      </c>
      <c r="L15" t="s">
        <v>10</v>
      </c>
      <c r="M15" t="s">
        <v>15</v>
      </c>
      <c r="N15" t="s">
        <v>11</v>
      </c>
      <c r="O15" t="s">
        <v>28</v>
      </c>
      <c r="P15" t="s">
        <v>14</v>
      </c>
      <c r="Q15" t="s">
        <v>13</v>
      </c>
      <c r="R15" t="s">
        <v>16</v>
      </c>
      <c r="S15" t="s">
        <v>17</v>
      </c>
      <c r="U15" t="b">
        <f>L15=_R32Matchups[[#This Row],[1A vs]]</f>
        <v>1</v>
      </c>
      <c r="V15" t="b">
        <f>M15=_R32Matchups[[#This Row],[1B vs]]</f>
        <v>1</v>
      </c>
      <c r="W15" t="b">
        <f>N15=_R32Matchups[[#This Row],[1D vs]]</f>
        <v>1</v>
      </c>
      <c r="X15" t="b">
        <f>O15=_R32Matchups[[#This Row],[1E vs]]</f>
        <v>1</v>
      </c>
      <c r="Y15" t="b">
        <f>P15=_R32Matchups[[#This Row],[1G vs]]</f>
        <v>1</v>
      </c>
      <c r="Z15" t="b">
        <f>Q15=_R32Matchups[[#This Row],[1I vs]]</f>
        <v>1</v>
      </c>
      <c r="AA15" t="b">
        <f>R15=_R32Matchups[[#This Row],[1K vs]]</f>
        <v>1</v>
      </c>
      <c r="AB15" t="b">
        <f>S15=_R32Matchups[[#This Row],[1L vs]]</f>
        <v>1</v>
      </c>
    </row>
    <row r="16" spans="1:28" ht="14.4">
      <c r="A16" s="2" t="s">
        <v>33</v>
      </c>
      <c r="B16" s="2" t="s">
        <v>10</v>
      </c>
      <c r="C16" s="2" t="s">
        <v>15</v>
      </c>
      <c r="D16" s="2" t="s">
        <v>12</v>
      </c>
      <c r="E16" s="2" t="s">
        <v>28</v>
      </c>
      <c r="F16" s="2" t="s">
        <v>14</v>
      </c>
      <c r="G16" s="2" t="s">
        <v>13</v>
      </c>
      <c r="H16" s="2" t="s">
        <v>16</v>
      </c>
      <c r="I16" s="2" t="s">
        <v>17</v>
      </c>
      <c r="K16" t="s">
        <v>33</v>
      </c>
      <c r="L16" t="s">
        <v>10</v>
      </c>
      <c r="M16" t="s">
        <v>15</v>
      </c>
      <c r="N16" t="s">
        <v>12</v>
      </c>
      <c r="O16" t="s">
        <v>28</v>
      </c>
      <c r="P16" t="s">
        <v>14</v>
      </c>
      <c r="Q16" t="s">
        <v>13</v>
      </c>
      <c r="R16" t="s">
        <v>16</v>
      </c>
      <c r="S16" t="s">
        <v>17</v>
      </c>
      <c r="U16" t="b">
        <f>L16=_R32Matchups[[#This Row],[1A vs]]</f>
        <v>1</v>
      </c>
      <c r="V16" t="b">
        <f>M16=_R32Matchups[[#This Row],[1B vs]]</f>
        <v>1</v>
      </c>
      <c r="W16" t="b">
        <f>N16=_R32Matchups[[#This Row],[1D vs]]</f>
        <v>1</v>
      </c>
      <c r="X16" t="b">
        <f>O16=_R32Matchups[[#This Row],[1E vs]]</f>
        <v>1</v>
      </c>
      <c r="Y16" t="b">
        <f>P16=_R32Matchups[[#This Row],[1G vs]]</f>
        <v>1</v>
      </c>
      <c r="Z16" t="b">
        <f>Q16=_R32Matchups[[#This Row],[1I vs]]</f>
        <v>1</v>
      </c>
      <c r="AA16" t="b">
        <f>R16=_R32Matchups[[#This Row],[1K vs]]</f>
        <v>1</v>
      </c>
      <c r="AB16" t="b">
        <f>S16=_R32Matchups[[#This Row],[1L vs]]</f>
        <v>1</v>
      </c>
    </row>
    <row r="17" spans="1:28" ht="14.4">
      <c r="A17" s="2" t="s">
        <v>34</v>
      </c>
      <c r="B17" s="2" t="s">
        <v>10</v>
      </c>
      <c r="C17" s="2" t="s">
        <v>15</v>
      </c>
      <c r="D17" s="2" t="s">
        <v>11</v>
      </c>
      <c r="E17" s="2" t="s">
        <v>28</v>
      </c>
      <c r="F17" s="2" t="s">
        <v>14</v>
      </c>
      <c r="G17" s="2" t="s">
        <v>13</v>
      </c>
      <c r="H17" s="2" t="s">
        <v>16</v>
      </c>
      <c r="I17" s="2" t="s">
        <v>12</v>
      </c>
      <c r="K17" t="s">
        <v>34</v>
      </c>
      <c r="L17" t="s">
        <v>10</v>
      </c>
      <c r="M17" t="s">
        <v>15</v>
      </c>
      <c r="N17" t="s">
        <v>11</v>
      </c>
      <c r="O17" t="s">
        <v>28</v>
      </c>
      <c r="P17" t="s">
        <v>14</v>
      </c>
      <c r="Q17" t="s">
        <v>13</v>
      </c>
      <c r="R17" t="s">
        <v>16</v>
      </c>
      <c r="S17" t="s">
        <v>12</v>
      </c>
      <c r="U17" t="b">
        <f>L17=_R32Matchups[[#This Row],[1A vs]]</f>
        <v>1</v>
      </c>
      <c r="V17" t="b">
        <f>M17=_R32Matchups[[#This Row],[1B vs]]</f>
        <v>1</v>
      </c>
      <c r="W17" t="b">
        <f>N17=_R32Matchups[[#This Row],[1D vs]]</f>
        <v>1</v>
      </c>
      <c r="X17" t="b">
        <f>O17=_R32Matchups[[#This Row],[1E vs]]</f>
        <v>1</v>
      </c>
      <c r="Y17" t="b">
        <f>P17=_R32Matchups[[#This Row],[1G vs]]</f>
        <v>1</v>
      </c>
      <c r="Z17" t="b">
        <f>Q17=_R32Matchups[[#This Row],[1I vs]]</f>
        <v>1</v>
      </c>
      <c r="AA17" t="b">
        <f>R17=_R32Matchups[[#This Row],[1K vs]]</f>
        <v>1</v>
      </c>
      <c r="AB17" t="b">
        <f>S17=_R32Matchups[[#This Row],[1L vs]]</f>
        <v>1</v>
      </c>
    </row>
    <row r="18" spans="1:28" ht="14.4">
      <c r="A18" s="2" t="s">
        <v>35</v>
      </c>
      <c r="B18" s="2" t="s">
        <v>10</v>
      </c>
      <c r="C18" s="2" t="s">
        <v>15</v>
      </c>
      <c r="D18" s="2" t="s">
        <v>11</v>
      </c>
      <c r="E18" s="2" t="s">
        <v>28</v>
      </c>
      <c r="F18" s="2" t="s">
        <v>14</v>
      </c>
      <c r="G18" s="2" t="s">
        <v>13</v>
      </c>
      <c r="H18" s="2" t="s">
        <v>12</v>
      </c>
      <c r="I18" s="2" t="s">
        <v>17</v>
      </c>
      <c r="K18" t="s">
        <v>35</v>
      </c>
      <c r="L18" t="s">
        <v>10</v>
      </c>
      <c r="M18" t="s">
        <v>15</v>
      </c>
      <c r="N18" t="s">
        <v>11</v>
      </c>
      <c r="O18" t="s">
        <v>28</v>
      </c>
      <c r="P18" t="s">
        <v>14</v>
      </c>
      <c r="Q18" t="s">
        <v>13</v>
      </c>
      <c r="R18" t="s">
        <v>12</v>
      </c>
      <c r="S18" t="s">
        <v>17</v>
      </c>
      <c r="U18" t="b">
        <f>L18=_R32Matchups[[#This Row],[1A vs]]</f>
        <v>1</v>
      </c>
      <c r="V18" t="b">
        <f>M18=_R32Matchups[[#This Row],[1B vs]]</f>
        <v>1</v>
      </c>
      <c r="W18" t="b">
        <f>N18=_R32Matchups[[#This Row],[1D vs]]</f>
        <v>1</v>
      </c>
      <c r="X18" t="b">
        <f>O18=_R32Matchups[[#This Row],[1E vs]]</f>
        <v>1</v>
      </c>
      <c r="Y18" t="b">
        <f>P18=_R32Matchups[[#This Row],[1G vs]]</f>
        <v>1</v>
      </c>
      <c r="Z18" t="b">
        <f>Q18=_R32Matchups[[#This Row],[1I vs]]</f>
        <v>1</v>
      </c>
      <c r="AA18" t="b">
        <f>R18=_R32Matchups[[#This Row],[1K vs]]</f>
        <v>1</v>
      </c>
      <c r="AB18" t="b">
        <f>S18=_R32Matchups[[#This Row],[1L vs]]</f>
        <v>1</v>
      </c>
    </row>
    <row r="19" spans="1:28" ht="14.4">
      <c r="A19" s="2" t="s">
        <v>36</v>
      </c>
      <c r="B19" s="2" t="s">
        <v>14</v>
      </c>
      <c r="C19" s="2" t="s">
        <v>15</v>
      </c>
      <c r="D19" s="2" t="s">
        <v>12</v>
      </c>
      <c r="E19" s="2" t="s">
        <v>28</v>
      </c>
      <c r="F19" s="2" t="s">
        <v>11</v>
      </c>
      <c r="G19" s="2" t="s">
        <v>19</v>
      </c>
      <c r="H19" s="2" t="s">
        <v>16</v>
      </c>
      <c r="I19" s="2" t="s">
        <v>17</v>
      </c>
      <c r="K19" t="s">
        <v>36</v>
      </c>
      <c r="L19" t="s">
        <v>14</v>
      </c>
      <c r="M19" t="s">
        <v>15</v>
      </c>
      <c r="N19" t="s">
        <v>12</v>
      </c>
      <c r="O19" t="s">
        <v>28</v>
      </c>
      <c r="P19" t="s">
        <v>11</v>
      </c>
      <c r="Q19" t="s">
        <v>19</v>
      </c>
      <c r="R19" t="s">
        <v>16</v>
      </c>
      <c r="S19" t="s">
        <v>17</v>
      </c>
      <c r="U19" t="b">
        <f>L19=_R32Matchups[[#This Row],[1A vs]]</f>
        <v>1</v>
      </c>
      <c r="V19" t="b">
        <f>M19=_R32Matchups[[#This Row],[1B vs]]</f>
        <v>1</v>
      </c>
      <c r="W19" t="b">
        <f>N19=_R32Matchups[[#This Row],[1D vs]]</f>
        <v>1</v>
      </c>
      <c r="X19" t="b">
        <f>O19=_R32Matchups[[#This Row],[1E vs]]</f>
        <v>1</v>
      </c>
      <c r="Y19" t="b">
        <f>P19=_R32Matchups[[#This Row],[1G vs]]</f>
        <v>1</v>
      </c>
      <c r="Z19" t="b">
        <f>Q19=_R32Matchups[[#This Row],[1I vs]]</f>
        <v>1</v>
      </c>
      <c r="AA19" t="b">
        <f>R19=_R32Matchups[[#This Row],[1K vs]]</f>
        <v>1</v>
      </c>
      <c r="AB19" t="b">
        <f>S19=_R32Matchups[[#This Row],[1L vs]]</f>
        <v>1</v>
      </c>
    </row>
    <row r="20" spans="1:28" ht="14.4">
      <c r="A20" s="2" t="s">
        <v>37</v>
      </c>
      <c r="B20" s="2" t="s">
        <v>28</v>
      </c>
      <c r="C20" s="2" t="s">
        <v>11</v>
      </c>
      <c r="D20" s="2" t="s">
        <v>12</v>
      </c>
      <c r="E20" s="2" t="s">
        <v>19</v>
      </c>
      <c r="F20" s="2" t="s">
        <v>14</v>
      </c>
      <c r="G20" s="2" t="s">
        <v>13</v>
      </c>
      <c r="H20" s="2" t="s">
        <v>16</v>
      </c>
      <c r="I20" s="2" t="s">
        <v>17</v>
      </c>
      <c r="K20" t="s">
        <v>37</v>
      </c>
      <c r="L20" t="s">
        <v>28</v>
      </c>
      <c r="M20" t="s">
        <v>11</v>
      </c>
      <c r="N20" t="s">
        <v>12</v>
      </c>
      <c r="O20" t="s">
        <v>19</v>
      </c>
      <c r="P20" t="s">
        <v>14</v>
      </c>
      <c r="Q20" t="s">
        <v>13</v>
      </c>
      <c r="R20" t="s">
        <v>16</v>
      </c>
      <c r="S20" t="s">
        <v>17</v>
      </c>
      <c r="U20" t="b">
        <f>L20=_R32Matchups[[#This Row],[1A vs]]</f>
        <v>1</v>
      </c>
      <c r="V20" t="b">
        <f>M20=_R32Matchups[[#This Row],[1B vs]]</f>
        <v>1</v>
      </c>
      <c r="W20" t="b">
        <f>N20=_R32Matchups[[#This Row],[1D vs]]</f>
        <v>1</v>
      </c>
      <c r="X20" t="b">
        <f>O20=_R32Matchups[[#This Row],[1E vs]]</f>
        <v>1</v>
      </c>
      <c r="Y20" t="b">
        <f>P20=_R32Matchups[[#This Row],[1G vs]]</f>
        <v>1</v>
      </c>
      <c r="Z20" t="b">
        <f>Q20=_R32Matchups[[#This Row],[1I vs]]</f>
        <v>1</v>
      </c>
      <c r="AA20" t="b">
        <f>R20=_R32Matchups[[#This Row],[1K vs]]</f>
        <v>1</v>
      </c>
      <c r="AB20" t="b">
        <f>S20=_R32Matchups[[#This Row],[1L vs]]</f>
        <v>1</v>
      </c>
    </row>
    <row r="21" spans="1:28" ht="14.4">
      <c r="A21" s="2" t="s">
        <v>38</v>
      </c>
      <c r="B21" s="2" t="s">
        <v>28</v>
      </c>
      <c r="C21" s="2" t="s">
        <v>15</v>
      </c>
      <c r="D21" s="2" t="s">
        <v>12</v>
      </c>
      <c r="E21" s="2" t="s">
        <v>19</v>
      </c>
      <c r="F21" s="2" t="s">
        <v>11</v>
      </c>
      <c r="G21" s="2" t="s">
        <v>13</v>
      </c>
      <c r="H21" s="2" t="s">
        <v>16</v>
      </c>
      <c r="I21" s="2" t="s">
        <v>17</v>
      </c>
      <c r="K21" t="s">
        <v>38</v>
      </c>
      <c r="L21" t="s">
        <v>28</v>
      </c>
      <c r="M21" t="s">
        <v>15</v>
      </c>
      <c r="N21" t="s">
        <v>12</v>
      </c>
      <c r="O21" t="s">
        <v>19</v>
      </c>
      <c r="P21" t="s">
        <v>11</v>
      </c>
      <c r="Q21" t="s">
        <v>13</v>
      </c>
      <c r="R21" t="s">
        <v>16</v>
      </c>
      <c r="S21" t="s">
        <v>17</v>
      </c>
      <c r="U21" t="b">
        <f>L21=_R32Matchups[[#This Row],[1A vs]]</f>
        <v>1</v>
      </c>
      <c r="V21" t="b">
        <f>M21=_R32Matchups[[#This Row],[1B vs]]</f>
        <v>1</v>
      </c>
      <c r="W21" t="b">
        <f>N21=_R32Matchups[[#This Row],[1D vs]]</f>
        <v>1</v>
      </c>
      <c r="X21" t="b">
        <f>O21=_R32Matchups[[#This Row],[1E vs]]</f>
        <v>1</v>
      </c>
      <c r="Y21" t="b">
        <f>P21=_R32Matchups[[#This Row],[1G vs]]</f>
        <v>1</v>
      </c>
      <c r="Z21" t="b">
        <f>Q21=_R32Matchups[[#This Row],[1I vs]]</f>
        <v>1</v>
      </c>
      <c r="AA21" t="b">
        <f>R21=_R32Matchups[[#This Row],[1K vs]]</f>
        <v>1</v>
      </c>
      <c r="AB21" t="b">
        <f>S21=_R32Matchups[[#This Row],[1L vs]]</f>
        <v>1</v>
      </c>
    </row>
    <row r="22" spans="1:28" ht="14.4">
      <c r="A22" s="2" t="s">
        <v>39</v>
      </c>
      <c r="B22" s="2" t="s">
        <v>28</v>
      </c>
      <c r="C22" s="2" t="s">
        <v>15</v>
      </c>
      <c r="D22" s="2" t="s">
        <v>11</v>
      </c>
      <c r="E22" s="2" t="s">
        <v>19</v>
      </c>
      <c r="F22" s="2" t="s">
        <v>14</v>
      </c>
      <c r="G22" s="2" t="s">
        <v>13</v>
      </c>
      <c r="H22" s="2" t="s">
        <v>16</v>
      </c>
      <c r="I22" s="2" t="s">
        <v>17</v>
      </c>
      <c r="K22" t="s">
        <v>39</v>
      </c>
      <c r="L22" t="s">
        <v>28</v>
      </c>
      <c r="M22" t="s">
        <v>15</v>
      </c>
      <c r="N22" t="s">
        <v>11</v>
      </c>
      <c r="O22" t="s">
        <v>19</v>
      </c>
      <c r="P22" t="s">
        <v>14</v>
      </c>
      <c r="Q22" t="s">
        <v>13</v>
      </c>
      <c r="R22" t="s">
        <v>16</v>
      </c>
      <c r="S22" t="s">
        <v>17</v>
      </c>
      <c r="U22" t="b">
        <f>L22=_R32Matchups[[#This Row],[1A vs]]</f>
        <v>1</v>
      </c>
      <c r="V22" t="b">
        <f>M22=_R32Matchups[[#This Row],[1B vs]]</f>
        <v>1</v>
      </c>
      <c r="W22" t="b">
        <f>N22=_R32Matchups[[#This Row],[1D vs]]</f>
        <v>1</v>
      </c>
      <c r="X22" t="b">
        <f>O22=_R32Matchups[[#This Row],[1E vs]]</f>
        <v>1</v>
      </c>
      <c r="Y22" t="b">
        <f>P22=_R32Matchups[[#This Row],[1G vs]]</f>
        <v>1</v>
      </c>
      <c r="Z22" t="b">
        <f>Q22=_R32Matchups[[#This Row],[1I vs]]</f>
        <v>1</v>
      </c>
      <c r="AA22" t="b">
        <f>R22=_R32Matchups[[#This Row],[1K vs]]</f>
        <v>1</v>
      </c>
      <c r="AB22" t="b">
        <f>S22=_R32Matchups[[#This Row],[1L vs]]</f>
        <v>1</v>
      </c>
    </row>
    <row r="23" spans="1:28" ht="14.4">
      <c r="A23" s="2" t="s">
        <v>40</v>
      </c>
      <c r="B23" s="2" t="s">
        <v>28</v>
      </c>
      <c r="C23" s="2" t="s">
        <v>15</v>
      </c>
      <c r="D23" s="2" t="s">
        <v>12</v>
      </c>
      <c r="E23" s="2" t="s">
        <v>19</v>
      </c>
      <c r="F23" s="2" t="s">
        <v>14</v>
      </c>
      <c r="G23" s="2" t="s">
        <v>13</v>
      </c>
      <c r="H23" s="2" t="s">
        <v>16</v>
      </c>
      <c r="I23" s="2" t="s">
        <v>17</v>
      </c>
      <c r="K23" t="s">
        <v>40</v>
      </c>
      <c r="L23" t="s">
        <v>28</v>
      </c>
      <c r="M23" t="s">
        <v>15</v>
      </c>
      <c r="N23" t="s">
        <v>12</v>
      </c>
      <c r="O23" t="s">
        <v>19</v>
      </c>
      <c r="P23" t="s">
        <v>14</v>
      </c>
      <c r="Q23" t="s">
        <v>13</v>
      </c>
      <c r="R23" t="s">
        <v>16</v>
      </c>
      <c r="S23" t="s">
        <v>17</v>
      </c>
      <c r="U23" t="b">
        <f>L23=_R32Matchups[[#This Row],[1A vs]]</f>
        <v>1</v>
      </c>
      <c r="V23" t="b">
        <f>M23=_R32Matchups[[#This Row],[1B vs]]</f>
        <v>1</v>
      </c>
      <c r="W23" t="b">
        <f>N23=_R32Matchups[[#This Row],[1D vs]]</f>
        <v>1</v>
      </c>
      <c r="X23" t="b">
        <f>O23=_R32Matchups[[#This Row],[1E vs]]</f>
        <v>1</v>
      </c>
      <c r="Y23" t="b">
        <f>P23=_R32Matchups[[#This Row],[1G vs]]</f>
        <v>1</v>
      </c>
      <c r="Z23" t="b">
        <f>Q23=_R32Matchups[[#This Row],[1I vs]]</f>
        <v>1</v>
      </c>
      <c r="AA23" t="b">
        <f>R23=_R32Matchups[[#This Row],[1K vs]]</f>
        <v>1</v>
      </c>
      <c r="AB23" t="b">
        <f>S23=_R32Matchups[[#This Row],[1L vs]]</f>
        <v>1</v>
      </c>
    </row>
    <row r="24" spans="1:28" ht="14.4">
      <c r="A24" s="2" t="s">
        <v>41</v>
      </c>
      <c r="B24" s="2" t="s">
        <v>28</v>
      </c>
      <c r="C24" s="2" t="s">
        <v>15</v>
      </c>
      <c r="D24" s="2" t="s">
        <v>11</v>
      </c>
      <c r="E24" s="2" t="s">
        <v>19</v>
      </c>
      <c r="F24" s="2" t="s">
        <v>14</v>
      </c>
      <c r="G24" s="2" t="s">
        <v>13</v>
      </c>
      <c r="H24" s="2" t="s">
        <v>16</v>
      </c>
      <c r="I24" s="2" t="s">
        <v>12</v>
      </c>
      <c r="K24" t="s">
        <v>41</v>
      </c>
      <c r="L24" t="s">
        <v>28</v>
      </c>
      <c r="M24" t="s">
        <v>15</v>
      </c>
      <c r="N24" t="s">
        <v>11</v>
      </c>
      <c r="O24" t="s">
        <v>19</v>
      </c>
      <c r="P24" t="s">
        <v>14</v>
      </c>
      <c r="Q24" t="s">
        <v>13</v>
      </c>
      <c r="R24" t="s">
        <v>16</v>
      </c>
      <c r="S24" t="s">
        <v>12</v>
      </c>
      <c r="U24" t="b">
        <f>L24=_R32Matchups[[#This Row],[1A vs]]</f>
        <v>1</v>
      </c>
      <c r="V24" t="b">
        <f>M24=_R32Matchups[[#This Row],[1B vs]]</f>
        <v>1</v>
      </c>
      <c r="W24" t="b">
        <f>N24=_R32Matchups[[#This Row],[1D vs]]</f>
        <v>1</v>
      </c>
      <c r="X24" t="b">
        <f>O24=_R32Matchups[[#This Row],[1E vs]]</f>
        <v>1</v>
      </c>
      <c r="Y24" t="b">
        <f>P24=_R32Matchups[[#This Row],[1G vs]]</f>
        <v>1</v>
      </c>
      <c r="Z24" t="b">
        <f>Q24=_R32Matchups[[#This Row],[1I vs]]</f>
        <v>1</v>
      </c>
      <c r="AA24" t="b">
        <f>R24=_R32Matchups[[#This Row],[1K vs]]</f>
        <v>1</v>
      </c>
      <c r="AB24" t="b">
        <f>S24=_R32Matchups[[#This Row],[1L vs]]</f>
        <v>1</v>
      </c>
    </row>
    <row r="25" spans="1:28" ht="14.4">
      <c r="A25" s="2" t="s">
        <v>42</v>
      </c>
      <c r="B25" s="2" t="s">
        <v>28</v>
      </c>
      <c r="C25" s="2" t="s">
        <v>15</v>
      </c>
      <c r="D25" s="2" t="s">
        <v>11</v>
      </c>
      <c r="E25" s="2" t="s">
        <v>19</v>
      </c>
      <c r="F25" s="2" t="s">
        <v>14</v>
      </c>
      <c r="G25" s="2" t="s">
        <v>13</v>
      </c>
      <c r="H25" s="2" t="s">
        <v>12</v>
      </c>
      <c r="I25" s="2" t="s">
        <v>17</v>
      </c>
      <c r="K25" t="s">
        <v>42</v>
      </c>
      <c r="L25" t="s">
        <v>28</v>
      </c>
      <c r="M25" t="s">
        <v>15</v>
      </c>
      <c r="N25" t="s">
        <v>11</v>
      </c>
      <c r="O25" t="s">
        <v>19</v>
      </c>
      <c r="P25" t="s">
        <v>14</v>
      </c>
      <c r="Q25" t="s">
        <v>13</v>
      </c>
      <c r="R25" t="s">
        <v>12</v>
      </c>
      <c r="S25" t="s">
        <v>17</v>
      </c>
      <c r="U25" t="b">
        <f>L25=_R32Matchups[[#This Row],[1A vs]]</f>
        <v>1</v>
      </c>
      <c r="V25" t="b">
        <f>M25=_R32Matchups[[#This Row],[1B vs]]</f>
        <v>1</v>
      </c>
      <c r="W25" t="b">
        <f>N25=_R32Matchups[[#This Row],[1D vs]]</f>
        <v>1</v>
      </c>
      <c r="X25" t="b">
        <f>O25=_R32Matchups[[#This Row],[1E vs]]</f>
        <v>1</v>
      </c>
      <c r="Y25" t="b">
        <f>P25=_R32Matchups[[#This Row],[1G vs]]</f>
        <v>1</v>
      </c>
      <c r="Z25" t="b">
        <f>Q25=_R32Matchups[[#This Row],[1I vs]]</f>
        <v>1</v>
      </c>
      <c r="AA25" t="b">
        <f>R25=_R32Matchups[[#This Row],[1K vs]]</f>
        <v>1</v>
      </c>
      <c r="AB25" t="b">
        <f>S25=_R32Matchups[[#This Row],[1L vs]]</f>
        <v>1</v>
      </c>
    </row>
    <row r="26" spans="1:28" ht="14.4">
      <c r="A26" s="2" t="s">
        <v>43</v>
      </c>
      <c r="B26" s="2" t="s">
        <v>10</v>
      </c>
      <c r="C26" s="2" t="s">
        <v>11</v>
      </c>
      <c r="D26" s="2" t="s">
        <v>12</v>
      </c>
      <c r="E26" s="2" t="s">
        <v>28</v>
      </c>
      <c r="F26" s="2" t="s">
        <v>14</v>
      </c>
      <c r="G26" s="2" t="s">
        <v>19</v>
      </c>
      <c r="H26" s="2" t="s">
        <v>16</v>
      </c>
      <c r="I26" s="2" t="s">
        <v>17</v>
      </c>
      <c r="K26" t="s">
        <v>43</v>
      </c>
      <c r="L26" t="s">
        <v>10</v>
      </c>
      <c r="M26" t="s">
        <v>11</v>
      </c>
      <c r="N26" t="s">
        <v>12</v>
      </c>
      <c r="O26" t="s">
        <v>28</v>
      </c>
      <c r="P26" t="s">
        <v>14</v>
      </c>
      <c r="Q26" t="s">
        <v>19</v>
      </c>
      <c r="R26" t="s">
        <v>16</v>
      </c>
      <c r="S26" t="s">
        <v>17</v>
      </c>
      <c r="U26" t="b">
        <f>L26=_R32Matchups[[#This Row],[1A vs]]</f>
        <v>1</v>
      </c>
      <c r="V26" t="b">
        <f>M26=_R32Matchups[[#This Row],[1B vs]]</f>
        <v>1</v>
      </c>
      <c r="W26" t="b">
        <f>N26=_R32Matchups[[#This Row],[1D vs]]</f>
        <v>1</v>
      </c>
      <c r="X26" t="b">
        <f>O26=_R32Matchups[[#This Row],[1E vs]]</f>
        <v>1</v>
      </c>
      <c r="Y26" t="b">
        <f>P26=_R32Matchups[[#This Row],[1G vs]]</f>
        <v>1</v>
      </c>
      <c r="Z26" t="b">
        <f>Q26=_R32Matchups[[#This Row],[1I vs]]</f>
        <v>1</v>
      </c>
      <c r="AA26" t="b">
        <f>R26=_R32Matchups[[#This Row],[1K vs]]</f>
        <v>1</v>
      </c>
      <c r="AB26" t="b">
        <f>S26=_R32Matchups[[#This Row],[1L vs]]</f>
        <v>1</v>
      </c>
    </row>
    <row r="27" spans="1:28" ht="14.4">
      <c r="A27" s="2" t="s">
        <v>44</v>
      </c>
      <c r="B27" s="2" t="s">
        <v>10</v>
      </c>
      <c r="C27" s="2" t="s">
        <v>15</v>
      </c>
      <c r="D27" s="2" t="s">
        <v>12</v>
      </c>
      <c r="E27" s="2" t="s">
        <v>28</v>
      </c>
      <c r="F27" s="2" t="s">
        <v>11</v>
      </c>
      <c r="G27" s="2" t="s">
        <v>19</v>
      </c>
      <c r="H27" s="2" t="s">
        <v>16</v>
      </c>
      <c r="I27" s="2" t="s">
        <v>17</v>
      </c>
      <c r="K27" t="s">
        <v>44</v>
      </c>
      <c r="L27" t="s">
        <v>10</v>
      </c>
      <c r="M27" t="s">
        <v>15</v>
      </c>
      <c r="N27" t="s">
        <v>12</v>
      </c>
      <c r="O27" t="s">
        <v>28</v>
      </c>
      <c r="P27" t="s">
        <v>11</v>
      </c>
      <c r="Q27" t="s">
        <v>19</v>
      </c>
      <c r="R27" t="s">
        <v>16</v>
      </c>
      <c r="S27" t="s">
        <v>17</v>
      </c>
      <c r="U27" t="b">
        <f>L27=_R32Matchups[[#This Row],[1A vs]]</f>
        <v>1</v>
      </c>
      <c r="V27" t="b">
        <f>M27=_R32Matchups[[#This Row],[1B vs]]</f>
        <v>1</v>
      </c>
      <c r="W27" t="b">
        <f>N27=_R32Matchups[[#This Row],[1D vs]]</f>
        <v>1</v>
      </c>
      <c r="X27" t="b">
        <f>O27=_R32Matchups[[#This Row],[1E vs]]</f>
        <v>1</v>
      </c>
      <c r="Y27" t="b">
        <f>P27=_R32Matchups[[#This Row],[1G vs]]</f>
        <v>1</v>
      </c>
      <c r="Z27" t="b">
        <f>Q27=_R32Matchups[[#This Row],[1I vs]]</f>
        <v>1</v>
      </c>
      <c r="AA27" t="b">
        <f>R27=_R32Matchups[[#This Row],[1K vs]]</f>
        <v>1</v>
      </c>
      <c r="AB27" t="b">
        <f>S27=_R32Matchups[[#This Row],[1L vs]]</f>
        <v>1</v>
      </c>
    </row>
    <row r="28" spans="1:28" ht="14.4">
      <c r="A28" s="2" t="s">
        <v>45</v>
      </c>
      <c r="B28" s="2" t="s">
        <v>10</v>
      </c>
      <c r="C28" s="2" t="s">
        <v>15</v>
      </c>
      <c r="D28" s="2" t="s">
        <v>11</v>
      </c>
      <c r="E28" s="2" t="s">
        <v>28</v>
      </c>
      <c r="F28" s="2" t="s">
        <v>14</v>
      </c>
      <c r="G28" s="2" t="s">
        <v>19</v>
      </c>
      <c r="H28" s="2" t="s">
        <v>16</v>
      </c>
      <c r="I28" s="2" t="s">
        <v>17</v>
      </c>
      <c r="K28" t="s">
        <v>45</v>
      </c>
      <c r="L28" t="s">
        <v>10</v>
      </c>
      <c r="M28" t="s">
        <v>15</v>
      </c>
      <c r="N28" t="s">
        <v>11</v>
      </c>
      <c r="O28" t="s">
        <v>28</v>
      </c>
      <c r="P28" t="s">
        <v>14</v>
      </c>
      <c r="Q28" t="s">
        <v>19</v>
      </c>
      <c r="R28" t="s">
        <v>16</v>
      </c>
      <c r="S28" t="s">
        <v>17</v>
      </c>
      <c r="U28" t="b">
        <f>L28=_R32Matchups[[#This Row],[1A vs]]</f>
        <v>1</v>
      </c>
      <c r="V28" t="b">
        <f>M28=_R32Matchups[[#This Row],[1B vs]]</f>
        <v>1</v>
      </c>
      <c r="W28" t="b">
        <f>N28=_R32Matchups[[#This Row],[1D vs]]</f>
        <v>1</v>
      </c>
      <c r="X28" t="b">
        <f>O28=_R32Matchups[[#This Row],[1E vs]]</f>
        <v>1</v>
      </c>
      <c r="Y28" t="b">
        <f>P28=_R32Matchups[[#This Row],[1G vs]]</f>
        <v>1</v>
      </c>
      <c r="Z28" t="b">
        <f>Q28=_R32Matchups[[#This Row],[1I vs]]</f>
        <v>1</v>
      </c>
      <c r="AA28" t="b">
        <f>R28=_R32Matchups[[#This Row],[1K vs]]</f>
        <v>1</v>
      </c>
      <c r="AB28" t="b">
        <f>S28=_R32Matchups[[#This Row],[1L vs]]</f>
        <v>1</v>
      </c>
    </row>
    <row r="29" spans="1:28" ht="14.4">
      <c r="A29" s="2" t="s">
        <v>46</v>
      </c>
      <c r="B29" s="2" t="s">
        <v>10</v>
      </c>
      <c r="C29" s="2" t="s">
        <v>15</v>
      </c>
      <c r="D29" s="2" t="s">
        <v>12</v>
      </c>
      <c r="E29" s="2" t="s">
        <v>28</v>
      </c>
      <c r="F29" s="2" t="s">
        <v>14</v>
      </c>
      <c r="G29" s="2" t="s">
        <v>19</v>
      </c>
      <c r="H29" s="2" t="s">
        <v>16</v>
      </c>
      <c r="I29" s="2" t="s">
        <v>17</v>
      </c>
      <c r="K29" t="s">
        <v>46</v>
      </c>
      <c r="L29" t="s">
        <v>10</v>
      </c>
      <c r="M29" t="s">
        <v>15</v>
      </c>
      <c r="N29" t="s">
        <v>12</v>
      </c>
      <c r="O29" t="s">
        <v>28</v>
      </c>
      <c r="P29" t="s">
        <v>14</v>
      </c>
      <c r="Q29" t="s">
        <v>19</v>
      </c>
      <c r="R29" t="s">
        <v>16</v>
      </c>
      <c r="S29" t="s">
        <v>17</v>
      </c>
      <c r="U29" t="b">
        <f>L29=_R32Matchups[[#This Row],[1A vs]]</f>
        <v>1</v>
      </c>
      <c r="V29" t="b">
        <f>M29=_R32Matchups[[#This Row],[1B vs]]</f>
        <v>1</v>
      </c>
      <c r="W29" t="b">
        <f>N29=_R32Matchups[[#This Row],[1D vs]]</f>
        <v>1</v>
      </c>
      <c r="X29" t="b">
        <f>O29=_R32Matchups[[#This Row],[1E vs]]</f>
        <v>1</v>
      </c>
      <c r="Y29" t="b">
        <f>P29=_R32Matchups[[#This Row],[1G vs]]</f>
        <v>1</v>
      </c>
      <c r="Z29" t="b">
        <f>Q29=_R32Matchups[[#This Row],[1I vs]]</f>
        <v>1</v>
      </c>
      <c r="AA29" t="b">
        <f>R29=_R32Matchups[[#This Row],[1K vs]]</f>
        <v>1</v>
      </c>
      <c r="AB29" t="b">
        <f>S29=_R32Matchups[[#This Row],[1L vs]]</f>
        <v>1</v>
      </c>
    </row>
    <row r="30" spans="1:28" ht="14.4">
      <c r="A30" s="2" t="s">
        <v>47</v>
      </c>
      <c r="B30" s="2" t="s">
        <v>10</v>
      </c>
      <c r="C30" s="2" t="s">
        <v>15</v>
      </c>
      <c r="D30" s="2" t="s">
        <v>11</v>
      </c>
      <c r="E30" s="2" t="s">
        <v>28</v>
      </c>
      <c r="F30" s="2" t="s">
        <v>14</v>
      </c>
      <c r="G30" s="2" t="s">
        <v>19</v>
      </c>
      <c r="H30" s="2" t="s">
        <v>16</v>
      </c>
      <c r="I30" s="2" t="s">
        <v>12</v>
      </c>
      <c r="K30" t="s">
        <v>47</v>
      </c>
      <c r="L30" t="s">
        <v>10</v>
      </c>
      <c r="M30" t="s">
        <v>15</v>
      </c>
      <c r="N30" t="s">
        <v>11</v>
      </c>
      <c r="O30" t="s">
        <v>28</v>
      </c>
      <c r="P30" t="s">
        <v>14</v>
      </c>
      <c r="Q30" t="s">
        <v>19</v>
      </c>
      <c r="R30" t="s">
        <v>16</v>
      </c>
      <c r="S30" t="s">
        <v>12</v>
      </c>
      <c r="U30" t="b">
        <f>L30=_R32Matchups[[#This Row],[1A vs]]</f>
        <v>1</v>
      </c>
      <c r="V30" t="b">
        <f>M30=_R32Matchups[[#This Row],[1B vs]]</f>
        <v>1</v>
      </c>
      <c r="W30" t="b">
        <f>N30=_R32Matchups[[#This Row],[1D vs]]</f>
        <v>1</v>
      </c>
      <c r="X30" t="b">
        <f>O30=_R32Matchups[[#This Row],[1E vs]]</f>
        <v>1</v>
      </c>
      <c r="Y30" t="b">
        <f>P30=_R32Matchups[[#This Row],[1G vs]]</f>
        <v>1</v>
      </c>
      <c r="Z30" t="b">
        <f>Q30=_R32Matchups[[#This Row],[1I vs]]</f>
        <v>1</v>
      </c>
      <c r="AA30" t="b">
        <f>R30=_R32Matchups[[#This Row],[1K vs]]</f>
        <v>1</v>
      </c>
      <c r="AB30" t="b">
        <f>S30=_R32Matchups[[#This Row],[1L vs]]</f>
        <v>1</v>
      </c>
    </row>
    <row r="31" spans="1:28" ht="14.4">
      <c r="A31" s="2" t="s">
        <v>48</v>
      </c>
      <c r="B31" s="2" t="s">
        <v>10</v>
      </c>
      <c r="C31" s="2" t="s">
        <v>15</v>
      </c>
      <c r="D31" s="2" t="s">
        <v>11</v>
      </c>
      <c r="E31" s="2" t="s">
        <v>28</v>
      </c>
      <c r="F31" s="2" t="s">
        <v>14</v>
      </c>
      <c r="G31" s="2" t="s">
        <v>19</v>
      </c>
      <c r="H31" s="2" t="s">
        <v>12</v>
      </c>
      <c r="I31" s="2" t="s">
        <v>17</v>
      </c>
      <c r="K31" t="s">
        <v>48</v>
      </c>
      <c r="L31" t="s">
        <v>10</v>
      </c>
      <c r="M31" t="s">
        <v>15</v>
      </c>
      <c r="N31" t="s">
        <v>11</v>
      </c>
      <c r="O31" t="s">
        <v>28</v>
      </c>
      <c r="P31" t="s">
        <v>14</v>
      </c>
      <c r="Q31" t="s">
        <v>19</v>
      </c>
      <c r="R31" t="s">
        <v>12</v>
      </c>
      <c r="S31" t="s">
        <v>17</v>
      </c>
      <c r="U31" t="b">
        <f>L31=_R32Matchups[[#This Row],[1A vs]]</f>
        <v>1</v>
      </c>
      <c r="V31" t="b">
        <f>M31=_R32Matchups[[#This Row],[1B vs]]</f>
        <v>1</v>
      </c>
      <c r="W31" t="b">
        <f>N31=_R32Matchups[[#This Row],[1D vs]]</f>
        <v>1</v>
      </c>
      <c r="X31" t="b">
        <f>O31=_R32Matchups[[#This Row],[1E vs]]</f>
        <v>1</v>
      </c>
      <c r="Y31" t="b">
        <f>P31=_R32Matchups[[#This Row],[1G vs]]</f>
        <v>1</v>
      </c>
      <c r="Z31" t="b">
        <f>Q31=_R32Matchups[[#This Row],[1I vs]]</f>
        <v>1</v>
      </c>
      <c r="AA31" t="b">
        <f>R31=_R32Matchups[[#This Row],[1K vs]]</f>
        <v>1</v>
      </c>
      <c r="AB31" t="b">
        <f>S31=_R32Matchups[[#This Row],[1L vs]]</f>
        <v>1</v>
      </c>
    </row>
    <row r="32" spans="1:28" ht="14.4">
      <c r="A32" s="2" t="s">
        <v>49</v>
      </c>
      <c r="B32" s="2" t="s">
        <v>28</v>
      </c>
      <c r="C32" s="2" t="s">
        <v>11</v>
      </c>
      <c r="D32" s="2" t="s">
        <v>10</v>
      </c>
      <c r="E32" s="2" t="s">
        <v>19</v>
      </c>
      <c r="F32" s="2" t="s">
        <v>12</v>
      </c>
      <c r="G32" s="2" t="s">
        <v>13</v>
      </c>
      <c r="H32" s="2" t="s">
        <v>16</v>
      </c>
      <c r="I32" s="2" t="s">
        <v>17</v>
      </c>
      <c r="K32" t="s">
        <v>49</v>
      </c>
      <c r="L32" t="s">
        <v>28</v>
      </c>
      <c r="M32" t="s">
        <v>11</v>
      </c>
      <c r="N32" t="s">
        <v>10</v>
      </c>
      <c r="O32" t="s">
        <v>19</v>
      </c>
      <c r="P32" t="s">
        <v>12</v>
      </c>
      <c r="Q32" t="s">
        <v>13</v>
      </c>
      <c r="R32" t="s">
        <v>16</v>
      </c>
      <c r="S32" t="s">
        <v>17</v>
      </c>
      <c r="U32" t="b">
        <f>L32=_R32Matchups[[#This Row],[1A vs]]</f>
        <v>1</v>
      </c>
      <c r="V32" t="b">
        <f>M32=_R32Matchups[[#This Row],[1B vs]]</f>
        <v>1</v>
      </c>
      <c r="W32" t="b">
        <f>N32=_R32Matchups[[#This Row],[1D vs]]</f>
        <v>1</v>
      </c>
      <c r="X32" t="b">
        <f>O32=_R32Matchups[[#This Row],[1E vs]]</f>
        <v>1</v>
      </c>
      <c r="Y32" t="b">
        <f>P32=_R32Matchups[[#This Row],[1G vs]]</f>
        <v>1</v>
      </c>
      <c r="Z32" t="b">
        <f>Q32=_R32Matchups[[#This Row],[1I vs]]</f>
        <v>1</v>
      </c>
      <c r="AA32" t="b">
        <f>R32=_R32Matchups[[#This Row],[1K vs]]</f>
        <v>1</v>
      </c>
      <c r="AB32" t="b">
        <f>S32=_R32Matchups[[#This Row],[1L vs]]</f>
        <v>1</v>
      </c>
    </row>
    <row r="33" spans="1:28" ht="14.4">
      <c r="A33" s="2" t="s">
        <v>50</v>
      </c>
      <c r="B33" s="2" t="s">
        <v>28</v>
      </c>
      <c r="C33" s="2" t="s">
        <v>11</v>
      </c>
      <c r="D33" s="2" t="s">
        <v>10</v>
      </c>
      <c r="E33" s="2" t="s">
        <v>19</v>
      </c>
      <c r="F33" s="2" t="s">
        <v>14</v>
      </c>
      <c r="G33" s="2" t="s">
        <v>13</v>
      </c>
      <c r="H33" s="2" t="s">
        <v>16</v>
      </c>
      <c r="I33" s="2" t="s">
        <v>17</v>
      </c>
      <c r="K33" t="s">
        <v>50</v>
      </c>
      <c r="L33" t="s">
        <v>28</v>
      </c>
      <c r="M33" t="s">
        <v>11</v>
      </c>
      <c r="N33" t="s">
        <v>10</v>
      </c>
      <c r="O33" t="s">
        <v>19</v>
      </c>
      <c r="P33" t="s">
        <v>14</v>
      </c>
      <c r="Q33" t="s">
        <v>13</v>
      </c>
      <c r="R33" t="s">
        <v>16</v>
      </c>
      <c r="S33" t="s">
        <v>17</v>
      </c>
      <c r="U33" t="b">
        <f>L33=_R32Matchups[[#This Row],[1A vs]]</f>
        <v>1</v>
      </c>
      <c r="V33" t="b">
        <f>M33=_R32Matchups[[#This Row],[1B vs]]</f>
        <v>1</v>
      </c>
      <c r="W33" t="b">
        <f>N33=_R32Matchups[[#This Row],[1D vs]]</f>
        <v>1</v>
      </c>
      <c r="X33" t="b">
        <f>O33=_R32Matchups[[#This Row],[1E vs]]</f>
        <v>1</v>
      </c>
      <c r="Y33" t="b">
        <f>P33=_R32Matchups[[#This Row],[1G vs]]</f>
        <v>1</v>
      </c>
      <c r="Z33" t="b">
        <f>Q33=_R32Matchups[[#This Row],[1I vs]]</f>
        <v>1</v>
      </c>
      <c r="AA33" t="b">
        <f>R33=_R32Matchups[[#This Row],[1K vs]]</f>
        <v>1</v>
      </c>
      <c r="AB33" t="b">
        <f>S33=_R32Matchups[[#This Row],[1L vs]]</f>
        <v>1</v>
      </c>
    </row>
    <row r="34" spans="1:28" ht="14.4">
      <c r="A34" s="2" t="s">
        <v>51</v>
      </c>
      <c r="B34" s="2" t="s">
        <v>28</v>
      </c>
      <c r="C34" s="2" t="s">
        <v>10</v>
      </c>
      <c r="D34" s="2" t="s">
        <v>12</v>
      </c>
      <c r="E34" s="2" t="s">
        <v>19</v>
      </c>
      <c r="F34" s="2" t="s">
        <v>14</v>
      </c>
      <c r="G34" s="2" t="s">
        <v>13</v>
      </c>
      <c r="H34" s="2" t="s">
        <v>16</v>
      </c>
      <c r="I34" s="2" t="s">
        <v>17</v>
      </c>
      <c r="K34" t="s">
        <v>51</v>
      </c>
      <c r="L34" t="s">
        <v>28</v>
      </c>
      <c r="M34" t="s">
        <v>10</v>
      </c>
      <c r="N34" t="s">
        <v>12</v>
      </c>
      <c r="O34" t="s">
        <v>19</v>
      </c>
      <c r="P34" t="s">
        <v>14</v>
      </c>
      <c r="Q34" t="s">
        <v>13</v>
      </c>
      <c r="R34" t="s">
        <v>16</v>
      </c>
      <c r="S34" t="s">
        <v>17</v>
      </c>
      <c r="U34" t="b">
        <f>L34=_R32Matchups[[#This Row],[1A vs]]</f>
        <v>1</v>
      </c>
      <c r="V34" t="b">
        <f>M34=_R32Matchups[[#This Row],[1B vs]]</f>
        <v>1</v>
      </c>
      <c r="W34" t="b">
        <f>N34=_R32Matchups[[#This Row],[1D vs]]</f>
        <v>1</v>
      </c>
      <c r="X34" t="b">
        <f>O34=_R32Matchups[[#This Row],[1E vs]]</f>
        <v>1</v>
      </c>
      <c r="Y34" t="b">
        <f>P34=_R32Matchups[[#This Row],[1G vs]]</f>
        <v>1</v>
      </c>
      <c r="Z34" t="b">
        <f>Q34=_R32Matchups[[#This Row],[1I vs]]</f>
        <v>1</v>
      </c>
      <c r="AA34" t="b">
        <f>R34=_R32Matchups[[#This Row],[1K vs]]</f>
        <v>1</v>
      </c>
      <c r="AB34" t="b">
        <f>S34=_R32Matchups[[#This Row],[1L vs]]</f>
        <v>1</v>
      </c>
    </row>
    <row r="35" spans="1:28" ht="14.4">
      <c r="A35" s="2" t="s">
        <v>52</v>
      </c>
      <c r="B35" s="2" t="s">
        <v>28</v>
      </c>
      <c r="C35" s="2" t="s">
        <v>11</v>
      </c>
      <c r="D35" s="2" t="s">
        <v>10</v>
      </c>
      <c r="E35" s="2" t="s">
        <v>19</v>
      </c>
      <c r="F35" s="2" t="s">
        <v>14</v>
      </c>
      <c r="G35" s="2" t="s">
        <v>13</v>
      </c>
      <c r="H35" s="2" t="s">
        <v>16</v>
      </c>
      <c r="I35" s="2" t="s">
        <v>12</v>
      </c>
      <c r="K35" t="s">
        <v>52</v>
      </c>
      <c r="L35" t="s">
        <v>28</v>
      </c>
      <c r="M35" t="s">
        <v>11</v>
      </c>
      <c r="N35" t="s">
        <v>10</v>
      </c>
      <c r="O35" t="s">
        <v>19</v>
      </c>
      <c r="P35" t="s">
        <v>14</v>
      </c>
      <c r="Q35" t="s">
        <v>13</v>
      </c>
      <c r="R35" t="s">
        <v>16</v>
      </c>
      <c r="S35" t="s">
        <v>12</v>
      </c>
      <c r="U35" t="b">
        <f>L35=_R32Matchups[[#This Row],[1A vs]]</f>
        <v>1</v>
      </c>
      <c r="V35" t="b">
        <f>M35=_R32Matchups[[#This Row],[1B vs]]</f>
        <v>1</v>
      </c>
      <c r="W35" t="b">
        <f>N35=_R32Matchups[[#This Row],[1D vs]]</f>
        <v>1</v>
      </c>
      <c r="X35" t="b">
        <f>O35=_R32Matchups[[#This Row],[1E vs]]</f>
        <v>1</v>
      </c>
      <c r="Y35" t="b">
        <f>P35=_R32Matchups[[#This Row],[1G vs]]</f>
        <v>1</v>
      </c>
      <c r="Z35" t="b">
        <f>Q35=_R32Matchups[[#This Row],[1I vs]]</f>
        <v>1</v>
      </c>
      <c r="AA35" t="b">
        <f>R35=_R32Matchups[[#This Row],[1K vs]]</f>
        <v>1</v>
      </c>
      <c r="AB35" t="b">
        <f>S35=_R32Matchups[[#This Row],[1L vs]]</f>
        <v>1</v>
      </c>
    </row>
    <row r="36" spans="1:28" ht="14.4">
      <c r="A36" s="2" t="s">
        <v>53</v>
      </c>
      <c r="B36" s="2" t="s">
        <v>28</v>
      </c>
      <c r="C36" s="2" t="s">
        <v>11</v>
      </c>
      <c r="D36" s="2" t="s">
        <v>10</v>
      </c>
      <c r="E36" s="2" t="s">
        <v>19</v>
      </c>
      <c r="F36" s="2" t="s">
        <v>14</v>
      </c>
      <c r="G36" s="2" t="s">
        <v>13</v>
      </c>
      <c r="H36" s="2" t="s">
        <v>12</v>
      </c>
      <c r="I36" s="2" t="s">
        <v>17</v>
      </c>
      <c r="K36" t="s">
        <v>53</v>
      </c>
      <c r="L36" t="s">
        <v>28</v>
      </c>
      <c r="M36" t="s">
        <v>11</v>
      </c>
      <c r="N36" t="s">
        <v>10</v>
      </c>
      <c r="O36" t="s">
        <v>19</v>
      </c>
      <c r="P36" t="s">
        <v>14</v>
      </c>
      <c r="Q36" t="s">
        <v>13</v>
      </c>
      <c r="R36" t="s">
        <v>12</v>
      </c>
      <c r="S36" t="s">
        <v>17</v>
      </c>
      <c r="U36" t="b">
        <f>L36=_R32Matchups[[#This Row],[1A vs]]</f>
        <v>1</v>
      </c>
      <c r="V36" t="b">
        <f>M36=_R32Matchups[[#This Row],[1B vs]]</f>
        <v>1</v>
      </c>
      <c r="W36" t="b">
        <f>N36=_R32Matchups[[#This Row],[1D vs]]</f>
        <v>1</v>
      </c>
      <c r="X36" t="b">
        <f>O36=_R32Matchups[[#This Row],[1E vs]]</f>
        <v>1</v>
      </c>
      <c r="Y36" t="b">
        <f>P36=_R32Matchups[[#This Row],[1G vs]]</f>
        <v>1</v>
      </c>
      <c r="Z36" t="b">
        <f>Q36=_R32Matchups[[#This Row],[1I vs]]</f>
        <v>1</v>
      </c>
      <c r="AA36" t="b">
        <f>R36=_R32Matchups[[#This Row],[1K vs]]</f>
        <v>1</v>
      </c>
      <c r="AB36" t="b">
        <f>S36=_R32Matchups[[#This Row],[1L vs]]</f>
        <v>1</v>
      </c>
    </row>
    <row r="37" spans="1:28" ht="14.4">
      <c r="A37" s="2" t="s">
        <v>54</v>
      </c>
      <c r="B37" s="2" t="s">
        <v>28</v>
      </c>
      <c r="C37" s="2" t="s">
        <v>15</v>
      </c>
      <c r="D37" s="2" t="s">
        <v>10</v>
      </c>
      <c r="E37" s="2" t="s">
        <v>19</v>
      </c>
      <c r="F37" s="2" t="s">
        <v>11</v>
      </c>
      <c r="G37" s="2" t="s">
        <v>13</v>
      </c>
      <c r="H37" s="2" t="s">
        <v>16</v>
      </c>
      <c r="I37" s="2" t="s">
        <v>17</v>
      </c>
      <c r="K37" t="s">
        <v>54</v>
      </c>
      <c r="L37" t="s">
        <v>28</v>
      </c>
      <c r="M37" t="s">
        <v>15</v>
      </c>
      <c r="N37" t="s">
        <v>10</v>
      </c>
      <c r="O37" t="s">
        <v>19</v>
      </c>
      <c r="P37" t="s">
        <v>11</v>
      </c>
      <c r="Q37" t="s">
        <v>13</v>
      </c>
      <c r="R37" t="s">
        <v>16</v>
      </c>
      <c r="S37" t="s">
        <v>17</v>
      </c>
      <c r="U37" t="b">
        <f>L37=_R32Matchups[[#This Row],[1A vs]]</f>
        <v>1</v>
      </c>
      <c r="V37" t="b">
        <f>M37=_R32Matchups[[#This Row],[1B vs]]</f>
        <v>1</v>
      </c>
      <c r="W37" t="b">
        <f>N37=_R32Matchups[[#This Row],[1D vs]]</f>
        <v>1</v>
      </c>
      <c r="X37" t="b">
        <f>O37=_R32Matchups[[#This Row],[1E vs]]</f>
        <v>1</v>
      </c>
      <c r="Y37" t="b">
        <f>P37=_R32Matchups[[#This Row],[1G vs]]</f>
        <v>1</v>
      </c>
      <c r="Z37" t="b">
        <f>Q37=_R32Matchups[[#This Row],[1I vs]]</f>
        <v>1</v>
      </c>
      <c r="AA37" t="b">
        <f>R37=_R32Matchups[[#This Row],[1K vs]]</f>
        <v>1</v>
      </c>
      <c r="AB37" t="b">
        <f>S37=_R32Matchups[[#This Row],[1L vs]]</f>
        <v>1</v>
      </c>
    </row>
    <row r="38" spans="1:28" ht="14.4">
      <c r="A38" s="2" t="s">
        <v>55</v>
      </c>
      <c r="B38" s="2" t="s">
        <v>28</v>
      </c>
      <c r="C38" s="2" t="s">
        <v>15</v>
      </c>
      <c r="D38" s="2" t="s">
        <v>10</v>
      </c>
      <c r="E38" s="2" t="s">
        <v>19</v>
      </c>
      <c r="F38" s="2" t="s">
        <v>12</v>
      </c>
      <c r="G38" s="2" t="s">
        <v>13</v>
      </c>
      <c r="H38" s="2" t="s">
        <v>16</v>
      </c>
      <c r="I38" s="2" t="s">
        <v>17</v>
      </c>
      <c r="K38" t="s">
        <v>55</v>
      </c>
      <c r="L38" t="s">
        <v>28</v>
      </c>
      <c r="M38" t="s">
        <v>15</v>
      </c>
      <c r="N38" t="s">
        <v>10</v>
      </c>
      <c r="O38" t="s">
        <v>19</v>
      </c>
      <c r="P38" t="s">
        <v>12</v>
      </c>
      <c r="Q38" t="s">
        <v>13</v>
      </c>
      <c r="R38" t="s">
        <v>16</v>
      </c>
      <c r="S38" t="s">
        <v>17</v>
      </c>
      <c r="U38" t="b">
        <f>L38=_R32Matchups[[#This Row],[1A vs]]</f>
        <v>1</v>
      </c>
      <c r="V38" t="b">
        <f>M38=_R32Matchups[[#This Row],[1B vs]]</f>
        <v>1</v>
      </c>
      <c r="W38" t="b">
        <f>N38=_R32Matchups[[#This Row],[1D vs]]</f>
        <v>1</v>
      </c>
      <c r="X38" t="b">
        <f>O38=_R32Matchups[[#This Row],[1E vs]]</f>
        <v>1</v>
      </c>
      <c r="Y38" t="b">
        <f>P38=_R32Matchups[[#This Row],[1G vs]]</f>
        <v>1</v>
      </c>
      <c r="Z38" t="b">
        <f>Q38=_R32Matchups[[#This Row],[1I vs]]</f>
        <v>1</v>
      </c>
      <c r="AA38" t="b">
        <f>R38=_R32Matchups[[#This Row],[1K vs]]</f>
        <v>1</v>
      </c>
      <c r="AB38" t="b">
        <f>S38=_R32Matchups[[#This Row],[1L vs]]</f>
        <v>1</v>
      </c>
    </row>
    <row r="39" spans="1:28" ht="14.4">
      <c r="A39" s="2" t="s">
        <v>56</v>
      </c>
      <c r="B39" s="2" t="s">
        <v>28</v>
      </c>
      <c r="C39" s="2" t="s">
        <v>15</v>
      </c>
      <c r="D39" s="2" t="s">
        <v>10</v>
      </c>
      <c r="E39" s="2" t="s">
        <v>19</v>
      </c>
      <c r="F39" s="2" t="s">
        <v>11</v>
      </c>
      <c r="G39" s="2" t="s">
        <v>13</v>
      </c>
      <c r="H39" s="2" t="s">
        <v>16</v>
      </c>
      <c r="I39" s="2" t="s">
        <v>12</v>
      </c>
      <c r="K39" t="s">
        <v>56</v>
      </c>
      <c r="L39" t="s">
        <v>28</v>
      </c>
      <c r="M39" t="s">
        <v>15</v>
      </c>
      <c r="N39" t="s">
        <v>10</v>
      </c>
      <c r="O39" t="s">
        <v>19</v>
      </c>
      <c r="P39" t="s">
        <v>11</v>
      </c>
      <c r="Q39" t="s">
        <v>13</v>
      </c>
      <c r="R39" t="s">
        <v>16</v>
      </c>
      <c r="S39" t="s">
        <v>12</v>
      </c>
      <c r="U39" t="b">
        <f>L39=_R32Matchups[[#This Row],[1A vs]]</f>
        <v>1</v>
      </c>
      <c r="V39" t="b">
        <f>M39=_R32Matchups[[#This Row],[1B vs]]</f>
        <v>1</v>
      </c>
      <c r="W39" t="b">
        <f>N39=_R32Matchups[[#This Row],[1D vs]]</f>
        <v>1</v>
      </c>
      <c r="X39" t="b">
        <f>O39=_R32Matchups[[#This Row],[1E vs]]</f>
        <v>1</v>
      </c>
      <c r="Y39" t="b">
        <f>P39=_R32Matchups[[#This Row],[1G vs]]</f>
        <v>1</v>
      </c>
      <c r="Z39" t="b">
        <f>Q39=_R32Matchups[[#This Row],[1I vs]]</f>
        <v>1</v>
      </c>
      <c r="AA39" t="b">
        <f>R39=_R32Matchups[[#This Row],[1K vs]]</f>
        <v>1</v>
      </c>
      <c r="AB39" t="b">
        <f>S39=_R32Matchups[[#This Row],[1L vs]]</f>
        <v>1</v>
      </c>
    </row>
    <row r="40" spans="1:28" ht="14.4">
      <c r="A40" s="2" t="s">
        <v>57</v>
      </c>
      <c r="B40" s="2" t="s">
        <v>28</v>
      </c>
      <c r="C40" s="2" t="s">
        <v>15</v>
      </c>
      <c r="D40" s="2" t="s">
        <v>10</v>
      </c>
      <c r="E40" s="2" t="s">
        <v>19</v>
      </c>
      <c r="F40" s="2" t="s">
        <v>11</v>
      </c>
      <c r="G40" s="2" t="s">
        <v>13</v>
      </c>
      <c r="H40" s="2" t="s">
        <v>12</v>
      </c>
      <c r="I40" s="2" t="s">
        <v>17</v>
      </c>
      <c r="K40" t="s">
        <v>57</v>
      </c>
      <c r="L40" t="s">
        <v>28</v>
      </c>
      <c r="M40" t="s">
        <v>15</v>
      </c>
      <c r="N40" t="s">
        <v>10</v>
      </c>
      <c r="O40" t="s">
        <v>19</v>
      </c>
      <c r="P40" t="s">
        <v>11</v>
      </c>
      <c r="Q40" t="s">
        <v>13</v>
      </c>
      <c r="R40" t="s">
        <v>12</v>
      </c>
      <c r="S40" t="s">
        <v>17</v>
      </c>
      <c r="U40" t="b">
        <f>L40=_R32Matchups[[#This Row],[1A vs]]</f>
        <v>1</v>
      </c>
      <c r="V40" t="b">
        <f>M40=_R32Matchups[[#This Row],[1B vs]]</f>
        <v>1</v>
      </c>
      <c r="W40" t="b">
        <f>N40=_R32Matchups[[#This Row],[1D vs]]</f>
        <v>1</v>
      </c>
      <c r="X40" t="b">
        <f>O40=_R32Matchups[[#This Row],[1E vs]]</f>
        <v>1</v>
      </c>
      <c r="Y40" t="b">
        <f>P40=_R32Matchups[[#This Row],[1G vs]]</f>
        <v>1</v>
      </c>
      <c r="Z40" t="b">
        <f>Q40=_R32Matchups[[#This Row],[1I vs]]</f>
        <v>1</v>
      </c>
      <c r="AA40" t="b">
        <f>R40=_R32Matchups[[#This Row],[1K vs]]</f>
        <v>1</v>
      </c>
      <c r="AB40" t="b">
        <f>S40=_R32Matchups[[#This Row],[1L vs]]</f>
        <v>1</v>
      </c>
    </row>
    <row r="41" spans="1:28" ht="14.4">
      <c r="A41" s="2" t="s">
        <v>58</v>
      </c>
      <c r="B41" s="2" t="s">
        <v>28</v>
      </c>
      <c r="C41" s="2" t="s">
        <v>15</v>
      </c>
      <c r="D41" s="2" t="s">
        <v>10</v>
      </c>
      <c r="E41" s="2" t="s">
        <v>19</v>
      </c>
      <c r="F41" s="2" t="s">
        <v>14</v>
      </c>
      <c r="G41" s="2" t="s">
        <v>13</v>
      </c>
      <c r="H41" s="2" t="s">
        <v>16</v>
      </c>
      <c r="I41" s="2" t="s">
        <v>17</v>
      </c>
      <c r="K41" t="s">
        <v>58</v>
      </c>
      <c r="L41" t="s">
        <v>28</v>
      </c>
      <c r="M41" t="s">
        <v>15</v>
      </c>
      <c r="N41" t="s">
        <v>10</v>
      </c>
      <c r="O41" t="s">
        <v>19</v>
      </c>
      <c r="P41" t="s">
        <v>14</v>
      </c>
      <c r="Q41" t="s">
        <v>13</v>
      </c>
      <c r="R41" t="s">
        <v>16</v>
      </c>
      <c r="S41" t="s">
        <v>17</v>
      </c>
      <c r="U41" t="b">
        <f>L41=_R32Matchups[[#This Row],[1A vs]]</f>
        <v>1</v>
      </c>
      <c r="V41" t="b">
        <f>M41=_R32Matchups[[#This Row],[1B vs]]</f>
        <v>1</v>
      </c>
      <c r="W41" t="b">
        <f>N41=_R32Matchups[[#This Row],[1D vs]]</f>
        <v>1</v>
      </c>
      <c r="X41" t="b">
        <f>O41=_R32Matchups[[#This Row],[1E vs]]</f>
        <v>1</v>
      </c>
      <c r="Y41" t="b">
        <f>P41=_R32Matchups[[#This Row],[1G vs]]</f>
        <v>1</v>
      </c>
      <c r="Z41" t="b">
        <f>Q41=_R32Matchups[[#This Row],[1I vs]]</f>
        <v>1</v>
      </c>
      <c r="AA41" t="b">
        <f>R41=_R32Matchups[[#This Row],[1K vs]]</f>
        <v>1</v>
      </c>
      <c r="AB41" t="b">
        <f>S41=_R32Matchups[[#This Row],[1L vs]]</f>
        <v>1</v>
      </c>
    </row>
    <row r="42" spans="1:28" ht="14.4">
      <c r="A42" s="2" t="s">
        <v>59</v>
      </c>
      <c r="B42" s="2" t="s">
        <v>28</v>
      </c>
      <c r="C42" s="2" t="s">
        <v>15</v>
      </c>
      <c r="D42" s="2" t="s">
        <v>11</v>
      </c>
      <c r="E42" s="2" t="s">
        <v>19</v>
      </c>
      <c r="F42" s="2" t="s">
        <v>14</v>
      </c>
      <c r="G42" s="2" t="s">
        <v>13</v>
      </c>
      <c r="H42" s="2" t="s">
        <v>16</v>
      </c>
      <c r="I42" s="2" t="s">
        <v>10</v>
      </c>
      <c r="K42" t="s">
        <v>59</v>
      </c>
      <c r="L42" t="s">
        <v>28</v>
      </c>
      <c r="M42" t="s">
        <v>15</v>
      </c>
      <c r="N42" t="s">
        <v>11</v>
      </c>
      <c r="O42" t="s">
        <v>19</v>
      </c>
      <c r="P42" t="s">
        <v>14</v>
      </c>
      <c r="Q42" t="s">
        <v>13</v>
      </c>
      <c r="R42" t="s">
        <v>16</v>
      </c>
      <c r="S42" t="s">
        <v>10</v>
      </c>
      <c r="U42" t="b">
        <f>L42=_R32Matchups[[#This Row],[1A vs]]</f>
        <v>1</v>
      </c>
      <c r="V42" t="b">
        <f>M42=_R32Matchups[[#This Row],[1B vs]]</f>
        <v>1</v>
      </c>
      <c r="W42" t="b">
        <f>N42=_R32Matchups[[#This Row],[1D vs]]</f>
        <v>1</v>
      </c>
      <c r="X42" t="b">
        <f>O42=_R32Matchups[[#This Row],[1E vs]]</f>
        <v>1</v>
      </c>
      <c r="Y42" t="b">
        <f>P42=_R32Matchups[[#This Row],[1G vs]]</f>
        <v>1</v>
      </c>
      <c r="Z42" t="b">
        <f>Q42=_R32Matchups[[#This Row],[1I vs]]</f>
        <v>1</v>
      </c>
      <c r="AA42" t="b">
        <f>R42=_R32Matchups[[#This Row],[1K vs]]</f>
        <v>1</v>
      </c>
      <c r="AB42" t="b">
        <f>S42=_R32Matchups[[#This Row],[1L vs]]</f>
        <v>1</v>
      </c>
    </row>
    <row r="43" spans="1:28" ht="14.4">
      <c r="A43" s="2" t="s">
        <v>60</v>
      </c>
      <c r="B43" s="2" t="s">
        <v>28</v>
      </c>
      <c r="C43" s="2" t="s">
        <v>15</v>
      </c>
      <c r="D43" s="2" t="s">
        <v>11</v>
      </c>
      <c r="E43" s="2" t="s">
        <v>19</v>
      </c>
      <c r="F43" s="2" t="s">
        <v>14</v>
      </c>
      <c r="G43" s="2" t="s">
        <v>13</v>
      </c>
      <c r="H43" s="2" t="s">
        <v>10</v>
      </c>
      <c r="I43" s="2" t="s">
        <v>17</v>
      </c>
      <c r="K43" t="s">
        <v>60</v>
      </c>
      <c r="L43" t="s">
        <v>28</v>
      </c>
      <c r="M43" t="s">
        <v>15</v>
      </c>
      <c r="N43" t="s">
        <v>11</v>
      </c>
      <c r="O43" t="s">
        <v>19</v>
      </c>
      <c r="P43" t="s">
        <v>14</v>
      </c>
      <c r="Q43" t="s">
        <v>13</v>
      </c>
      <c r="R43" t="s">
        <v>10</v>
      </c>
      <c r="S43" t="s">
        <v>17</v>
      </c>
      <c r="U43" t="b">
        <f>L43=_R32Matchups[[#This Row],[1A vs]]</f>
        <v>1</v>
      </c>
      <c r="V43" t="b">
        <f>M43=_R32Matchups[[#This Row],[1B vs]]</f>
        <v>1</v>
      </c>
      <c r="W43" t="b">
        <f>N43=_R32Matchups[[#This Row],[1D vs]]</f>
        <v>1</v>
      </c>
      <c r="X43" t="b">
        <f>O43=_R32Matchups[[#This Row],[1E vs]]</f>
        <v>1</v>
      </c>
      <c r="Y43" t="b">
        <f>P43=_R32Matchups[[#This Row],[1G vs]]</f>
        <v>1</v>
      </c>
      <c r="Z43" t="b">
        <f>Q43=_R32Matchups[[#This Row],[1I vs]]</f>
        <v>1</v>
      </c>
      <c r="AA43" t="b">
        <f>R43=_R32Matchups[[#This Row],[1K vs]]</f>
        <v>1</v>
      </c>
      <c r="AB43" t="b">
        <f>S43=_R32Matchups[[#This Row],[1L vs]]</f>
        <v>1</v>
      </c>
    </row>
    <row r="44" spans="1:28" ht="14.4">
      <c r="A44" s="2" t="s">
        <v>61</v>
      </c>
      <c r="B44" s="2" t="s">
        <v>28</v>
      </c>
      <c r="C44" s="2" t="s">
        <v>15</v>
      </c>
      <c r="D44" s="2" t="s">
        <v>10</v>
      </c>
      <c r="E44" s="2" t="s">
        <v>19</v>
      </c>
      <c r="F44" s="2" t="s">
        <v>14</v>
      </c>
      <c r="G44" s="2" t="s">
        <v>13</v>
      </c>
      <c r="H44" s="2" t="s">
        <v>16</v>
      </c>
      <c r="I44" s="2" t="s">
        <v>12</v>
      </c>
      <c r="K44" t="s">
        <v>61</v>
      </c>
      <c r="L44" t="s">
        <v>28</v>
      </c>
      <c r="M44" t="s">
        <v>15</v>
      </c>
      <c r="N44" t="s">
        <v>10</v>
      </c>
      <c r="O44" t="s">
        <v>19</v>
      </c>
      <c r="P44" t="s">
        <v>14</v>
      </c>
      <c r="Q44" t="s">
        <v>13</v>
      </c>
      <c r="R44" t="s">
        <v>16</v>
      </c>
      <c r="S44" t="s">
        <v>12</v>
      </c>
      <c r="U44" t="b">
        <f>L44=_R32Matchups[[#This Row],[1A vs]]</f>
        <v>1</v>
      </c>
      <c r="V44" t="b">
        <f>M44=_R32Matchups[[#This Row],[1B vs]]</f>
        <v>1</v>
      </c>
      <c r="W44" t="b">
        <f>N44=_R32Matchups[[#This Row],[1D vs]]</f>
        <v>1</v>
      </c>
      <c r="X44" t="b">
        <f>O44=_R32Matchups[[#This Row],[1E vs]]</f>
        <v>1</v>
      </c>
      <c r="Y44" t="b">
        <f>P44=_R32Matchups[[#This Row],[1G vs]]</f>
        <v>1</v>
      </c>
      <c r="Z44" t="b">
        <f>Q44=_R32Matchups[[#This Row],[1I vs]]</f>
        <v>1</v>
      </c>
      <c r="AA44" t="b">
        <f>R44=_R32Matchups[[#This Row],[1K vs]]</f>
        <v>1</v>
      </c>
      <c r="AB44" t="b">
        <f>S44=_R32Matchups[[#This Row],[1L vs]]</f>
        <v>1</v>
      </c>
    </row>
    <row r="45" spans="1:28" ht="14.4">
      <c r="A45" s="2" t="s">
        <v>62</v>
      </c>
      <c r="B45" s="2" t="s">
        <v>28</v>
      </c>
      <c r="C45" s="2" t="s">
        <v>15</v>
      </c>
      <c r="D45" s="2" t="s">
        <v>10</v>
      </c>
      <c r="E45" s="2" t="s">
        <v>19</v>
      </c>
      <c r="F45" s="2" t="s">
        <v>14</v>
      </c>
      <c r="G45" s="2" t="s">
        <v>13</v>
      </c>
      <c r="H45" s="2" t="s">
        <v>12</v>
      </c>
      <c r="I45" s="2" t="s">
        <v>17</v>
      </c>
      <c r="K45" t="s">
        <v>62</v>
      </c>
      <c r="L45" t="s">
        <v>28</v>
      </c>
      <c r="M45" t="s">
        <v>15</v>
      </c>
      <c r="N45" t="s">
        <v>10</v>
      </c>
      <c r="O45" t="s">
        <v>19</v>
      </c>
      <c r="P45" t="s">
        <v>14</v>
      </c>
      <c r="Q45" t="s">
        <v>13</v>
      </c>
      <c r="R45" t="s">
        <v>12</v>
      </c>
      <c r="S45" t="s">
        <v>17</v>
      </c>
      <c r="U45" t="b">
        <f>L45=_R32Matchups[[#This Row],[1A vs]]</f>
        <v>1</v>
      </c>
      <c r="V45" t="b">
        <f>M45=_R32Matchups[[#This Row],[1B vs]]</f>
        <v>1</v>
      </c>
      <c r="W45" t="b">
        <f>N45=_R32Matchups[[#This Row],[1D vs]]</f>
        <v>1</v>
      </c>
      <c r="X45" t="b">
        <f>O45=_R32Matchups[[#This Row],[1E vs]]</f>
        <v>1</v>
      </c>
      <c r="Y45" t="b">
        <f>P45=_R32Matchups[[#This Row],[1G vs]]</f>
        <v>1</v>
      </c>
      <c r="Z45" t="b">
        <f>Q45=_R32Matchups[[#This Row],[1I vs]]</f>
        <v>1</v>
      </c>
      <c r="AA45" t="b">
        <f>R45=_R32Matchups[[#This Row],[1K vs]]</f>
        <v>1</v>
      </c>
      <c r="AB45" t="b">
        <f>S45=_R32Matchups[[#This Row],[1L vs]]</f>
        <v>1</v>
      </c>
    </row>
    <row r="46" spans="1:28" ht="14.4">
      <c r="A46" s="2" t="s">
        <v>63</v>
      </c>
      <c r="B46" s="2" t="s">
        <v>28</v>
      </c>
      <c r="C46" s="2" t="s">
        <v>15</v>
      </c>
      <c r="D46" s="2" t="s">
        <v>11</v>
      </c>
      <c r="E46" s="2" t="s">
        <v>19</v>
      </c>
      <c r="F46" s="2" t="s">
        <v>14</v>
      </c>
      <c r="G46" s="2" t="s">
        <v>13</v>
      </c>
      <c r="H46" s="2" t="s">
        <v>10</v>
      </c>
      <c r="I46" s="2" t="s">
        <v>12</v>
      </c>
      <c r="K46" t="s">
        <v>63</v>
      </c>
      <c r="L46" t="s">
        <v>28</v>
      </c>
      <c r="M46" t="s">
        <v>15</v>
      </c>
      <c r="N46" t="s">
        <v>11</v>
      </c>
      <c r="O46" t="s">
        <v>19</v>
      </c>
      <c r="P46" t="s">
        <v>14</v>
      </c>
      <c r="Q46" t="s">
        <v>13</v>
      </c>
      <c r="R46" t="s">
        <v>10</v>
      </c>
      <c r="S46" t="s">
        <v>12</v>
      </c>
      <c r="U46" t="b">
        <f>L46=_R32Matchups[[#This Row],[1A vs]]</f>
        <v>1</v>
      </c>
      <c r="V46" t="b">
        <f>M46=_R32Matchups[[#This Row],[1B vs]]</f>
        <v>1</v>
      </c>
      <c r="W46" t="b">
        <f>N46=_R32Matchups[[#This Row],[1D vs]]</f>
        <v>1</v>
      </c>
      <c r="X46" t="b">
        <f>O46=_R32Matchups[[#This Row],[1E vs]]</f>
        <v>1</v>
      </c>
      <c r="Y46" t="b">
        <f>P46=_R32Matchups[[#This Row],[1G vs]]</f>
        <v>1</v>
      </c>
      <c r="Z46" t="b">
        <f>Q46=_R32Matchups[[#This Row],[1I vs]]</f>
        <v>1</v>
      </c>
      <c r="AA46" t="b">
        <f>R46=_R32Matchups[[#This Row],[1K vs]]</f>
        <v>1</v>
      </c>
      <c r="AB46" t="b">
        <f>S46=_R32Matchups[[#This Row],[1L vs]]</f>
        <v>1</v>
      </c>
    </row>
    <row r="47" spans="1:28" ht="14.4">
      <c r="A47" s="2" t="s">
        <v>64</v>
      </c>
      <c r="B47" s="2" t="s">
        <v>14</v>
      </c>
      <c r="C47" s="2" t="s">
        <v>11</v>
      </c>
      <c r="D47" s="2" t="s">
        <v>65</v>
      </c>
      <c r="E47" s="2" t="s">
        <v>13</v>
      </c>
      <c r="F47" s="2" t="s">
        <v>12</v>
      </c>
      <c r="G47" s="2" t="s">
        <v>15</v>
      </c>
      <c r="H47" s="2" t="s">
        <v>16</v>
      </c>
      <c r="I47" s="2" t="s">
        <v>17</v>
      </c>
      <c r="K47" t="s">
        <v>64</v>
      </c>
      <c r="L47" t="s">
        <v>14</v>
      </c>
      <c r="M47" t="s">
        <v>11</v>
      </c>
      <c r="N47" t="s">
        <v>65</v>
      </c>
      <c r="O47" t="s">
        <v>13</v>
      </c>
      <c r="P47" t="s">
        <v>12</v>
      </c>
      <c r="Q47" t="s">
        <v>15</v>
      </c>
      <c r="R47" t="s">
        <v>16</v>
      </c>
      <c r="S47" t="s">
        <v>17</v>
      </c>
      <c r="U47" t="b">
        <f>L47=_R32Matchups[[#This Row],[1A vs]]</f>
        <v>1</v>
      </c>
      <c r="V47" t="b">
        <f>M47=_R32Matchups[[#This Row],[1B vs]]</f>
        <v>1</v>
      </c>
      <c r="W47" t="b">
        <f>N47=_R32Matchups[[#This Row],[1D vs]]</f>
        <v>1</v>
      </c>
      <c r="X47" t="b">
        <f>O47=_R32Matchups[[#This Row],[1E vs]]</f>
        <v>1</v>
      </c>
      <c r="Y47" t="b">
        <f>P47=_R32Matchups[[#This Row],[1G vs]]</f>
        <v>1</v>
      </c>
      <c r="Z47" t="b">
        <f>Q47=_R32Matchups[[#This Row],[1I vs]]</f>
        <v>1</v>
      </c>
      <c r="AA47" t="b">
        <f>R47=_R32Matchups[[#This Row],[1K vs]]</f>
        <v>1</v>
      </c>
      <c r="AB47" t="b">
        <f>S47=_R32Matchups[[#This Row],[1L vs]]</f>
        <v>1</v>
      </c>
    </row>
    <row r="48" spans="1:28" ht="14.4">
      <c r="A48" s="2" t="s">
        <v>66</v>
      </c>
      <c r="B48" s="2" t="s">
        <v>10</v>
      </c>
      <c r="C48" s="2" t="s">
        <v>11</v>
      </c>
      <c r="D48" s="2" t="s">
        <v>12</v>
      </c>
      <c r="E48" s="2" t="s">
        <v>65</v>
      </c>
      <c r="F48" s="2" t="s">
        <v>14</v>
      </c>
      <c r="G48" s="2" t="s">
        <v>15</v>
      </c>
      <c r="H48" s="2" t="s">
        <v>16</v>
      </c>
      <c r="I48" s="2" t="s">
        <v>17</v>
      </c>
      <c r="K48" t="s">
        <v>66</v>
      </c>
      <c r="L48" t="s">
        <v>10</v>
      </c>
      <c r="M48" t="s">
        <v>11</v>
      </c>
      <c r="N48" t="s">
        <v>12</v>
      </c>
      <c r="O48" t="s">
        <v>65</v>
      </c>
      <c r="P48" t="s">
        <v>14</v>
      </c>
      <c r="Q48" t="s">
        <v>15</v>
      </c>
      <c r="R48" t="s">
        <v>16</v>
      </c>
      <c r="S48" t="s">
        <v>17</v>
      </c>
      <c r="U48" t="b">
        <f>L48=_R32Matchups[[#This Row],[1A vs]]</f>
        <v>1</v>
      </c>
      <c r="V48" t="b">
        <f>M48=_R32Matchups[[#This Row],[1B vs]]</f>
        <v>1</v>
      </c>
      <c r="W48" t="b">
        <f>N48=_R32Matchups[[#This Row],[1D vs]]</f>
        <v>1</v>
      </c>
      <c r="X48" t="b">
        <f>O48=_R32Matchups[[#This Row],[1E vs]]</f>
        <v>1</v>
      </c>
      <c r="Y48" t="b">
        <f>P48=_R32Matchups[[#This Row],[1G vs]]</f>
        <v>1</v>
      </c>
      <c r="Z48" t="b">
        <f>Q48=_R32Matchups[[#This Row],[1I vs]]</f>
        <v>1</v>
      </c>
      <c r="AA48" t="b">
        <f>R48=_R32Matchups[[#This Row],[1K vs]]</f>
        <v>1</v>
      </c>
      <c r="AB48" t="b">
        <f>S48=_R32Matchups[[#This Row],[1L vs]]</f>
        <v>1</v>
      </c>
    </row>
    <row r="49" spans="1:28" ht="14.4">
      <c r="A49" s="2" t="s">
        <v>67</v>
      </c>
      <c r="B49" s="2" t="s">
        <v>10</v>
      </c>
      <c r="C49" s="2" t="s">
        <v>11</v>
      </c>
      <c r="D49" s="2" t="s">
        <v>65</v>
      </c>
      <c r="E49" s="2" t="s">
        <v>13</v>
      </c>
      <c r="F49" s="2" t="s">
        <v>12</v>
      </c>
      <c r="G49" s="2" t="s">
        <v>14</v>
      </c>
      <c r="H49" s="2" t="s">
        <v>16</v>
      </c>
      <c r="I49" s="2" t="s">
        <v>17</v>
      </c>
      <c r="K49" t="s">
        <v>67</v>
      </c>
      <c r="L49" t="s">
        <v>10</v>
      </c>
      <c r="M49" t="s">
        <v>11</v>
      </c>
      <c r="N49" t="s">
        <v>65</v>
      </c>
      <c r="O49" t="s">
        <v>13</v>
      </c>
      <c r="P49" t="s">
        <v>12</v>
      </c>
      <c r="Q49" t="s">
        <v>14</v>
      </c>
      <c r="R49" t="s">
        <v>16</v>
      </c>
      <c r="S49" t="s">
        <v>17</v>
      </c>
      <c r="U49" t="b">
        <f>L49=_R32Matchups[[#This Row],[1A vs]]</f>
        <v>1</v>
      </c>
      <c r="V49" t="b">
        <f>M49=_R32Matchups[[#This Row],[1B vs]]</f>
        <v>1</v>
      </c>
      <c r="W49" t="b">
        <f>N49=_R32Matchups[[#This Row],[1D vs]]</f>
        <v>1</v>
      </c>
      <c r="X49" t="b">
        <f>O49=_R32Matchups[[#This Row],[1E vs]]</f>
        <v>1</v>
      </c>
      <c r="Y49" t="b">
        <f>P49=_R32Matchups[[#This Row],[1G vs]]</f>
        <v>1</v>
      </c>
      <c r="Z49" t="b">
        <f>Q49=_R32Matchups[[#This Row],[1I vs]]</f>
        <v>1</v>
      </c>
      <c r="AA49" t="b">
        <f>R49=_R32Matchups[[#This Row],[1K vs]]</f>
        <v>1</v>
      </c>
      <c r="AB49" t="b">
        <f>S49=_R32Matchups[[#This Row],[1L vs]]</f>
        <v>1</v>
      </c>
    </row>
    <row r="50" spans="1:28" ht="14.4">
      <c r="A50" s="2" t="s">
        <v>68</v>
      </c>
      <c r="B50" s="2" t="s">
        <v>10</v>
      </c>
      <c r="C50" s="2" t="s">
        <v>11</v>
      </c>
      <c r="D50" s="2" t="s">
        <v>65</v>
      </c>
      <c r="E50" s="2" t="s">
        <v>13</v>
      </c>
      <c r="F50" s="2" t="s">
        <v>12</v>
      </c>
      <c r="G50" s="2" t="s">
        <v>15</v>
      </c>
      <c r="H50" s="2" t="s">
        <v>16</v>
      </c>
      <c r="I50" s="2" t="s">
        <v>17</v>
      </c>
      <c r="K50" t="s">
        <v>68</v>
      </c>
      <c r="L50" t="s">
        <v>10</v>
      </c>
      <c r="M50" t="s">
        <v>11</v>
      </c>
      <c r="N50" t="s">
        <v>65</v>
      </c>
      <c r="O50" t="s">
        <v>13</v>
      </c>
      <c r="P50" t="s">
        <v>12</v>
      </c>
      <c r="Q50" t="s">
        <v>15</v>
      </c>
      <c r="R50" t="s">
        <v>16</v>
      </c>
      <c r="S50" t="s">
        <v>17</v>
      </c>
      <c r="U50" t="b">
        <f>L50=_R32Matchups[[#This Row],[1A vs]]</f>
        <v>1</v>
      </c>
      <c r="V50" t="b">
        <f>M50=_R32Matchups[[#This Row],[1B vs]]</f>
        <v>1</v>
      </c>
      <c r="W50" t="b">
        <f>N50=_R32Matchups[[#This Row],[1D vs]]</f>
        <v>1</v>
      </c>
      <c r="X50" t="b">
        <f>O50=_R32Matchups[[#This Row],[1E vs]]</f>
        <v>1</v>
      </c>
      <c r="Y50" t="b">
        <f>P50=_R32Matchups[[#This Row],[1G vs]]</f>
        <v>1</v>
      </c>
      <c r="Z50" t="b">
        <f>Q50=_R32Matchups[[#This Row],[1I vs]]</f>
        <v>1</v>
      </c>
      <c r="AA50" t="b">
        <f>R50=_R32Matchups[[#This Row],[1K vs]]</f>
        <v>1</v>
      </c>
      <c r="AB50" t="b">
        <f>S50=_R32Matchups[[#This Row],[1L vs]]</f>
        <v>1</v>
      </c>
    </row>
    <row r="51" spans="1:28" ht="14.4">
      <c r="A51" s="2" t="s">
        <v>69</v>
      </c>
      <c r="B51" s="2" t="s">
        <v>10</v>
      </c>
      <c r="C51" s="2" t="s">
        <v>11</v>
      </c>
      <c r="D51" s="2" t="s">
        <v>65</v>
      </c>
      <c r="E51" s="2" t="s">
        <v>13</v>
      </c>
      <c r="F51" s="2" t="s">
        <v>14</v>
      </c>
      <c r="G51" s="2" t="s">
        <v>15</v>
      </c>
      <c r="H51" s="2" t="s">
        <v>16</v>
      </c>
      <c r="I51" s="2" t="s">
        <v>17</v>
      </c>
      <c r="K51" t="s">
        <v>69</v>
      </c>
      <c r="L51" t="s">
        <v>10</v>
      </c>
      <c r="M51" t="s">
        <v>11</v>
      </c>
      <c r="N51" t="s">
        <v>65</v>
      </c>
      <c r="O51" t="s">
        <v>13</v>
      </c>
      <c r="P51" t="s">
        <v>14</v>
      </c>
      <c r="Q51" t="s">
        <v>15</v>
      </c>
      <c r="R51" t="s">
        <v>16</v>
      </c>
      <c r="S51" t="s">
        <v>17</v>
      </c>
      <c r="U51" t="b">
        <f>L51=_R32Matchups[[#This Row],[1A vs]]</f>
        <v>1</v>
      </c>
      <c r="V51" t="b">
        <f>M51=_R32Matchups[[#This Row],[1B vs]]</f>
        <v>1</v>
      </c>
      <c r="W51" t="b">
        <f>N51=_R32Matchups[[#This Row],[1D vs]]</f>
        <v>1</v>
      </c>
      <c r="X51" t="b">
        <f>O51=_R32Matchups[[#This Row],[1E vs]]</f>
        <v>1</v>
      </c>
      <c r="Y51" t="b">
        <f>P51=_R32Matchups[[#This Row],[1G vs]]</f>
        <v>1</v>
      </c>
      <c r="Z51" t="b">
        <f>Q51=_R32Matchups[[#This Row],[1I vs]]</f>
        <v>1</v>
      </c>
      <c r="AA51" t="b">
        <f>R51=_R32Matchups[[#This Row],[1K vs]]</f>
        <v>1</v>
      </c>
      <c r="AB51" t="b">
        <f>S51=_R32Matchups[[#This Row],[1L vs]]</f>
        <v>1</v>
      </c>
    </row>
    <row r="52" spans="1:28" ht="14.4">
      <c r="A52" s="2" t="s">
        <v>70</v>
      </c>
      <c r="B52" s="2" t="s">
        <v>10</v>
      </c>
      <c r="C52" s="2" t="s">
        <v>15</v>
      </c>
      <c r="D52" s="2" t="s">
        <v>65</v>
      </c>
      <c r="E52" s="2" t="s">
        <v>13</v>
      </c>
      <c r="F52" s="2" t="s">
        <v>12</v>
      </c>
      <c r="G52" s="2" t="s">
        <v>14</v>
      </c>
      <c r="H52" s="2" t="s">
        <v>16</v>
      </c>
      <c r="I52" s="2" t="s">
        <v>17</v>
      </c>
      <c r="K52" t="s">
        <v>70</v>
      </c>
      <c r="L52" t="s">
        <v>10</v>
      </c>
      <c r="M52" t="s">
        <v>15</v>
      </c>
      <c r="N52" t="s">
        <v>65</v>
      </c>
      <c r="O52" t="s">
        <v>13</v>
      </c>
      <c r="P52" t="s">
        <v>12</v>
      </c>
      <c r="Q52" t="s">
        <v>14</v>
      </c>
      <c r="R52" t="s">
        <v>16</v>
      </c>
      <c r="S52" t="s">
        <v>17</v>
      </c>
      <c r="U52" t="b">
        <f>L52=_R32Matchups[[#This Row],[1A vs]]</f>
        <v>1</v>
      </c>
      <c r="V52" t="b">
        <f>M52=_R32Matchups[[#This Row],[1B vs]]</f>
        <v>1</v>
      </c>
      <c r="W52" t="b">
        <f>N52=_R32Matchups[[#This Row],[1D vs]]</f>
        <v>1</v>
      </c>
      <c r="X52" t="b">
        <f>O52=_R32Matchups[[#This Row],[1E vs]]</f>
        <v>1</v>
      </c>
      <c r="Y52" t="b">
        <f>P52=_R32Matchups[[#This Row],[1G vs]]</f>
        <v>1</v>
      </c>
      <c r="Z52" t="b">
        <f>Q52=_R32Matchups[[#This Row],[1I vs]]</f>
        <v>1</v>
      </c>
      <c r="AA52" t="b">
        <f>R52=_R32Matchups[[#This Row],[1K vs]]</f>
        <v>1</v>
      </c>
      <c r="AB52" t="b">
        <f>S52=_R32Matchups[[#This Row],[1L vs]]</f>
        <v>1</v>
      </c>
    </row>
    <row r="53" spans="1:28" ht="14.4">
      <c r="A53" s="2" t="s">
        <v>71</v>
      </c>
      <c r="B53" s="2" t="s">
        <v>10</v>
      </c>
      <c r="C53" s="2" t="s">
        <v>11</v>
      </c>
      <c r="D53" s="2" t="s">
        <v>65</v>
      </c>
      <c r="E53" s="2" t="s">
        <v>13</v>
      </c>
      <c r="F53" s="2" t="s">
        <v>14</v>
      </c>
      <c r="G53" s="2" t="s">
        <v>15</v>
      </c>
      <c r="H53" s="2" t="s">
        <v>16</v>
      </c>
      <c r="I53" s="2" t="s">
        <v>12</v>
      </c>
      <c r="K53" t="s">
        <v>71</v>
      </c>
      <c r="L53" t="s">
        <v>10</v>
      </c>
      <c r="M53" t="s">
        <v>11</v>
      </c>
      <c r="N53" t="s">
        <v>65</v>
      </c>
      <c r="O53" t="s">
        <v>13</v>
      </c>
      <c r="P53" t="s">
        <v>14</v>
      </c>
      <c r="Q53" t="s">
        <v>15</v>
      </c>
      <c r="R53" t="s">
        <v>16</v>
      </c>
      <c r="S53" t="s">
        <v>12</v>
      </c>
      <c r="U53" t="b">
        <f>L53=_R32Matchups[[#This Row],[1A vs]]</f>
        <v>1</v>
      </c>
      <c r="V53" t="b">
        <f>M53=_R32Matchups[[#This Row],[1B vs]]</f>
        <v>1</v>
      </c>
      <c r="W53" t="b">
        <f>N53=_R32Matchups[[#This Row],[1D vs]]</f>
        <v>1</v>
      </c>
      <c r="X53" t="b">
        <f>O53=_R32Matchups[[#This Row],[1E vs]]</f>
        <v>1</v>
      </c>
      <c r="Y53" t="b">
        <f>P53=_R32Matchups[[#This Row],[1G vs]]</f>
        <v>1</v>
      </c>
      <c r="Z53" t="b">
        <f>Q53=_R32Matchups[[#This Row],[1I vs]]</f>
        <v>1</v>
      </c>
      <c r="AA53" t="b">
        <f>R53=_R32Matchups[[#This Row],[1K vs]]</f>
        <v>1</v>
      </c>
      <c r="AB53" t="b">
        <f>S53=_R32Matchups[[#This Row],[1L vs]]</f>
        <v>1</v>
      </c>
    </row>
    <row r="54" spans="1:28" ht="14.4">
      <c r="A54" s="2" t="s">
        <v>72</v>
      </c>
      <c r="B54" s="2" t="s">
        <v>10</v>
      </c>
      <c r="C54" s="2" t="s">
        <v>11</v>
      </c>
      <c r="D54" s="2" t="s">
        <v>65</v>
      </c>
      <c r="E54" s="2" t="s">
        <v>13</v>
      </c>
      <c r="F54" s="2" t="s">
        <v>14</v>
      </c>
      <c r="G54" s="2" t="s">
        <v>15</v>
      </c>
      <c r="H54" s="2" t="s">
        <v>12</v>
      </c>
      <c r="I54" s="2" t="s">
        <v>17</v>
      </c>
      <c r="K54" t="s">
        <v>72</v>
      </c>
      <c r="L54" t="s">
        <v>10</v>
      </c>
      <c r="M54" t="s">
        <v>11</v>
      </c>
      <c r="N54" t="s">
        <v>65</v>
      </c>
      <c r="O54" t="s">
        <v>13</v>
      </c>
      <c r="P54" t="s">
        <v>14</v>
      </c>
      <c r="Q54" t="s">
        <v>15</v>
      </c>
      <c r="R54" t="s">
        <v>12</v>
      </c>
      <c r="S54" t="s">
        <v>17</v>
      </c>
      <c r="U54" t="b">
        <f>L54=_R32Matchups[[#This Row],[1A vs]]</f>
        <v>1</v>
      </c>
      <c r="V54" t="b">
        <f>M54=_R32Matchups[[#This Row],[1B vs]]</f>
        <v>1</v>
      </c>
      <c r="W54" t="b">
        <f>N54=_R32Matchups[[#This Row],[1D vs]]</f>
        <v>1</v>
      </c>
      <c r="X54" t="b">
        <f>O54=_R32Matchups[[#This Row],[1E vs]]</f>
        <v>1</v>
      </c>
      <c r="Y54" t="b">
        <f>P54=_R32Matchups[[#This Row],[1G vs]]</f>
        <v>1</v>
      </c>
      <c r="Z54" t="b">
        <f>Q54=_R32Matchups[[#This Row],[1I vs]]</f>
        <v>1</v>
      </c>
      <c r="AA54" t="b">
        <f>R54=_R32Matchups[[#This Row],[1K vs]]</f>
        <v>1</v>
      </c>
      <c r="AB54" t="b">
        <f>S54=_R32Matchups[[#This Row],[1L vs]]</f>
        <v>1</v>
      </c>
    </row>
    <row r="55" spans="1:28" ht="14.4">
      <c r="A55" s="2" t="s">
        <v>73</v>
      </c>
      <c r="B55" s="2" t="s">
        <v>14</v>
      </c>
      <c r="C55" s="2" t="s">
        <v>11</v>
      </c>
      <c r="D55" s="2" t="s">
        <v>65</v>
      </c>
      <c r="E55" s="2" t="s">
        <v>19</v>
      </c>
      <c r="F55" s="2" t="s">
        <v>12</v>
      </c>
      <c r="G55" s="2" t="s">
        <v>15</v>
      </c>
      <c r="H55" s="2" t="s">
        <v>16</v>
      </c>
      <c r="I55" s="2" t="s">
        <v>17</v>
      </c>
      <c r="K55" t="s">
        <v>73</v>
      </c>
      <c r="L55" t="s">
        <v>14</v>
      </c>
      <c r="M55" t="s">
        <v>11</v>
      </c>
      <c r="N55" t="s">
        <v>65</v>
      </c>
      <c r="O55" t="s">
        <v>19</v>
      </c>
      <c r="P55" t="s">
        <v>12</v>
      </c>
      <c r="Q55" t="s">
        <v>15</v>
      </c>
      <c r="R55" t="s">
        <v>16</v>
      </c>
      <c r="S55" t="s">
        <v>17</v>
      </c>
      <c r="U55" t="b">
        <f>L55=_R32Matchups[[#This Row],[1A vs]]</f>
        <v>1</v>
      </c>
      <c r="V55" t="b">
        <f>M55=_R32Matchups[[#This Row],[1B vs]]</f>
        <v>1</v>
      </c>
      <c r="W55" t="b">
        <f>N55=_R32Matchups[[#This Row],[1D vs]]</f>
        <v>1</v>
      </c>
      <c r="X55" t="b">
        <f>O55=_R32Matchups[[#This Row],[1E vs]]</f>
        <v>1</v>
      </c>
      <c r="Y55" t="b">
        <f>P55=_R32Matchups[[#This Row],[1G vs]]</f>
        <v>1</v>
      </c>
      <c r="Z55" t="b">
        <f>Q55=_R32Matchups[[#This Row],[1I vs]]</f>
        <v>1</v>
      </c>
      <c r="AA55" t="b">
        <f>R55=_R32Matchups[[#This Row],[1K vs]]</f>
        <v>1</v>
      </c>
      <c r="AB55" t="b">
        <f>S55=_R32Matchups[[#This Row],[1L vs]]</f>
        <v>1</v>
      </c>
    </row>
    <row r="56" spans="1:28" ht="14.4">
      <c r="A56" s="2" t="s">
        <v>74</v>
      </c>
      <c r="B56" s="2" t="s">
        <v>14</v>
      </c>
      <c r="C56" s="2" t="s">
        <v>11</v>
      </c>
      <c r="D56" s="2" t="s">
        <v>65</v>
      </c>
      <c r="E56" s="2" t="s">
        <v>19</v>
      </c>
      <c r="F56" s="2" t="s">
        <v>12</v>
      </c>
      <c r="G56" s="2" t="s">
        <v>13</v>
      </c>
      <c r="H56" s="2" t="s">
        <v>16</v>
      </c>
      <c r="I56" s="2" t="s">
        <v>17</v>
      </c>
      <c r="K56" t="s">
        <v>74</v>
      </c>
      <c r="L56" t="s">
        <v>14</v>
      </c>
      <c r="M56" t="s">
        <v>11</v>
      </c>
      <c r="N56" t="s">
        <v>65</v>
      </c>
      <c r="O56" t="s">
        <v>19</v>
      </c>
      <c r="P56" t="s">
        <v>12</v>
      </c>
      <c r="Q56" t="s">
        <v>13</v>
      </c>
      <c r="R56" t="s">
        <v>16</v>
      </c>
      <c r="S56" t="s">
        <v>17</v>
      </c>
      <c r="U56" t="b">
        <f>L56=_R32Matchups[[#This Row],[1A vs]]</f>
        <v>1</v>
      </c>
      <c r="V56" t="b">
        <f>M56=_R32Matchups[[#This Row],[1B vs]]</f>
        <v>1</v>
      </c>
      <c r="W56" t="b">
        <f>N56=_R32Matchups[[#This Row],[1D vs]]</f>
        <v>1</v>
      </c>
      <c r="X56" t="b">
        <f>O56=_R32Matchups[[#This Row],[1E vs]]</f>
        <v>1</v>
      </c>
      <c r="Y56" t="b">
        <f>P56=_R32Matchups[[#This Row],[1G vs]]</f>
        <v>1</v>
      </c>
      <c r="Z56" t="b">
        <f>Q56=_R32Matchups[[#This Row],[1I vs]]</f>
        <v>1</v>
      </c>
      <c r="AA56" t="b">
        <f>R56=_R32Matchups[[#This Row],[1K vs]]</f>
        <v>1</v>
      </c>
      <c r="AB56" t="b">
        <f>S56=_R32Matchups[[#This Row],[1L vs]]</f>
        <v>1</v>
      </c>
    </row>
    <row r="57" spans="1:28" ht="14.4">
      <c r="A57" s="2" t="s">
        <v>75</v>
      </c>
      <c r="B57" s="2" t="s">
        <v>12</v>
      </c>
      <c r="C57" s="2" t="s">
        <v>15</v>
      </c>
      <c r="D57" s="2" t="s">
        <v>65</v>
      </c>
      <c r="E57" s="2" t="s">
        <v>19</v>
      </c>
      <c r="F57" s="2" t="s">
        <v>11</v>
      </c>
      <c r="G57" s="2" t="s">
        <v>13</v>
      </c>
      <c r="H57" s="2" t="s">
        <v>16</v>
      </c>
      <c r="I57" s="2" t="s">
        <v>17</v>
      </c>
      <c r="K57" t="s">
        <v>75</v>
      </c>
      <c r="L57" t="s">
        <v>12</v>
      </c>
      <c r="M57" t="s">
        <v>15</v>
      </c>
      <c r="N57" t="s">
        <v>65</v>
      </c>
      <c r="O57" t="s">
        <v>19</v>
      </c>
      <c r="P57" t="s">
        <v>11</v>
      </c>
      <c r="Q57" t="s">
        <v>13</v>
      </c>
      <c r="R57" t="s">
        <v>16</v>
      </c>
      <c r="S57" t="s">
        <v>17</v>
      </c>
      <c r="U57" t="b">
        <f>L57=_R32Matchups[[#This Row],[1A vs]]</f>
        <v>1</v>
      </c>
      <c r="V57" t="b">
        <f>M57=_R32Matchups[[#This Row],[1B vs]]</f>
        <v>1</v>
      </c>
      <c r="W57" t="b">
        <f>N57=_R32Matchups[[#This Row],[1D vs]]</f>
        <v>1</v>
      </c>
      <c r="X57" t="b">
        <f>O57=_R32Matchups[[#This Row],[1E vs]]</f>
        <v>1</v>
      </c>
      <c r="Y57" t="b">
        <f>P57=_R32Matchups[[#This Row],[1G vs]]</f>
        <v>1</v>
      </c>
      <c r="Z57" t="b">
        <f>Q57=_R32Matchups[[#This Row],[1I vs]]</f>
        <v>1</v>
      </c>
      <c r="AA57" t="b">
        <f>R57=_R32Matchups[[#This Row],[1K vs]]</f>
        <v>1</v>
      </c>
      <c r="AB57" t="b">
        <f>S57=_R32Matchups[[#This Row],[1L vs]]</f>
        <v>1</v>
      </c>
    </row>
    <row r="58" spans="1:28" ht="14.4">
      <c r="A58" s="2" t="s">
        <v>76</v>
      </c>
      <c r="B58" s="2" t="s">
        <v>14</v>
      </c>
      <c r="C58" s="2" t="s">
        <v>15</v>
      </c>
      <c r="D58" s="2" t="s">
        <v>65</v>
      </c>
      <c r="E58" s="2" t="s">
        <v>19</v>
      </c>
      <c r="F58" s="2" t="s">
        <v>11</v>
      </c>
      <c r="G58" s="2" t="s">
        <v>13</v>
      </c>
      <c r="H58" s="2" t="s">
        <v>16</v>
      </c>
      <c r="I58" s="2" t="s">
        <v>17</v>
      </c>
      <c r="K58" t="s">
        <v>76</v>
      </c>
      <c r="L58" t="s">
        <v>14</v>
      </c>
      <c r="M58" t="s">
        <v>15</v>
      </c>
      <c r="N58" t="s">
        <v>65</v>
      </c>
      <c r="O58" t="s">
        <v>19</v>
      </c>
      <c r="P58" t="s">
        <v>11</v>
      </c>
      <c r="Q58" t="s">
        <v>13</v>
      </c>
      <c r="R58" t="s">
        <v>16</v>
      </c>
      <c r="S58" t="s">
        <v>17</v>
      </c>
      <c r="U58" t="b">
        <f>L58=_R32Matchups[[#This Row],[1A vs]]</f>
        <v>1</v>
      </c>
      <c r="V58" t="b">
        <f>M58=_R32Matchups[[#This Row],[1B vs]]</f>
        <v>1</v>
      </c>
      <c r="W58" t="b">
        <f>N58=_R32Matchups[[#This Row],[1D vs]]</f>
        <v>1</v>
      </c>
      <c r="X58" t="b">
        <f>O58=_R32Matchups[[#This Row],[1E vs]]</f>
        <v>1</v>
      </c>
      <c r="Y58" t="b">
        <f>P58=_R32Matchups[[#This Row],[1G vs]]</f>
        <v>1</v>
      </c>
      <c r="Z58" t="b">
        <f>Q58=_R32Matchups[[#This Row],[1I vs]]</f>
        <v>1</v>
      </c>
      <c r="AA58" t="b">
        <f>R58=_R32Matchups[[#This Row],[1K vs]]</f>
        <v>1</v>
      </c>
      <c r="AB58" t="b">
        <f>S58=_R32Matchups[[#This Row],[1L vs]]</f>
        <v>1</v>
      </c>
    </row>
    <row r="59" spans="1:28" ht="14.4">
      <c r="A59" s="2" t="s">
        <v>77</v>
      </c>
      <c r="B59" s="2" t="s">
        <v>14</v>
      </c>
      <c r="C59" s="2" t="s">
        <v>15</v>
      </c>
      <c r="D59" s="2" t="s">
        <v>65</v>
      </c>
      <c r="E59" s="2" t="s">
        <v>19</v>
      </c>
      <c r="F59" s="2" t="s">
        <v>12</v>
      </c>
      <c r="G59" s="2" t="s">
        <v>13</v>
      </c>
      <c r="H59" s="2" t="s">
        <v>16</v>
      </c>
      <c r="I59" s="2" t="s">
        <v>17</v>
      </c>
      <c r="K59" t="s">
        <v>77</v>
      </c>
      <c r="L59" t="s">
        <v>14</v>
      </c>
      <c r="M59" t="s">
        <v>15</v>
      </c>
      <c r="N59" t="s">
        <v>65</v>
      </c>
      <c r="O59" t="s">
        <v>19</v>
      </c>
      <c r="P59" t="s">
        <v>12</v>
      </c>
      <c r="Q59" t="s">
        <v>13</v>
      </c>
      <c r="R59" t="s">
        <v>16</v>
      </c>
      <c r="S59" t="s">
        <v>17</v>
      </c>
      <c r="U59" t="b">
        <f>L59=_R32Matchups[[#This Row],[1A vs]]</f>
        <v>1</v>
      </c>
      <c r="V59" t="b">
        <f>M59=_R32Matchups[[#This Row],[1B vs]]</f>
        <v>1</v>
      </c>
      <c r="W59" t="b">
        <f>N59=_R32Matchups[[#This Row],[1D vs]]</f>
        <v>1</v>
      </c>
      <c r="X59" t="b">
        <f>O59=_R32Matchups[[#This Row],[1E vs]]</f>
        <v>1</v>
      </c>
      <c r="Y59" t="b">
        <f>P59=_R32Matchups[[#This Row],[1G vs]]</f>
        <v>1</v>
      </c>
      <c r="Z59" t="b">
        <f>Q59=_R32Matchups[[#This Row],[1I vs]]</f>
        <v>1</v>
      </c>
      <c r="AA59" t="b">
        <f>R59=_R32Matchups[[#This Row],[1K vs]]</f>
        <v>1</v>
      </c>
      <c r="AB59" t="b">
        <f>S59=_R32Matchups[[#This Row],[1L vs]]</f>
        <v>1</v>
      </c>
    </row>
    <row r="60" spans="1:28" ht="14.4">
      <c r="A60" s="2" t="s">
        <v>78</v>
      </c>
      <c r="B60" s="2" t="s">
        <v>14</v>
      </c>
      <c r="C60" s="2" t="s">
        <v>15</v>
      </c>
      <c r="D60" s="2" t="s">
        <v>65</v>
      </c>
      <c r="E60" s="2" t="s">
        <v>19</v>
      </c>
      <c r="F60" s="2" t="s">
        <v>11</v>
      </c>
      <c r="G60" s="2" t="s">
        <v>13</v>
      </c>
      <c r="H60" s="2" t="s">
        <v>16</v>
      </c>
      <c r="I60" s="2" t="s">
        <v>12</v>
      </c>
      <c r="K60" t="s">
        <v>78</v>
      </c>
      <c r="L60" t="s">
        <v>14</v>
      </c>
      <c r="M60" t="s">
        <v>15</v>
      </c>
      <c r="N60" t="s">
        <v>65</v>
      </c>
      <c r="O60" t="s">
        <v>19</v>
      </c>
      <c r="P60" t="s">
        <v>11</v>
      </c>
      <c r="Q60" t="s">
        <v>13</v>
      </c>
      <c r="R60" t="s">
        <v>16</v>
      </c>
      <c r="S60" t="s">
        <v>12</v>
      </c>
      <c r="U60" t="b">
        <f>L60=_R32Matchups[[#This Row],[1A vs]]</f>
        <v>1</v>
      </c>
      <c r="V60" t="b">
        <f>M60=_R32Matchups[[#This Row],[1B vs]]</f>
        <v>1</v>
      </c>
      <c r="W60" t="b">
        <f>N60=_R32Matchups[[#This Row],[1D vs]]</f>
        <v>1</v>
      </c>
      <c r="X60" t="b">
        <f>O60=_R32Matchups[[#This Row],[1E vs]]</f>
        <v>1</v>
      </c>
      <c r="Y60" t="b">
        <f>P60=_R32Matchups[[#This Row],[1G vs]]</f>
        <v>1</v>
      </c>
      <c r="Z60" t="b">
        <f>Q60=_R32Matchups[[#This Row],[1I vs]]</f>
        <v>1</v>
      </c>
      <c r="AA60" t="b">
        <f>R60=_R32Matchups[[#This Row],[1K vs]]</f>
        <v>1</v>
      </c>
      <c r="AB60" t="b">
        <f>S60=_R32Matchups[[#This Row],[1L vs]]</f>
        <v>1</v>
      </c>
    </row>
    <row r="61" spans="1:28" ht="14.4">
      <c r="A61" s="2" t="s">
        <v>79</v>
      </c>
      <c r="B61" s="2" t="s">
        <v>14</v>
      </c>
      <c r="C61" s="2" t="s">
        <v>15</v>
      </c>
      <c r="D61" s="2" t="s">
        <v>65</v>
      </c>
      <c r="E61" s="2" t="s">
        <v>19</v>
      </c>
      <c r="F61" s="2" t="s">
        <v>11</v>
      </c>
      <c r="G61" s="2" t="s">
        <v>13</v>
      </c>
      <c r="H61" s="2" t="s">
        <v>12</v>
      </c>
      <c r="I61" s="2" t="s">
        <v>17</v>
      </c>
      <c r="K61" t="s">
        <v>79</v>
      </c>
      <c r="L61" t="s">
        <v>14</v>
      </c>
      <c r="M61" t="s">
        <v>15</v>
      </c>
      <c r="N61" t="s">
        <v>65</v>
      </c>
      <c r="O61" t="s">
        <v>19</v>
      </c>
      <c r="P61" t="s">
        <v>11</v>
      </c>
      <c r="Q61" t="s">
        <v>13</v>
      </c>
      <c r="R61" t="s">
        <v>12</v>
      </c>
      <c r="S61" t="s">
        <v>17</v>
      </c>
      <c r="U61" t="b">
        <f>L61=_R32Matchups[[#This Row],[1A vs]]</f>
        <v>1</v>
      </c>
      <c r="V61" t="b">
        <f>M61=_R32Matchups[[#This Row],[1B vs]]</f>
        <v>1</v>
      </c>
      <c r="W61" t="b">
        <f>N61=_R32Matchups[[#This Row],[1D vs]]</f>
        <v>1</v>
      </c>
      <c r="X61" t="b">
        <f>O61=_R32Matchups[[#This Row],[1E vs]]</f>
        <v>1</v>
      </c>
      <c r="Y61" t="b">
        <f>P61=_R32Matchups[[#This Row],[1G vs]]</f>
        <v>1</v>
      </c>
      <c r="Z61" t="b">
        <f>Q61=_R32Matchups[[#This Row],[1I vs]]</f>
        <v>1</v>
      </c>
      <c r="AA61" t="b">
        <f>R61=_R32Matchups[[#This Row],[1K vs]]</f>
        <v>1</v>
      </c>
      <c r="AB61" t="b">
        <f>S61=_R32Matchups[[#This Row],[1L vs]]</f>
        <v>1</v>
      </c>
    </row>
    <row r="62" spans="1:28" ht="14.4">
      <c r="A62" s="2" t="s">
        <v>80</v>
      </c>
      <c r="B62" s="2" t="s">
        <v>10</v>
      </c>
      <c r="C62" s="2" t="s">
        <v>11</v>
      </c>
      <c r="D62" s="2" t="s">
        <v>65</v>
      </c>
      <c r="E62" s="2" t="s">
        <v>19</v>
      </c>
      <c r="F62" s="2" t="s">
        <v>12</v>
      </c>
      <c r="G62" s="2" t="s">
        <v>14</v>
      </c>
      <c r="H62" s="2" t="s">
        <v>16</v>
      </c>
      <c r="I62" s="2" t="s">
        <v>17</v>
      </c>
      <c r="K62" t="s">
        <v>80</v>
      </c>
      <c r="L62" t="s">
        <v>10</v>
      </c>
      <c r="M62" t="s">
        <v>11</v>
      </c>
      <c r="N62" t="s">
        <v>65</v>
      </c>
      <c r="O62" t="s">
        <v>19</v>
      </c>
      <c r="P62" t="s">
        <v>12</v>
      </c>
      <c r="Q62" t="s">
        <v>14</v>
      </c>
      <c r="R62" t="s">
        <v>16</v>
      </c>
      <c r="S62" t="s">
        <v>17</v>
      </c>
      <c r="U62" t="b">
        <f>L62=_R32Matchups[[#This Row],[1A vs]]</f>
        <v>1</v>
      </c>
      <c r="V62" t="b">
        <f>M62=_R32Matchups[[#This Row],[1B vs]]</f>
        <v>1</v>
      </c>
      <c r="W62" t="b">
        <f>N62=_R32Matchups[[#This Row],[1D vs]]</f>
        <v>1</v>
      </c>
      <c r="X62" t="b">
        <f>O62=_R32Matchups[[#This Row],[1E vs]]</f>
        <v>1</v>
      </c>
      <c r="Y62" t="b">
        <f>P62=_R32Matchups[[#This Row],[1G vs]]</f>
        <v>1</v>
      </c>
      <c r="Z62" t="b">
        <f>Q62=_R32Matchups[[#This Row],[1I vs]]</f>
        <v>1</v>
      </c>
      <c r="AA62" t="b">
        <f>R62=_R32Matchups[[#This Row],[1K vs]]</f>
        <v>1</v>
      </c>
      <c r="AB62" t="b">
        <f>S62=_R32Matchups[[#This Row],[1L vs]]</f>
        <v>1</v>
      </c>
    </row>
    <row r="63" spans="1:28" ht="14.4">
      <c r="A63" s="2" t="s">
        <v>81</v>
      </c>
      <c r="B63" s="2" t="s">
        <v>10</v>
      </c>
      <c r="C63" s="2" t="s">
        <v>11</v>
      </c>
      <c r="D63" s="2" t="s">
        <v>65</v>
      </c>
      <c r="E63" s="2" t="s">
        <v>19</v>
      </c>
      <c r="F63" s="2" t="s">
        <v>12</v>
      </c>
      <c r="G63" s="2" t="s">
        <v>15</v>
      </c>
      <c r="H63" s="2" t="s">
        <v>16</v>
      </c>
      <c r="I63" s="2" t="s">
        <v>17</v>
      </c>
      <c r="K63" t="s">
        <v>81</v>
      </c>
      <c r="L63" t="s">
        <v>10</v>
      </c>
      <c r="M63" t="s">
        <v>11</v>
      </c>
      <c r="N63" t="s">
        <v>65</v>
      </c>
      <c r="O63" t="s">
        <v>19</v>
      </c>
      <c r="P63" t="s">
        <v>12</v>
      </c>
      <c r="Q63" t="s">
        <v>15</v>
      </c>
      <c r="R63" t="s">
        <v>16</v>
      </c>
      <c r="S63" t="s">
        <v>17</v>
      </c>
      <c r="U63" t="b">
        <f>L63=_R32Matchups[[#This Row],[1A vs]]</f>
        <v>1</v>
      </c>
      <c r="V63" t="b">
        <f>M63=_R32Matchups[[#This Row],[1B vs]]</f>
        <v>1</v>
      </c>
      <c r="W63" t="b">
        <f>N63=_R32Matchups[[#This Row],[1D vs]]</f>
        <v>1</v>
      </c>
      <c r="X63" t="b">
        <f>O63=_R32Matchups[[#This Row],[1E vs]]</f>
        <v>1</v>
      </c>
      <c r="Y63" t="b">
        <f>P63=_R32Matchups[[#This Row],[1G vs]]</f>
        <v>1</v>
      </c>
      <c r="Z63" t="b">
        <f>Q63=_R32Matchups[[#This Row],[1I vs]]</f>
        <v>1</v>
      </c>
      <c r="AA63" t="b">
        <f>R63=_R32Matchups[[#This Row],[1K vs]]</f>
        <v>1</v>
      </c>
      <c r="AB63" t="b">
        <f>S63=_R32Matchups[[#This Row],[1L vs]]</f>
        <v>1</v>
      </c>
    </row>
    <row r="64" spans="1:28" ht="14.4">
      <c r="A64" s="2" t="s">
        <v>82</v>
      </c>
      <c r="B64" s="2" t="s">
        <v>10</v>
      </c>
      <c r="C64" s="2" t="s">
        <v>11</v>
      </c>
      <c r="D64" s="2" t="s">
        <v>65</v>
      </c>
      <c r="E64" s="2" t="s">
        <v>19</v>
      </c>
      <c r="F64" s="2" t="s">
        <v>14</v>
      </c>
      <c r="G64" s="2" t="s">
        <v>15</v>
      </c>
      <c r="H64" s="2" t="s">
        <v>16</v>
      </c>
      <c r="I64" s="2" t="s">
        <v>17</v>
      </c>
      <c r="K64" t="s">
        <v>82</v>
      </c>
      <c r="L64" t="s">
        <v>10</v>
      </c>
      <c r="M64" t="s">
        <v>11</v>
      </c>
      <c r="N64" t="s">
        <v>65</v>
      </c>
      <c r="O64" t="s">
        <v>19</v>
      </c>
      <c r="P64" t="s">
        <v>14</v>
      </c>
      <c r="Q64" t="s">
        <v>15</v>
      </c>
      <c r="R64" t="s">
        <v>16</v>
      </c>
      <c r="S64" t="s">
        <v>17</v>
      </c>
      <c r="U64" t="b">
        <f>L64=_R32Matchups[[#This Row],[1A vs]]</f>
        <v>1</v>
      </c>
      <c r="V64" t="b">
        <f>M64=_R32Matchups[[#This Row],[1B vs]]</f>
        <v>1</v>
      </c>
      <c r="W64" t="b">
        <f>N64=_R32Matchups[[#This Row],[1D vs]]</f>
        <v>1</v>
      </c>
      <c r="X64" t="b">
        <f>O64=_R32Matchups[[#This Row],[1E vs]]</f>
        <v>1</v>
      </c>
      <c r="Y64" t="b">
        <f>P64=_R32Matchups[[#This Row],[1G vs]]</f>
        <v>1</v>
      </c>
      <c r="Z64" t="b">
        <f>Q64=_R32Matchups[[#This Row],[1I vs]]</f>
        <v>1</v>
      </c>
      <c r="AA64" t="b">
        <f>R64=_R32Matchups[[#This Row],[1K vs]]</f>
        <v>1</v>
      </c>
      <c r="AB64" t="b">
        <f>S64=_R32Matchups[[#This Row],[1L vs]]</f>
        <v>1</v>
      </c>
    </row>
    <row r="65" spans="1:28" ht="14.4">
      <c r="A65" s="2" t="s">
        <v>83</v>
      </c>
      <c r="B65" s="2" t="s">
        <v>10</v>
      </c>
      <c r="C65" s="2" t="s">
        <v>15</v>
      </c>
      <c r="D65" s="2" t="s">
        <v>65</v>
      </c>
      <c r="E65" s="2" t="s">
        <v>19</v>
      </c>
      <c r="F65" s="2" t="s">
        <v>12</v>
      </c>
      <c r="G65" s="2" t="s">
        <v>14</v>
      </c>
      <c r="H65" s="2" t="s">
        <v>16</v>
      </c>
      <c r="I65" s="2" t="s">
        <v>17</v>
      </c>
      <c r="K65" t="s">
        <v>83</v>
      </c>
      <c r="L65" t="s">
        <v>10</v>
      </c>
      <c r="M65" t="s">
        <v>15</v>
      </c>
      <c r="N65" t="s">
        <v>65</v>
      </c>
      <c r="O65" t="s">
        <v>19</v>
      </c>
      <c r="P65" t="s">
        <v>12</v>
      </c>
      <c r="Q65" t="s">
        <v>14</v>
      </c>
      <c r="R65" t="s">
        <v>16</v>
      </c>
      <c r="S65" t="s">
        <v>17</v>
      </c>
      <c r="U65" t="b">
        <f>L65=_R32Matchups[[#This Row],[1A vs]]</f>
        <v>1</v>
      </c>
      <c r="V65" t="b">
        <f>M65=_R32Matchups[[#This Row],[1B vs]]</f>
        <v>1</v>
      </c>
      <c r="W65" t="b">
        <f>N65=_R32Matchups[[#This Row],[1D vs]]</f>
        <v>1</v>
      </c>
      <c r="X65" t="b">
        <f>O65=_R32Matchups[[#This Row],[1E vs]]</f>
        <v>1</v>
      </c>
      <c r="Y65" t="b">
        <f>P65=_R32Matchups[[#This Row],[1G vs]]</f>
        <v>1</v>
      </c>
      <c r="Z65" t="b">
        <f>Q65=_R32Matchups[[#This Row],[1I vs]]</f>
        <v>1</v>
      </c>
      <c r="AA65" t="b">
        <f>R65=_R32Matchups[[#This Row],[1K vs]]</f>
        <v>1</v>
      </c>
      <c r="AB65" t="b">
        <f>S65=_R32Matchups[[#This Row],[1L vs]]</f>
        <v>1</v>
      </c>
    </row>
    <row r="66" spans="1:28" ht="14.4">
      <c r="A66" s="2" t="s">
        <v>84</v>
      </c>
      <c r="B66" s="2" t="s">
        <v>10</v>
      </c>
      <c r="C66" s="2" t="s">
        <v>11</v>
      </c>
      <c r="D66" s="2" t="s">
        <v>65</v>
      </c>
      <c r="E66" s="2" t="s">
        <v>19</v>
      </c>
      <c r="F66" s="2" t="s">
        <v>14</v>
      </c>
      <c r="G66" s="2" t="s">
        <v>15</v>
      </c>
      <c r="H66" s="2" t="s">
        <v>16</v>
      </c>
      <c r="I66" s="2" t="s">
        <v>12</v>
      </c>
      <c r="K66" t="s">
        <v>84</v>
      </c>
      <c r="L66" t="s">
        <v>10</v>
      </c>
      <c r="M66" t="s">
        <v>11</v>
      </c>
      <c r="N66" t="s">
        <v>65</v>
      </c>
      <c r="O66" t="s">
        <v>19</v>
      </c>
      <c r="P66" t="s">
        <v>14</v>
      </c>
      <c r="Q66" t="s">
        <v>15</v>
      </c>
      <c r="R66" t="s">
        <v>16</v>
      </c>
      <c r="S66" t="s">
        <v>12</v>
      </c>
      <c r="U66" t="b">
        <f>L66=_R32Matchups[[#This Row],[1A vs]]</f>
        <v>1</v>
      </c>
      <c r="V66" t="b">
        <f>M66=_R32Matchups[[#This Row],[1B vs]]</f>
        <v>1</v>
      </c>
      <c r="W66" t="b">
        <f>N66=_R32Matchups[[#This Row],[1D vs]]</f>
        <v>1</v>
      </c>
      <c r="X66" t="b">
        <f>O66=_R32Matchups[[#This Row],[1E vs]]</f>
        <v>1</v>
      </c>
      <c r="Y66" t="b">
        <f>P66=_R32Matchups[[#This Row],[1G vs]]</f>
        <v>1</v>
      </c>
      <c r="Z66" t="b">
        <f>Q66=_R32Matchups[[#This Row],[1I vs]]</f>
        <v>1</v>
      </c>
      <c r="AA66" t="b">
        <f>R66=_R32Matchups[[#This Row],[1K vs]]</f>
        <v>1</v>
      </c>
      <c r="AB66" t="b">
        <f>S66=_R32Matchups[[#This Row],[1L vs]]</f>
        <v>1</v>
      </c>
    </row>
    <row r="67" spans="1:28" ht="14.4">
      <c r="A67" s="2" t="s">
        <v>85</v>
      </c>
      <c r="B67" s="2" t="s">
        <v>10</v>
      </c>
      <c r="C67" s="2" t="s">
        <v>11</v>
      </c>
      <c r="D67" s="2" t="s">
        <v>65</v>
      </c>
      <c r="E67" s="2" t="s">
        <v>19</v>
      </c>
      <c r="F67" s="2" t="s">
        <v>14</v>
      </c>
      <c r="G67" s="2" t="s">
        <v>15</v>
      </c>
      <c r="H67" s="2" t="s">
        <v>12</v>
      </c>
      <c r="I67" s="2" t="s">
        <v>17</v>
      </c>
      <c r="K67" t="s">
        <v>85</v>
      </c>
      <c r="L67" t="s">
        <v>10</v>
      </c>
      <c r="M67" t="s">
        <v>11</v>
      </c>
      <c r="N67" t="s">
        <v>65</v>
      </c>
      <c r="O67" t="s">
        <v>19</v>
      </c>
      <c r="P67" t="s">
        <v>14</v>
      </c>
      <c r="Q67" t="s">
        <v>15</v>
      </c>
      <c r="R67" t="s">
        <v>12</v>
      </c>
      <c r="S67" t="s">
        <v>17</v>
      </c>
      <c r="U67" t="b">
        <f>L67=_R32Matchups[[#This Row],[1A vs]]</f>
        <v>1</v>
      </c>
      <c r="V67" t="b">
        <f>M67=_R32Matchups[[#This Row],[1B vs]]</f>
        <v>1</v>
      </c>
      <c r="W67" t="b">
        <f>N67=_R32Matchups[[#This Row],[1D vs]]</f>
        <v>1</v>
      </c>
      <c r="X67" t="b">
        <f>O67=_R32Matchups[[#This Row],[1E vs]]</f>
        <v>1</v>
      </c>
      <c r="Y67" t="b">
        <f>P67=_R32Matchups[[#This Row],[1G vs]]</f>
        <v>1</v>
      </c>
      <c r="Z67" t="b">
        <f>Q67=_R32Matchups[[#This Row],[1I vs]]</f>
        <v>1</v>
      </c>
      <c r="AA67" t="b">
        <f>R67=_R32Matchups[[#This Row],[1K vs]]</f>
        <v>1</v>
      </c>
      <c r="AB67" t="b">
        <f>S67=_R32Matchups[[#This Row],[1L vs]]</f>
        <v>1</v>
      </c>
    </row>
    <row r="68" spans="1:28" ht="14.4">
      <c r="A68" s="2" t="s">
        <v>86</v>
      </c>
      <c r="B68" s="2" t="s">
        <v>10</v>
      </c>
      <c r="C68" s="2" t="s">
        <v>11</v>
      </c>
      <c r="D68" s="2" t="s">
        <v>65</v>
      </c>
      <c r="E68" s="2" t="s">
        <v>19</v>
      </c>
      <c r="F68" s="2" t="s">
        <v>12</v>
      </c>
      <c r="G68" s="2" t="s">
        <v>13</v>
      </c>
      <c r="H68" s="2" t="s">
        <v>16</v>
      </c>
      <c r="I68" s="2" t="s">
        <v>17</v>
      </c>
      <c r="K68" t="s">
        <v>86</v>
      </c>
      <c r="L68" t="s">
        <v>10</v>
      </c>
      <c r="M68" t="s">
        <v>11</v>
      </c>
      <c r="N68" t="s">
        <v>65</v>
      </c>
      <c r="O68" t="s">
        <v>19</v>
      </c>
      <c r="P68" t="s">
        <v>12</v>
      </c>
      <c r="Q68" t="s">
        <v>13</v>
      </c>
      <c r="R68" t="s">
        <v>16</v>
      </c>
      <c r="S68" t="s">
        <v>17</v>
      </c>
      <c r="U68" t="b">
        <f>L68=_R32Matchups[[#This Row],[1A vs]]</f>
        <v>1</v>
      </c>
      <c r="V68" t="b">
        <f>M68=_R32Matchups[[#This Row],[1B vs]]</f>
        <v>1</v>
      </c>
      <c r="W68" t="b">
        <f>N68=_R32Matchups[[#This Row],[1D vs]]</f>
        <v>1</v>
      </c>
      <c r="X68" t="b">
        <f>O68=_R32Matchups[[#This Row],[1E vs]]</f>
        <v>1</v>
      </c>
      <c r="Y68" t="b">
        <f>P68=_R32Matchups[[#This Row],[1G vs]]</f>
        <v>1</v>
      </c>
      <c r="Z68" t="b">
        <f>Q68=_R32Matchups[[#This Row],[1I vs]]</f>
        <v>1</v>
      </c>
      <c r="AA68" t="b">
        <f>R68=_R32Matchups[[#This Row],[1K vs]]</f>
        <v>1</v>
      </c>
      <c r="AB68" t="b">
        <f>S68=_R32Matchups[[#This Row],[1L vs]]</f>
        <v>1</v>
      </c>
    </row>
    <row r="69" spans="1:28" ht="14.4">
      <c r="A69" s="2" t="s">
        <v>87</v>
      </c>
      <c r="B69" s="2" t="s">
        <v>10</v>
      </c>
      <c r="C69" s="2" t="s">
        <v>11</v>
      </c>
      <c r="D69" s="2" t="s">
        <v>65</v>
      </c>
      <c r="E69" s="2" t="s">
        <v>19</v>
      </c>
      <c r="F69" s="2" t="s">
        <v>14</v>
      </c>
      <c r="G69" s="2" t="s">
        <v>13</v>
      </c>
      <c r="H69" s="2" t="s">
        <v>16</v>
      </c>
      <c r="I69" s="2" t="s">
        <v>17</v>
      </c>
      <c r="K69" t="s">
        <v>87</v>
      </c>
      <c r="L69" t="s">
        <v>10</v>
      </c>
      <c r="M69" t="s">
        <v>11</v>
      </c>
      <c r="N69" t="s">
        <v>65</v>
      </c>
      <c r="O69" t="s">
        <v>19</v>
      </c>
      <c r="P69" t="s">
        <v>14</v>
      </c>
      <c r="Q69" t="s">
        <v>13</v>
      </c>
      <c r="R69" t="s">
        <v>16</v>
      </c>
      <c r="S69" t="s">
        <v>17</v>
      </c>
      <c r="U69" t="b">
        <f>L69=_R32Matchups[[#This Row],[1A vs]]</f>
        <v>1</v>
      </c>
      <c r="V69" t="b">
        <f>M69=_R32Matchups[[#This Row],[1B vs]]</f>
        <v>1</v>
      </c>
      <c r="W69" t="b">
        <f>N69=_R32Matchups[[#This Row],[1D vs]]</f>
        <v>1</v>
      </c>
      <c r="X69" t="b">
        <f>O69=_R32Matchups[[#This Row],[1E vs]]</f>
        <v>1</v>
      </c>
      <c r="Y69" t="b">
        <f>P69=_R32Matchups[[#This Row],[1G vs]]</f>
        <v>1</v>
      </c>
      <c r="Z69" t="b">
        <f>Q69=_R32Matchups[[#This Row],[1I vs]]</f>
        <v>1</v>
      </c>
      <c r="AA69" t="b">
        <f>R69=_R32Matchups[[#This Row],[1K vs]]</f>
        <v>1</v>
      </c>
      <c r="AB69" t="b">
        <f>S69=_R32Matchups[[#This Row],[1L vs]]</f>
        <v>1</v>
      </c>
    </row>
    <row r="70" spans="1:28" ht="14.4">
      <c r="A70" s="2" t="s">
        <v>88</v>
      </c>
      <c r="B70" s="2" t="s">
        <v>10</v>
      </c>
      <c r="C70" s="2" t="s">
        <v>12</v>
      </c>
      <c r="D70" s="2" t="s">
        <v>65</v>
      </c>
      <c r="E70" s="2" t="s">
        <v>19</v>
      </c>
      <c r="F70" s="2" t="s">
        <v>14</v>
      </c>
      <c r="G70" s="2" t="s">
        <v>13</v>
      </c>
      <c r="H70" s="2" t="s">
        <v>16</v>
      </c>
      <c r="I70" s="2" t="s">
        <v>17</v>
      </c>
      <c r="K70" t="s">
        <v>88</v>
      </c>
      <c r="L70" t="s">
        <v>10</v>
      </c>
      <c r="M70" t="s">
        <v>12</v>
      </c>
      <c r="N70" t="s">
        <v>65</v>
      </c>
      <c r="O70" t="s">
        <v>19</v>
      </c>
      <c r="P70" t="s">
        <v>14</v>
      </c>
      <c r="Q70" t="s">
        <v>13</v>
      </c>
      <c r="R70" t="s">
        <v>16</v>
      </c>
      <c r="S70" t="s">
        <v>17</v>
      </c>
      <c r="U70" t="b">
        <f>L70=_R32Matchups[[#This Row],[1A vs]]</f>
        <v>1</v>
      </c>
      <c r="V70" t="b">
        <f>M70=_R32Matchups[[#This Row],[1B vs]]</f>
        <v>1</v>
      </c>
      <c r="W70" t="b">
        <f>N70=_R32Matchups[[#This Row],[1D vs]]</f>
        <v>1</v>
      </c>
      <c r="X70" t="b">
        <f>O70=_R32Matchups[[#This Row],[1E vs]]</f>
        <v>1</v>
      </c>
      <c r="Y70" t="b">
        <f>P70=_R32Matchups[[#This Row],[1G vs]]</f>
        <v>1</v>
      </c>
      <c r="Z70" t="b">
        <f>Q70=_R32Matchups[[#This Row],[1I vs]]</f>
        <v>1</v>
      </c>
      <c r="AA70" t="b">
        <f>R70=_R32Matchups[[#This Row],[1K vs]]</f>
        <v>1</v>
      </c>
      <c r="AB70" t="b">
        <f>S70=_R32Matchups[[#This Row],[1L vs]]</f>
        <v>1</v>
      </c>
    </row>
    <row r="71" spans="1:28" ht="14.4">
      <c r="A71" s="2" t="s">
        <v>89</v>
      </c>
      <c r="B71" s="2" t="s">
        <v>10</v>
      </c>
      <c r="C71" s="2" t="s">
        <v>11</v>
      </c>
      <c r="D71" s="2" t="s">
        <v>65</v>
      </c>
      <c r="E71" s="2" t="s">
        <v>19</v>
      </c>
      <c r="F71" s="2" t="s">
        <v>14</v>
      </c>
      <c r="G71" s="2" t="s">
        <v>13</v>
      </c>
      <c r="H71" s="2" t="s">
        <v>16</v>
      </c>
      <c r="I71" s="2" t="s">
        <v>12</v>
      </c>
      <c r="K71" t="s">
        <v>89</v>
      </c>
      <c r="L71" t="s">
        <v>10</v>
      </c>
      <c r="M71" t="s">
        <v>11</v>
      </c>
      <c r="N71" t="s">
        <v>65</v>
      </c>
      <c r="O71" t="s">
        <v>19</v>
      </c>
      <c r="P71" t="s">
        <v>14</v>
      </c>
      <c r="Q71" t="s">
        <v>13</v>
      </c>
      <c r="R71" t="s">
        <v>16</v>
      </c>
      <c r="S71" t="s">
        <v>12</v>
      </c>
      <c r="U71" t="b">
        <f>L71=_R32Matchups[[#This Row],[1A vs]]</f>
        <v>1</v>
      </c>
      <c r="V71" t="b">
        <f>M71=_R32Matchups[[#This Row],[1B vs]]</f>
        <v>1</v>
      </c>
      <c r="W71" t="b">
        <f>N71=_R32Matchups[[#This Row],[1D vs]]</f>
        <v>1</v>
      </c>
      <c r="X71" t="b">
        <f>O71=_R32Matchups[[#This Row],[1E vs]]</f>
        <v>1</v>
      </c>
      <c r="Y71" t="b">
        <f>P71=_R32Matchups[[#This Row],[1G vs]]</f>
        <v>1</v>
      </c>
      <c r="Z71" t="b">
        <f>Q71=_R32Matchups[[#This Row],[1I vs]]</f>
        <v>1</v>
      </c>
      <c r="AA71" t="b">
        <f>R71=_R32Matchups[[#This Row],[1K vs]]</f>
        <v>1</v>
      </c>
      <c r="AB71" t="b">
        <f>S71=_R32Matchups[[#This Row],[1L vs]]</f>
        <v>1</v>
      </c>
    </row>
    <row r="72" spans="1:28" ht="14.4">
      <c r="A72" s="2" t="s">
        <v>90</v>
      </c>
      <c r="B72" s="2" t="s">
        <v>10</v>
      </c>
      <c r="C72" s="2" t="s">
        <v>11</v>
      </c>
      <c r="D72" s="2" t="s">
        <v>65</v>
      </c>
      <c r="E72" s="2" t="s">
        <v>19</v>
      </c>
      <c r="F72" s="2" t="s">
        <v>14</v>
      </c>
      <c r="G72" s="2" t="s">
        <v>13</v>
      </c>
      <c r="H72" s="2" t="s">
        <v>12</v>
      </c>
      <c r="I72" s="2" t="s">
        <v>17</v>
      </c>
      <c r="K72" t="s">
        <v>90</v>
      </c>
      <c r="L72" t="s">
        <v>10</v>
      </c>
      <c r="M72" t="s">
        <v>11</v>
      </c>
      <c r="N72" t="s">
        <v>65</v>
      </c>
      <c r="O72" t="s">
        <v>19</v>
      </c>
      <c r="P72" t="s">
        <v>14</v>
      </c>
      <c r="Q72" t="s">
        <v>13</v>
      </c>
      <c r="R72" t="s">
        <v>12</v>
      </c>
      <c r="S72" t="s">
        <v>17</v>
      </c>
      <c r="U72" t="b">
        <f>L72=_R32Matchups[[#This Row],[1A vs]]</f>
        <v>1</v>
      </c>
      <c r="V72" t="b">
        <f>M72=_R32Matchups[[#This Row],[1B vs]]</f>
        <v>1</v>
      </c>
      <c r="W72" t="b">
        <f>N72=_R32Matchups[[#This Row],[1D vs]]</f>
        <v>1</v>
      </c>
      <c r="X72" t="b">
        <f>O72=_R32Matchups[[#This Row],[1E vs]]</f>
        <v>1</v>
      </c>
      <c r="Y72" t="b">
        <f>P72=_R32Matchups[[#This Row],[1G vs]]</f>
        <v>1</v>
      </c>
      <c r="Z72" t="b">
        <f>Q72=_R32Matchups[[#This Row],[1I vs]]</f>
        <v>1</v>
      </c>
      <c r="AA72" t="b">
        <f>R72=_R32Matchups[[#This Row],[1K vs]]</f>
        <v>1</v>
      </c>
      <c r="AB72" t="b">
        <f>S72=_R32Matchups[[#This Row],[1L vs]]</f>
        <v>1</v>
      </c>
    </row>
    <row r="73" spans="1:28" ht="14.4">
      <c r="A73" s="2" t="s">
        <v>91</v>
      </c>
      <c r="B73" s="2" t="s">
        <v>10</v>
      </c>
      <c r="C73" s="2" t="s">
        <v>15</v>
      </c>
      <c r="D73" s="2" t="s">
        <v>65</v>
      </c>
      <c r="E73" s="2" t="s">
        <v>19</v>
      </c>
      <c r="F73" s="2" t="s">
        <v>11</v>
      </c>
      <c r="G73" s="2" t="s">
        <v>13</v>
      </c>
      <c r="H73" s="2" t="s">
        <v>16</v>
      </c>
      <c r="I73" s="2" t="s">
        <v>17</v>
      </c>
      <c r="K73" t="s">
        <v>91</v>
      </c>
      <c r="L73" t="s">
        <v>10</v>
      </c>
      <c r="M73" t="s">
        <v>15</v>
      </c>
      <c r="N73" t="s">
        <v>65</v>
      </c>
      <c r="O73" t="s">
        <v>19</v>
      </c>
      <c r="P73" t="s">
        <v>11</v>
      </c>
      <c r="Q73" t="s">
        <v>13</v>
      </c>
      <c r="R73" t="s">
        <v>16</v>
      </c>
      <c r="S73" t="s">
        <v>17</v>
      </c>
      <c r="U73" t="b">
        <f>L73=_R32Matchups[[#This Row],[1A vs]]</f>
        <v>1</v>
      </c>
      <c r="V73" t="b">
        <f>M73=_R32Matchups[[#This Row],[1B vs]]</f>
        <v>1</v>
      </c>
      <c r="W73" t="b">
        <f>N73=_R32Matchups[[#This Row],[1D vs]]</f>
        <v>1</v>
      </c>
      <c r="X73" t="b">
        <f>O73=_R32Matchups[[#This Row],[1E vs]]</f>
        <v>1</v>
      </c>
      <c r="Y73" t="b">
        <f>P73=_R32Matchups[[#This Row],[1G vs]]</f>
        <v>1</v>
      </c>
      <c r="Z73" t="b">
        <f>Q73=_R32Matchups[[#This Row],[1I vs]]</f>
        <v>1</v>
      </c>
      <c r="AA73" t="b">
        <f>R73=_R32Matchups[[#This Row],[1K vs]]</f>
        <v>1</v>
      </c>
      <c r="AB73" t="b">
        <f>S73=_R32Matchups[[#This Row],[1L vs]]</f>
        <v>1</v>
      </c>
    </row>
    <row r="74" spans="1:28" ht="14.4">
      <c r="A74" s="2" t="s">
        <v>92</v>
      </c>
      <c r="B74" s="2" t="s">
        <v>10</v>
      </c>
      <c r="C74" s="2" t="s">
        <v>15</v>
      </c>
      <c r="D74" s="2" t="s">
        <v>65</v>
      </c>
      <c r="E74" s="2" t="s">
        <v>19</v>
      </c>
      <c r="F74" s="2" t="s">
        <v>12</v>
      </c>
      <c r="G74" s="2" t="s">
        <v>13</v>
      </c>
      <c r="H74" s="2" t="s">
        <v>16</v>
      </c>
      <c r="I74" s="2" t="s">
        <v>17</v>
      </c>
      <c r="K74" t="s">
        <v>92</v>
      </c>
      <c r="L74" t="s">
        <v>10</v>
      </c>
      <c r="M74" t="s">
        <v>15</v>
      </c>
      <c r="N74" t="s">
        <v>65</v>
      </c>
      <c r="O74" t="s">
        <v>19</v>
      </c>
      <c r="P74" t="s">
        <v>12</v>
      </c>
      <c r="Q74" t="s">
        <v>13</v>
      </c>
      <c r="R74" t="s">
        <v>16</v>
      </c>
      <c r="S74" t="s">
        <v>17</v>
      </c>
      <c r="U74" t="b">
        <f>L74=_R32Matchups[[#This Row],[1A vs]]</f>
        <v>1</v>
      </c>
      <c r="V74" t="b">
        <f>M74=_R32Matchups[[#This Row],[1B vs]]</f>
        <v>1</v>
      </c>
      <c r="W74" t="b">
        <f>N74=_R32Matchups[[#This Row],[1D vs]]</f>
        <v>1</v>
      </c>
      <c r="X74" t="b">
        <f>O74=_R32Matchups[[#This Row],[1E vs]]</f>
        <v>1</v>
      </c>
      <c r="Y74" t="b">
        <f>P74=_R32Matchups[[#This Row],[1G vs]]</f>
        <v>1</v>
      </c>
      <c r="Z74" t="b">
        <f>Q74=_R32Matchups[[#This Row],[1I vs]]</f>
        <v>1</v>
      </c>
      <c r="AA74" t="b">
        <f>R74=_R32Matchups[[#This Row],[1K vs]]</f>
        <v>1</v>
      </c>
      <c r="AB74" t="b">
        <f>S74=_R32Matchups[[#This Row],[1L vs]]</f>
        <v>1</v>
      </c>
    </row>
    <row r="75" spans="1:28" ht="14.4">
      <c r="A75" s="2" t="s">
        <v>93</v>
      </c>
      <c r="B75" s="2" t="s">
        <v>10</v>
      </c>
      <c r="C75" s="2" t="s">
        <v>15</v>
      </c>
      <c r="D75" s="2" t="s">
        <v>65</v>
      </c>
      <c r="E75" s="2" t="s">
        <v>19</v>
      </c>
      <c r="F75" s="2" t="s">
        <v>11</v>
      </c>
      <c r="G75" s="2" t="s">
        <v>13</v>
      </c>
      <c r="H75" s="2" t="s">
        <v>16</v>
      </c>
      <c r="I75" s="2" t="s">
        <v>12</v>
      </c>
      <c r="K75" t="s">
        <v>93</v>
      </c>
      <c r="L75" t="s">
        <v>10</v>
      </c>
      <c r="M75" t="s">
        <v>15</v>
      </c>
      <c r="N75" t="s">
        <v>65</v>
      </c>
      <c r="O75" t="s">
        <v>19</v>
      </c>
      <c r="P75" t="s">
        <v>11</v>
      </c>
      <c r="Q75" t="s">
        <v>13</v>
      </c>
      <c r="R75" t="s">
        <v>16</v>
      </c>
      <c r="S75" t="s">
        <v>12</v>
      </c>
      <c r="U75" t="b">
        <f>L75=_R32Matchups[[#This Row],[1A vs]]</f>
        <v>1</v>
      </c>
      <c r="V75" t="b">
        <f>M75=_R32Matchups[[#This Row],[1B vs]]</f>
        <v>1</v>
      </c>
      <c r="W75" t="b">
        <f>N75=_R32Matchups[[#This Row],[1D vs]]</f>
        <v>1</v>
      </c>
      <c r="X75" t="b">
        <f>O75=_R32Matchups[[#This Row],[1E vs]]</f>
        <v>1</v>
      </c>
      <c r="Y75" t="b">
        <f>P75=_R32Matchups[[#This Row],[1G vs]]</f>
        <v>1</v>
      </c>
      <c r="Z75" t="b">
        <f>Q75=_R32Matchups[[#This Row],[1I vs]]</f>
        <v>1</v>
      </c>
      <c r="AA75" t="b">
        <f>R75=_R32Matchups[[#This Row],[1K vs]]</f>
        <v>1</v>
      </c>
      <c r="AB75" t="b">
        <f>S75=_R32Matchups[[#This Row],[1L vs]]</f>
        <v>1</v>
      </c>
    </row>
    <row r="76" spans="1:28" ht="14.4">
      <c r="A76" s="2" t="s">
        <v>94</v>
      </c>
      <c r="B76" s="2" t="s">
        <v>10</v>
      </c>
      <c r="C76" s="2" t="s">
        <v>15</v>
      </c>
      <c r="D76" s="2" t="s">
        <v>65</v>
      </c>
      <c r="E76" s="2" t="s">
        <v>19</v>
      </c>
      <c r="F76" s="2" t="s">
        <v>11</v>
      </c>
      <c r="G76" s="2" t="s">
        <v>13</v>
      </c>
      <c r="H76" s="2" t="s">
        <v>12</v>
      </c>
      <c r="I76" s="2" t="s">
        <v>17</v>
      </c>
      <c r="K76" t="s">
        <v>94</v>
      </c>
      <c r="L76" t="s">
        <v>10</v>
      </c>
      <c r="M76" t="s">
        <v>15</v>
      </c>
      <c r="N76" t="s">
        <v>65</v>
      </c>
      <c r="O76" t="s">
        <v>19</v>
      </c>
      <c r="P76" t="s">
        <v>11</v>
      </c>
      <c r="Q76" t="s">
        <v>13</v>
      </c>
      <c r="R76" t="s">
        <v>12</v>
      </c>
      <c r="S76" t="s">
        <v>17</v>
      </c>
      <c r="U76" t="b">
        <f>L76=_R32Matchups[[#This Row],[1A vs]]</f>
        <v>1</v>
      </c>
      <c r="V76" t="b">
        <f>M76=_R32Matchups[[#This Row],[1B vs]]</f>
        <v>1</v>
      </c>
      <c r="W76" t="b">
        <f>N76=_R32Matchups[[#This Row],[1D vs]]</f>
        <v>1</v>
      </c>
      <c r="X76" t="b">
        <f>O76=_R32Matchups[[#This Row],[1E vs]]</f>
        <v>1</v>
      </c>
      <c r="Y76" t="b">
        <f>P76=_R32Matchups[[#This Row],[1G vs]]</f>
        <v>1</v>
      </c>
      <c r="Z76" t="b">
        <f>Q76=_R32Matchups[[#This Row],[1I vs]]</f>
        <v>1</v>
      </c>
      <c r="AA76" t="b">
        <f>R76=_R32Matchups[[#This Row],[1K vs]]</f>
        <v>1</v>
      </c>
      <c r="AB76" t="b">
        <f>S76=_R32Matchups[[#This Row],[1L vs]]</f>
        <v>1</v>
      </c>
    </row>
    <row r="77" spans="1:28" ht="14.4">
      <c r="A77" s="2" t="s">
        <v>95</v>
      </c>
      <c r="B77" s="2" t="s">
        <v>10</v>
      </c>
      <c r="C77" s="2" t="s">
        <v>15</v>
      </c>
      <c r="D77" s="2" t="s">
        <v>65</v>
      </c>
      <c r="E77" s="2" t="s">
        <v>19</v>
      </c>
      <c r="F77" s="2" t="s">
        <v>14</v>
      </c>
      <c r="G77" s="2" t="s">
        <v>13</v>
      </c>
      <c r="H77" s="2" t="s">
        <v>16</v>
      </c>
      <c r="I77" s="2" t="s">
        <v>17</v>
      </c>
      <c r="K77" t="s">
        <v>95</v>
      </c>
      <c r="L77" t="s">
        <v>10</v>
      </c>
      <c r="M77" t="s">
        <v>15</v>
      </c>
      <c r="N77" t="s">
        <v>65</v>
      </c>
      <c r="O77" t="s">
        <v>19</v>
      </c>
      <c r="P77" t="s">
        <v>14</v>
      </c>
      <c r="Q77" t="s">
        <v>13</v>
      </c>
      <c r="R77" t="s">
        <v>16</v>
      </c>
      <c r="S77" t="s">
        <v>17</v>
      </c>
      <c r="U77" t="b">
        <f>L77=_R32Matchups[[#This Row],[1A vs]]</f>
        <v>1</v>
      </c>
      <c r="V77" t="b">
        <f>M77=_R32Matchups[[#This Row],[1B vs]]</f>
        <v>1</v>
      </c>
      <c r="W77" t="b">
        <f>N77=_R32Matchups[[#This Row],[1D vs]]</f>
        <v>1</v>
      </c>
      <c r="X77" t="b">
        <f>O77=_R32Matchups[[#This Row],[1E vs]]</f>
        <v>1</v>
      </c>
      <c r="Y77" t="b">
        <f>P77=_R32Matchups[[#This Row],[1G vs]]</f>
        <v>1</v>
      </c>
      <c r="Z77" t="b">
        <f>Q77=_R32Matchups[[#This Row],[1I vs]]</f>
        <v>1</v>
      </c>
      <c r="AA77" t="b">
        <f>R77=_R32Matchups[[#This Row],[1K vs]]</f>
        <v>1</v>
      </c>
      <c r="AB77" t="b">
        <f>S77=_R32Matchups[[#This Row],[1L vs]]</f>
        <v>1</v>
      </c>
    </row>
    <row r="78" spans="1:28" ht="14.4">
      <c r="A78" s="2" t="s">
        <v>96</v>
      </c>
      <c r="B78" s="2" t="s">
        <v>14</v>
      </c>
      <c r="C78" s="2" t="s">
        <v>15</v>
      </c>
      <c r="D78" s="2" t="s">
        <v>65</v>
      </c>
      <c r="E78" s="2" t="s">
        <v>19</v>
      </c>
      <c r="F78" s="2" t="s">
        <v>11</v>
      </c>
      <c r="G78" s="2" t="s">
        <v>13</v>
      </c>
      <c r="H78" s="2" t="s">
        <v>16</v>
      </c>
      <c r="I78" s="2" t="s">
        <v>10</v>
      </c>
      <c r="K78" t="s">
        <v>96</v>
      </c>
      <c r="L78" t="s">
        <v>14</v>
      </c>
      <c r="M78" t="s">
        <v>15</v>
      </c>
      <c r="N78" t="s">
        <v>65</v>
      </c>
      <c r="O78" t="s">
        <v>19</v>
      </c>
      <c r="P78" t="s">
        <v>11</v>
      </c>
      <c r="Q78" t="s">
        <v>13</v>
      </c>
      <c r="R78" t="s">
        <v>16</v>
      </c>
      <c r="S78" t="s">
        <v>10</v>
      </c>
      <c r="U78" t="b">
        <f>L78=_R32Matchups[[#This Row],[1A vs]]</f>
        <v>1</v>
      </c>
      <c r="V78" t="b">
        <f>M78=_R32Matchups[[#This Row],[1B vs]]</f>
        <v>1</v>
      </c>
      <c r="W78" t="b">
        <f>N78=_R32Matchups[[#This Row],[1D vs]]</f>
        <v>1</v>
      </c>
      <c r="X78" t="b">
        <f>O78=_R32Matchups[[#This Row],[1E vs]]</f>
        <v>1</v>
      </c>
      <c r="Y78" t="b">
        <f>P78=_R32Matchups[[#This Row],[1G vs]]</f>
        <v>1</v>
      </c>
      <c r="Z78" t="b">
        <f>Q78=_R32Matchups[[#This Row],[1I vs]]</f>
        <v>1</v>
      </c>
      <c r="AA78" t="b">
        <f>R78=_R32Matchups[[#This Row],[1K vs]]</f>
        <v>1</v>
      </c>
      <c r="AB78" t="b">
        <f>S78=_R32Matchups[[#This Row],[1L vs]]</f>
        <v>1</v>
      </c>
    </row>
    <row r="79" spans="1:28" ht="14.4">
      <c r="A79" s="2" t="s">
        <v>97</v>
      </c>
      <c r="B79" s="2" t="s">
        <v>14</v>
      </c>
      <c r="C79" s="2" t="s">
        <v>15</v>
      </c>
      <c r="D79" s="2" t="s">
        <v>65</v>
      </c>
      <c r="E79" s="2" t="s">
        <v>19</v>
      </c>
      <c r="F79" s="2" t="s">
        <v>11</v>
      </c>
      <c r="G79" s="2" t="s">
        <v>13</v>
      </c>
      <c r="H79" s="2" t="s">
        <v>10</v>
      </c>
      <c r="I79" s="2" t="s">
        <v>17</v>
      </c>
      <c r="K79" t="s">
        <v>97</v>
      </c>
      <c r="L79" t="s">
        <v>14</v>
      </c>
      <c r="M79" t="s">
        <v>15</v>
      </c>
      <c r="N79" t="s">
        <v>65</v>
      </c>
      <c r="O79" t="s">
        <v>19</v>
      </c>
      <c r="P79" t="s">
        <v>11</v>
      </c>
      <c r="Q79" t="s">
        <v>13</v>
      </c>
      <c r="R79" t="s">
        <v>10</v>
      </c>
      <c r="S79" t="s">
        <v>17</v>
      </c>
      <c r="U79" t="b">
        <f>L79=_R32Matchups[[#This Row],[1A vs]]</f>
        <v>1</v>
      </c>
      <c r="V79" t="b">
        <f>M79=_R32Matchups[[#This Row],[1B vs]]</f>
        <v>1</v>
      </c>
      <c r="W79" t="b">
        <f>N79=_R32Matchups[[#This Row],[1D vs]]</f>
        <v>1</v>
      </c>
      <c r="X79" t="b">
        <f>O79=_R32Matchups[[#This Row],[1E vs]]</f>
        <v>1</v>
      </c>
      <c r="Y79" t="b">
        <f>P79=_R32Matchups[[#This Row],[1G vs]]</f>
        <v>1</v>
      </c>
      <c r="Z79" t="b">
        <f>Q79=_R32Matchups[[#This Row],[1I vs]]</f>
        <v>1</v>
      </c>
      <c r="AA79" t="b">
        <f>R79=_R32Matchups[[#This Row],[1K vs]]</f>
        <v>1</v>
      </c>
      <c r="AB79" t="b">
        <f>S79=_R32Matchups[[#This Row],[1L vs]]</f>
        <v>1</v>
      </c>
    </row>
    <row r="80" spans="1:28" ht="14.4">
      <c r="A80" s="2" t="s">
        <v>98</v>
      </c>
      <c r="B80" s="2" t="s">
        <v>10</v>
      </c>
      <c r="C80" s="2" t="s">
        <v>15</v>
      </c>
      <c r="D80" s="2" t="s">
        <v>65</v>
      </c>
      <c r="E80" s="2" t="s">
        <v>19</v>
      </c>
      <c r="F80" s="2" t="s">
        <v>14</v>
      </c>
      <c r="G80" s="2" t="s">
        <v>13</v>
      </c>
      <c r="H80" s="2" t="s">
        <v>16</v>
      </c>
      <c r="I80" s="2" t="s">
        <v>12</v>
      </c>
      <c r="K80" t="s">
        <v>98</v>
      </c>
      <c r="L80" t="s">
        <v>10</v>
      </c>
      <c r="M80" t="s">
        <v>15</v>
      </c>
      <c r="N80" t="s">
        <v>65</v>
      </c>
      <c r="O80" t="s">
        <v>19</v>
      </c>
      <c r="P80" t="s">
        <v>14</v>
      </c>
      <c r="Q80" t="s">
        <v>13</v>
      </c>
      <c r="R80" t="s">
        <v>16</v>
      </c>
      <c r="S80" t="s">
        <v>12</v>
      </c>
      <c r="U80" t="b">
        <f>L80=_R32Matchups[[#This Row],[1A vs]]</f>
        <v>1</v>
      </c>
      <c r="V80" t="b">
        <f>M80=_R32Matchups[[#This Row],[1B vs]]</f>
        <v>1</v>
      </c>
      <c r="W80" t="b">
        <f>N80=_R32Matchups[[#This Row],[1D vs]]</f>
        <v>1</v>
      </c>
      <c r="X80" t="b">
        <f>O80=_R32Matchups[[#This Row],[1E vs]]</f>
        <v>1</v>
      </c>
      <c r="Y80" t="b">
        <f>P80=_R32Matchups[[#This Row],[1G vs]]</f>
        <v>1</v>
      </c>
      <c r="Z80" t="b">
        <f>Q80=_R32Matchups[[#This Row],[1I vs]]</f>
        <v>1</v>
      </c>
      <c r="AA80" t="b">
        <f>R80=_R32Matchups[[#This Row],[1K vs]]</f>
        <v>1</v>
      </c>
      <c r="AB80" t="b">
        <f>S80=_R32Matchups[[#This Row],[1L vs]]</f>
        <v>1</v>
      </c>
    </row>
    <row r="81" spans="1:28" ht="14.4">
      <c r="A81" s="2" t="s">
        <v>99</v>
      </c>
      <c r="B81" s="2" t="s">
        <v>10</v>
      </c>
      <c r="C81" s="2" t="s">
        <v>15</v>
      </c>
      <c r="D81" s="2" t="s">
        <v>65</v>
      </c>
      <c r="E81" s="2" t="s">
        <v>19</v>
      </c>
      <c r="F81" s="2" t="s">
        <v>14</v>
      </c>
      <c r="G81" s="2" t="s">
        <v>13</v>
      </c>
      <c r="H81" s="2" t="s">
        <v>12</v>
      </c>
      <c r="I81" s="2" t="s">
        <v>17</v>
      </c>
      <c r="K81" t="s">
        <v>99</v>
      </c>
      <c r="L81" t="s">
        <v>10</v>
      </c>
      <c r="M81" t="s">
        <v>15</v>
      </c>
      <c r="N81" t="s">
        <v>65</v>
      </c>
      <c r="O81" t="s">
        <v>19</v>
      </c>
      <c r="P81" t="s">
        <v>14</v>
      </c>
      <c r="Q81" t="s">
        <v>13</v>
      </c>
      <c r="R81" t="s">
        <v>12</v>
      </c>
      <c r="S81" t="s">
        <v>17</v>
      </c>
      <c r="U81" t="b">
        <f>L81=_R32Matchups[[#This Row],[1A vs]]</f>
        <v>1</v>
      </c>
      <c r="V81" t="b">
        <f>M81=_R32Matchups[[#This Row],[1B vs]]</f>
        <v>1</v>
      </c>
      <c r="W81" t="b">
        <f>N81=_R32Matchups[[#This Row],[1D vs]]</f>
        <v>1</v>
      </c>
      <c r="X81" t="b">
        <f>O81=_R32Matchups[[#This Row],[1E vs]]</f>
        <v>1</v>
      </c>
      <c r="Y81" t="b">
        <f>P81=_R32Matchups[[#This Row],[1G vs]]</f>
        <v>1</v>
      </c>
      <c r="Z81" t="b">
        <f>Q81=_R32Matchups[[#This Row],[1I vs]]</f>
        <v>1</v>
      </c>
      <c r="AA81" t="b">
        <f>R81=_R32Matchups[[#This Row],[1K vs]]</f>
        <v>1</v>
      </c>
      <c r="AB81" t="b">
        <f>S81=_R32Matchups[[#This Row],[1L vs]]</f>
        <v>1</v>
      </c>
    </row>
    <row r="82" spans="1:28" ht="14.4">
      <c r="A82" s="2" t="s">
        <v>100</v>
      </c>
      <c r="B82" s="2" t="s">
        <v>14</v>
      </c>
      <c r="C82" s="2" t="s">
        <v>15</v>
      </c>
      <c r="D82" s="2" t="s">
        <v>65</v>
      </c>
      <c r="E82" s="2" t="s">
        <v>19</v>
      </c>
      <c r="F82" s="2" t="s">
        <v>11</v>
      </c>
      <c r="G82" s="2" t="s">
        <v>13</v>
      </c>
      <c r="H82" s="2" t="s">
        <v>10</v>
      </c>
      <c r="I82" s="2" t="s">
        <v>12</v>
      </c>
      <c r="K82" t="s">
        <v>100</v>
      </c>
      <c r="L82" t="s">
        <v>14</v>
      </c>
      <c r="M82" t="s">
        <v>15</v>
      </c>
      <c r="N82" t="s">
        <v>65</v>
      </c>
      <c r="O82" t="s">
        <v>19</v>
      </c>
      <c r="P82" t="s">
        <v>11</v>
      </c>
      <c r="Q82" t="s">
        <v>13</v>
      </c>
      <c r="R82" t="s">
        <v>10</v>
      </c>
      <c r="S82" t="s">
        <v>12</v>
      </c>
      <c r="U82" t="b">
        <f>L82=_R32Matchups[[#This Row],[1A vs]]</f>
        <v>1</v>
      </c>
      <c r="V82" t="b">
        <f>M82=_R32Matchups[[#This Row],[1B vs]]</f>
        <v>1</v>
      </c>
      <c r="W82" t="b">
        <f>N82=_R32Matchups[[#This Row],[1D vs]]</f>
        <v>1</v>
      </c>
      <c r="X82" t="b">
        <f>O82=_R32Matchups[[#This Row],[1E vs]]</f>
        <v>1</v>
      </c>
      <c r="Y82" t="b">
        <f>P82=_R32Matchups[[#This Row],[1G vs]]</f>
        <v>1</v>
      </c>
      <c r="Z82" t="b">
        <f>Q82=_R32Matchups[[#This Row],[1I vs]]</f>
        <v>1</v>
      </c>
      <c r="AA82" t="b">
        <f>R82=_R32Matchups[[#This Row],[1K vs]]</f>
        <v>1</v>
      </c>
      <c r="AB82" t="b">
        <f>S82=_R32Matchups[[#This Row],[1L vs]]</f>
        <v>1</v>
      </c>
    </row>
    <row r="83" spans="1:28" ht="14.4">
      <c r="A83" s="2" t="s">
        <v>101</v>
      </c>
      <c r="B83" s="2" t="s">
        <v>14</v>
      </c>
      <c r="C83" s="2" t="s">
        <v>11</v>
      </c>
      <c r="D83" s="2" t="s">
        <v>65</v>
      </c>
      <c r="E83" s="2" t="s">
        <v>28</v>
      </c>
      <c r="F83" s="2" t="s">
        <v>12</v>
      </c>
      <c r="G83" s="2" t="s">
        <v>15</v>
      </c>
      <c r="H83" s="2" t="s">
        <v>16</v>
      </c>
      <c r="I83" s="2" t="s">
        <v>17</v>
      </c>
      <c r="K83" t="s">
        <v>101</v>
      </c>
      <c r="L83" t="s">
        <v>14</v>
      </c>
      <c r="M83" t="s">
        <v>11</v>
      </c>
      <c r="N83" t="s">
        <v>65</v>
      </c>
      <c r="O83" t="s">
        <v>28</v>
      </c>
      <c r="P83" t="s">
        <v>12</v>
      </c>
      <c r="Q83" t="s">
        <v>15</v>
      </c>
      <c r="R83" t="s">
        <v>16</v>
      </c>
      <c r="S83" t="s">
        <v>17</v>
      </c>
      <c r="U83" t="b">
        <f>L83=_R32Matchups[[#This Row],[1A vs]]</f>
        <v>1</v>
      </c>
      <c r="V83" t="b">
        <f>M83=_R32Matchups[[#This Row],[1B vs]]</f>
        <v>1</v>
      </c>
      <c r="W83" t="b">
        <f>N83=_R32Matchups[[#This Row],[1D vs]]</f>
        <v>1</v>
      </c>
      <c r="X83" t="b">
        <f>O83=_R32Matchups[[#This Row],[1E vs]]</f>
        <v>1</v>
      </c>
      <c r="Y83" t="b">
        <f>P83=_R32Matchups[[#This Row],[1G vs]]</f>
        <v>1</v>
      </c>
      <c r="Z83" t="b">
        <f>Q83=_R32Matchups[[#This Row],[1I vs]]</f>
        <v>1</v>
      </c>
      <c r="AA83" t="b">
        <f>R83=_R32Matchups[[#This Row],[1K vs]]</f>
        <v>1</v>
      </c>
      <c r="AB83" t="b">
        <f>S83=_R32Matchups[[#This Row],[1L vs]]</f>
        <v>1</v>
      </c>
    </row>
    <row r="84" spans="1:28" ht="14.4">
      <c r="A84" s="2" t="s">
        <v>102</v>
      </c>
      <c r="B84" s="2" t="s">
        <v>14</v>
      </c>
      <c r="C84" s="2" t="s">
        <v>11</v>
      </c>
      <c r="D84" s="2" t="s">
        <v>65</v>
      </c>
      <c r="E84" s="2" t="s">
        <v>28</v>
      </c>
      <c r="F84" s="2" t="s">
        <v>12</v>
      </c>
      <c r="G84" s="2" t="s">
        <v>13</v>
      </c>
      <c r="H84" s="2" t="s">
        <v>16</v>
      </c>
      <c r="I84" s="2" t="s">
        <v>17</v>
      </c>
      <c r="K84" t="s">
        <v>102</v>
      </c>
      <c r="L84" t="s">
        <v>14</v>
      </c>
      <c r="M84" t="s">
        <v>11</v>
      </c>
      <c r="N84" t="s">
        <v>65</v>
      </c>
      <c r="O84" t="s">
        <v>28</v>
      </c>
      <c r="P84" t="s">
        <v>12</v>
      </c>
      <c r="Q84" t="s">
        <v>13</v>
      </c>
      <c r="R84" t="s">
        <v>16</v>
      </c>
      <c r="S84" t="s">
        <v>17</v>
      </c>
      <c r="U84" t="b">
        <f>L84=_R32Matchups[[#This Row],[1A vs]]</f>
        <v>1</v>
      </c>
      <c r="V84" t="b">
        <f>M84=_R32Matchups[[#This Row],[1B vs]]</f>
        <v>1</v>
      </c>
      <c r="W84" t="b">
        <f>N84=_R32Matchups[[#This Row],[1D vs]]</f>
        <v>1</v>
      </c>
      <c r="X84" t="b">
        <f>O84=_R32Matchups[[#This Row],[1E vs]]</f>
        <v>1</v>
      </c>
      <c r="Y84" t="b">
        <f>P84=_R32Matchups[[#This Row],[1G vs]]</f>
        <v>1</v>
      </c>
      <c r="Z84" t="b">
        <f>Q84=_R32Matchups[[#This Row],[1I vs]]</f>
        <v>1</v>
      </c>
      <c r="AA84" t="b">
        <f>R84=_R32Matchups[[#This Row],[1K vs]]</f>
        <v>1</v>
      </c>
      <c r="AB84" t="b">
        <f>S84=_R32Matchups[[#This Row],[1L vs]]</f>
        <v>1</v>
      </c>
    </row>
    <row r="85" spans="1:28" ht="14.4">
      <c r="A85" s="2" t="s">
        <v>103</v>
      </c>
      <c r="B85" s="2" t="s">
        <v>12</v>
      </c>
      <c r="C85" s="2" t="s">
        <v>15</v>
      </c>
      <c r="D85" s="2" t="s">
        <v>65</v>
      </c>
      <c r="E85" s="2" t="s">
        <v>28</v>
      </c>
      <c r="F85" s="2" t="s">
        <v>11</v>
      </c>
      <c r="G85" s="2" t="s">
        <v>13</v>
      </c>
      <c r="H85" s="2" t="s">
        <v>16</v>
      </c>
      <c r="I85" s="2" t="s">
        <v>17</v>
      </c>
      <c r="K85" t="s">
        <v>103</v>
      </c>
      <c r="L85" t="s">
        <v>12</v>
      </c>
      <c r="M85" t="s">
        <v>15</v>
      </c>
      <c r="N85" t="s">
        <v>65</v>
      </c>
      <c r="O85" t="s">
        <v>28</v>
      </c>
      <c r="P85" t="s">
        <v>11</v>
      </c>
      <c r="Q85" t="s">
        <v>13</v>
      </c>
      <c r="R85" t="s">
        <v>16</v>
      </c>
      <c r="S85" t="s">
        <v>17</v>
      </c>
      <c r="U85" t="b">
        <f>L85=_R32Matchups[[#This Row],[1A vs]]</f>
        <v>1</v>
      </c>
      <c r="V85" t="b">
        <f>M85=_R32Matchups[[#This Row],[1B vs]]</f>
        <v>1</v>
      </c>
      <c r="W85" t="b">
        <f>N85=_R32Matchups[[#This Row],[1D vs]]</f>
        <v>1</v>
      </c>
      <c r="X85" t="b">
        <f>O85=_R32Matchups[[#This Row],[1E vs]]</f>
        <v>1</v>
      </c>
      <c r="Y85" t="b">
        <f>P85=_R32Matchups[[#This Row],[1G vs]]</f>
        <v>1</v>
      </c>
      <c r="Z85" t="b">
        <f>Q85=_R32Matchups[[#This Row],[1I vs]]</f>
        <v>1</v>
      </c>
      <c r="AA85" t="b">
        <f>R85=_R32Matchups[[#This Row],[1K vs]]</f>
        <v>1</v>
      </c>
      <c r="AB85" t="b">
        <f>S85=_R32Matchups[[#This Row],[1L vs]]</f>
        <v>1</v>
      </c>
    </row>
    <row r="86" spans="1:28" ht="14.4">
      <c r="A86" s="2" t="s">
        <v>104</v>
      </c>
      <c r="B86" s="2" t="s">
        <v>14</v>
      </c>
      <c r="C86" s="2" t="s">
        <v>15</v>
      </c>
      <c r="D86" s="2" t="s">
        <v>65</v>
      </c>
      <c r="E86" s="2" t="s">
        <v>28</v>
      </c>
      <c r="F86" s="2" t="s">
        <v>11</v>
      </c>
      <c r="G86" s="2" t="s">
        <v>13</v>
      </c>
      <c r="H86" s="2" t="s">
        <v>16</v>
      </c>
      <c r="I86" s="2" t="s">
        <v>17</v>
      </c>
      <c r="K86" t="s">
        <v>104</v>
      </c>
      <c r="L86" t="s">
        <v>14</v>
      </c>
      <c r="M86" t="s">
        <v>15</v>
      </c>
      <c r="N86" t="s">
        <v>65</v>
      </c>
      <c r="O86" t="s">
        <v>28</v>
      </c>
      <c r="P86" t="s">
        <v>11</v>
      </c>
      <c r="Q86" t="s">
        <v>13</v>
      </c>
      <c r="R86" t="s">
        <v>16</v>
      </c>
      <c r="S86" t="s">
        <v>17</v>
      </c>
      <c r="U86" t="b">
        <f>L86=_R32Matchups[[#This Row],[1A vs]]</f>
        <v>1</v>
      </c>
      <c r="V86" t="b">
        <f>M86=_R32Matchups[[#This Row],[1B vs]]</f>
        <v>1</v>
      </c>
      <c r="W86" t="b">
        <f>N86=_R32Matchups[[#This Row],[1D vs]]</f>
        <v>1</v>
      </c>
      <c r="X86" t="b">
        <f>O86=_R32Matchups[[#This Row],[1E vs]]</f>
        <v>1</v>
      </c>
      <c r="Y86" t="b">
        <f>P86=_R32Matchups[[#This Row],[1G vs]]</f>
        <v>1</v>
      </c>
      <c r="Z86" t="b">
        <f>Q86=_R32Matchups[[#This Row],[1I vs]]</f>
        <v>1</v>
      </c>
      <c r="AA86" t="b">
        <f>R86=_R32Matchups[[#This Row],[1K vs]]</f>
        <v>1</v>
      </c>
      <c r="AB86" t="b">
        <f>S86=_R32Matchups[[#This Row],[1L vs]]</f>
        <v>1</v>
      </c>
    </row>
    <row r="87" spans="1:28" ht="14.4">
      <c r="A87" s="2" t="s">
        <v>105</v>
      </c>
      <c r="B87" s="2" t="s">
        <v>14</v>
      </c>
      <c r="C87" s="2" t="s">
        <v>15</v>
      </c>
      <c r="D87" s="2" t="s">
        <v>65</v>
      </c>
      <c r="E87" s="2" t="s">
        <v>28</v>
      </c>
      <c r="F87" s="2" t="s">
        <v>12</v>
      </c>
      <c r="G87" s="2" t="s">
        <v>13</v>
      </c>
      <c r="H87" s="2" t="s">
        <v>16</v>
      </c>
      <c r="I87" s="2" t="s">
        <v>17</v>
      </c>
      <c r="K87" t="s">
        <v>105</v>
      </c>
      <c r="L87" t="s">
        <v>14</v>
      </c>
      <c r="M87" t="s">
        <v>15</v>
      </c>
      <c r="N87" t="s">
        <v>65</v>
      </c>
      <c r="O87" t="s">
        <v>28</v>
      </c>
      <c r="P87" t="s">
        <v>12</v>
      </c>
      <c r="Q87" t="s">
        <v>13</v>
      </c>
      <c r="R87" t="s">
        <v>16</v>
      </c>
      <c r="S87" t="s">
        <v>17</v>
      </c>
      <c r="U87" t="b">
        <f>L87=_R32Matchups[[#This Row],[1A vs]]</f>
        <v>1</v>
      </c>
      <c r="V87" t="b">
        <f>M87=_R32Matchups[[#This Row],[1B vs]]</f>
        <v>1</v>
      </c>
      <c r="W87" t="b">
        <f>N87=_R32Matchups[[#This Row],[1D vs]]</f>
        <v>1</v>
      </c>
      <c r="X87" t="b">
        <f>O87=_R32Matchups[[#This Row],[1E vs]]</f>
        <v>1</v>
      </c>
      <c r="Y87" t="b">
        <f>P87=_R32Matchups[[#This Row],[1G vs]]</f>
        <v>1</v>
      </c>
      <c r="Z87" t="b">
        <f>Q87=_R32Matchups[[#This Row],[1I vs]]</f>
        <v>1</v>
      </c>
      <c r="AA87" t="b">
        <f>R87=_R32Matchups[[#This Row],[1K vs]]</f>
        <v>1</v>
      </c>
      <c r="AB87" t="b">
        <f>S87=_R32Matchups[[#This Row],[1L vs]]</f>
        <v>1</v>
      </c>
    </row>
    <row r="88" spans="1:28" ht="14.4">
      <c r="A88" s="2" t="s">
        <v>106</v>
      </c>
      <c r="B88" s="2" t="s">
        <v>14</v>
      </c>
      <c r="C88" s="2" t="s">
        <v>15</v>
      </c>
      <c r="D88" s="2" t="s">
        <v>65</v>
      </c>
      <c r="E88" s="2" t="s">
        <v>28</v>
      </c>
      <c r="F88" s="2" t="s">
        <v>11</v>
      </c>
      <c r="G88" s="2" t="s">
        <v>13</v>
      </c>
      <c r="H88" s="2" t="s">
        <v>16</v>
      </c>
      <c r="I88" s="2" t="s">
        <v>12</v>
      </c>
      <c r="K88" t="s">
        <v>106</v>
      </c>
      <c r="L88" t="s">
        <v>14</v>
      </c>
      <c r="M88" t="s">
        <v>15</v>
      </c>
      <c r="N88" t="s">
        <v>65</v>
      </c>
      <c r="O88" t="s">
        <v>28</v>
      </c>
      <c r="P88" t="s">
        <v>11</v>
      </c>
      <c r="Q88" t="s">
        <v>13</v>
      </c>
      <c r="R88" t="s">
        <v>16</v>
      </c>
      <c r="S88" t="s">
        <v>12</v>
      </c>
      <c r="U88" t="b">
        <f>L88=_R32Matchups[[#This Row],[1A vs]]</f>
        <v>1</v>
      </c>
      <c r="V88" t="b">
        <f>M88=_R32Matchups[[#This Row],[1B vs]]</f>
        <v>1</v>
      </c>
      <c r="W88" t="b">
        <f>N88=_R32Matchups[[#This Row],[1D vs]]</f>
        <v>1</v>
      </c>
      <c r="X88" t="b">
        <f>O88=_R32Matchups[[#This Row],[1E vs]]</f>
        <v>1</v>
      </c>
      <c r="Y88" t="b">
        <f>P88=_R32Matchups[[#This Row],[1G vs]]</f>
        <v>1</v>
      </c>
      <c r="Z88" t="b">
        <f>Q88=_R32Matchups[[#This Row],[1I vs]]</f>
        <v>1</v>
      </c>
      <c r="AA88" t="b">
        <f>R88=_R32Matchups[[#This Row],[1K vs]]</f>
        <v>1</v>
      </c>
      <c r="AB88" t="b">
        <f>S88=_R32Matchups[[#This Row],[1L vs]]</f>
        <v>1</v>
      </c>
    </row>
    <row r="89" spans="1:28" ht="14.4">
      <c r="A89" s="2" t="s">
        <v>107</v>
      </c>
      <c r="B89" s="2" t="s">
        <v>14</v>
      </c>
      <c r="C89" s="2" t="s">
        <v>15</v>
      </c>
      <c r="D89" s="2" t="s">
        <v>65</v>
      </c>
      <c r="E89" s="2" t="s">
        <v>28</v>
      </c>
      <c r="F89" s="2" t="s">
        <v>11</v>
      </c>
      <c r="G89" s="2" t="s">
        <v>13</v>
      </c>
      <c r="H89" s="2" t="s">
        <v>12</v>
      </c>
      <c r="I89" s="2" t="s">
        <v>17</v>
      </c>
      <c r="K89" t="s">
        <v>107</v>
      </c>
      <c r="L89" t="s">
        <v>14</v>
      </c>
      <c r="M89" t="s">
        <v>15</v>
      </c>
      <c r="N89" t="s">
        <v>65</v>
      </c>
      <c r="O89" t="s">
        <v>28</v>
      </c>
      <c r="P89" t="s">
        <v>11</v>
      </c>
      <c r="Q89" t="s">
        <v>13</v>
      </c>
      <c r="R89" t="s">
        <v>12</v>
      </c>
      <c r="S89" t="s">
        <v>17</v>
      </c>
      <c r="U89" t="b">
        <f>L89=_R32Matchups[[#This Row],[1A vs]]</f>
        <v>1</v>
      </c>
      <c r="V89" t="b">
        <f>M89=_R32Matchups[[#This Row],[1B vs]]</f>
        <v>1</v>
      </c>
      <c r="W89" t="b">
        <f>N89=_R32Matchups[[#This Row],[1D vs]]</f>
        <v>1</v>
      </c>
      <c r="X89" t="b">
        <f>O89=_R32Matchups[[#This Row],[1E vs]]</f>
        <v>1</v>
      </c>
      <c r="Y89" t="b">
        <f>P89=_R32Matchups[[#This Row],[1G vs]]</f>
        <v>1</v>
      </c>
      <c r="Z89" t="b">
        <f>Q89=_R32Matchups[[#This Row],[1I vs]]</f>
        <v>1</v>
      </c>
      <c r="AA89" t="b">
        <f>R89=_R32Matchups[[#This Row],[1K vs]]</f>
        <v>1</v>
      </c>
      <c r="AB89" t="b">
        <f>S89=_R32Matchups[[#This Row],[1L vs]]</f>
        <v>1</v>
      </c>
    </row>
    <row r="90" spans="1:28" ht="14.4">
      <c r="A90" s="2" t="s">
        <v>108</v>
      </c>
      <c r="B90" s="2" t="s">
        <v>10</v>
      </c>
      <c r="C90" s="2" t="s">
        <v>11</v>
      </c>
      <c r="D90" s="2" t="s">
        <v>65</v>
      </c>
      <c r="E90" s="2" t="s">
        <v>28</v>
      </c>
      <c r="F90" s="2" t="s">
        <v>12</v>
      </c>
      <c r="G90" s="2" t="s">
        <v>14</v>
      </c>
      <c r="H90" s="2" t="s">
        <v>16</v>
      </c>
      <c r="I90" s="2" t="s">
        <v>17</v>
      </c>
      <c r="K90" t="s">
        <v>108</v>
      </c>
      <c r="L90" t="s">
        <v>10</v>
      </c>
      <c r="M90" t="s">
        <v>11</v>
      </c>
      <c r="N90" t="s">
        <v>65</v>
      </c>
      <c r="O90" t="s">
        <v>28</v>
      </c>
      <c r="P90" t="s">
        <v>12</v>
      </c>
      <c r="Q90" t="s">
        <v>14</v>
      </c>
      <c r="R90" t="s">
        <v>16</v>
      </c>
      <c r="S90" t="s">
        <v>17</v>
      </c>
      <c r="U90" t="b">
        <f>L90=_R32Matchups[[#This Row],[1A vs]]</f>
        <v>1</v>
      </c>
      <c r="V90" t="b">
        <f>M90=_R32Matchups[[#This Row],[1B vs]]</f>
        <v>1</v>
      </c>
      <c r="W90" t="b">
        <f>N90=_R32Matchups[[#This Row],[1D vs]]</f>
        <v>1</v>
      </c>
      <c r="X90" t="b">
        <f>O90=_R32Matchups[[#This Row],[1E vs]]</f>
        <v>1</v>
      </c>
      <c r="Y90" t="b">
        <f>P90=_R32Matchups[[#This Row],[1G vs]]</f>
        <v>1</v>
      </c>
      <c r="Z90" t="b">
        <f>Q90=_R32Matchups[[#This Row],[1I vs]]</f>
        <v>1</v>
      </c>
      <c r="AA90" t="b">
        <f>R90=_R32Matchups[[#This Row],[1K vs]]</f>
        <v>1</v>
      </c>
      <c r="AB90" t="b">
        <f>S90=_R32Matchups[[#This Row],[1L vs]]</f>
        <v>1</v>
      </c>
    </row>
    <row r="91" spans="1:28" ht="14.4">
      <c r="A91" s="2" t="s">
        <v>109</v>
      </c>
      <c r="B91" s="2" t="s">
        <v>10</v>
      </c>
      <c r="C91" s="2" t="s">
        <v>11</v>
      </c>
      <c r="D91" s="2" t="s">
        <v>65</v>
      </c>
      <c r="E91" s="2" t="s">
        <v>28</v>
      </c>
      <c r="F91" s="2" t="s">
        <v>12</v>
      </c>
      <c r="G91" s="2" t="s">
        <v>15</v>
      </c>
      <c r="H91" s="2" t="s">
        <v>16</v>
      </c>
      <c r="I91" s="2" t="s">
        <v>17</v>
      </c>
      <c r="K91" t="s">
        <v>109</v>
      </c>
      <c r="L91" t="s">
        <v>10</v>
      </c>
      <c r="M91" t="s">
        <v>11</v>
      </c>
      <c r="N91" t="s">
        <v>65</v>
      </c>
      <c r="O91" t="s">
        <v>28</v>
      </c>
      <c r="P91" t="s">
        <v>12</v>
      </c>
      <c r="Q91" t="s">
        <v>15</v>
      </c>
      <c r="R91" t="s">
        <v>16</v>
      </c>
      <c r="S91" t="s">
        <v>17</v>
      </c>
      <c r="U91" t="b">
        <f>L91=_R32Matchups[[#This Row],[1A vs]]</f>
        <v>1</v>
      </c>
      <c r="V91" t="b">
        <f>M91=_R32Matchups[[#This Row],[1B vs]]</f>
        <v>1</v>
      </c>
      <c r="W91" t="b">
        <f>N91=_R32Matchups[[#This Row],[1D vs]]</f>
        <v>1</v>
      </c>
      <c r="X91" t="b">
        <f>O91=_R32Matchups[[#This Row],[1E vs]]</f>
        <v>1</v>
      </c>
      <c r="Y91" t="b">
        <f>P91=_R32Matchups[[#This Row],[1G vs]]</f>
        <v>1</v>
      </c>
      <c r="Z91" t="b">
        <f>Q91=_R32Matchups[[#This Row],[1I vs]]</f>
        <v>1</v>
      </c>
      <c r="AA91" t="b">
        <f>R91=_R32Matchups[[#This Row],[1K vs]]</f>
        <v>1</v>
      </c>
      <c r="AB91" t="b">
        <f>S91=_R32Matchups[[#This Row],[1L vs]]</f>
        <v>1</v>
      </c>
    </row>
    <row r="92" spans="1:28" ht="14.4">
      <c r="A92" s="2" t="s">
        <v>110</v>
      </c>
      <c r="B92" s="2" t="s">
        <v>10</v>
      </c>
      <c r="C92" s="2" t="s">
        <v>11</v>
      </c>
      <c r="D92" s="2" t="s">
        <v>65</v>
      </c>
      <c r="E92" s="2" t="s">
        <v>28</v>
      </c>
      <c r="F92" s="2" t="s">
        <v>14</v>
      </c>
      <c r="G92" s="2" t="s">
        <v>15</v>
      </c>
      <c r="H92" s="2" t="s">
        <v>16</v>
      </c>
      <c r="I92" s="2" t="s">
        <v>17</v>
      </c>
      <c r="K92" t="s">
        <v>110</v>
      </c>
      <c r="L92" t="s">
        <v>10</v>
      </c>
      <c r="M92" t="s">
        <v>11</v>
      </c>
      <c r="N92" t="s">
        <v>65</v>
      </c>
      <c r="O92" t="s">
        <v>28</v>
      </c>
      <c r="P92" t="s">
        <v>14</v>
      </c>
      <c r="Q92" t="s">
        <v>15</v>
      </c>
      <c r="R92" t="s">
        <v>16</v>
      </c>
      <c r="S92" t="s">
        <v>17</v>
      </c>
      <c r="U92" t="b">
        <f>L92=_R32Matchups[[#This Row],[1A vs]]</f>
        <v>1</v>
      </c>
      <c r="V92" t="b">
        <f>M92=_R32Matchups[[#This Row],[1B vs]]</f>
        <v>1</v>
      </c>
      <c r="W92" t="b">
        <f>N92=_R32Matchups[[#This Row],[1D vs]]</f>
        <v>1</v>
      </c>
      <c r="X92" t="b">
        <f>O92=_R32Matchups[[#This Row],[1E vs]]</f>
        <v>1</v>
      </c>
      <c r="Y92" t="b">
        <f>P92=_R32Matchups[[#This Row],[1G vs]]</f>
        <v>1</v>
      </c>
      <c r="Z92" t="b">
        <f>Q92=_R32Matchups[[#This Row],[1I vs]]</f>
        <v>1</v>
      </c>
      <c r="AA92" t="b">
        <f>R92=_R32Matchups[[#This Row],[1K vs]]</f>
        <v>1</v>
      </c>
      <c r="AB92" t="b">
        <f>S92=_R32Matchups[[#This Row],[1L vs]]</f>
        <v>1</v>
      </c>
    </row>
    <row r="93" spans="1:28" ht="14.4">
      <c r="A93" s="2" t="s">
        <v>111</v>
      </c>
      <c r="B93" s="2" t="s">
        <v>10</v>
      </c>
      <c r="C93" s="2" t="s">
        <v>15</v>
      </c>
      <c r="D93" s="2" t="s">
        <v>65</v>
      </c>
      <c r="E93" s="2" t="s">
        <v>28</v>
      </c>
      <c r="F93" s="2" t="s">
        <v>12</v>
      </c>
      <c r="G93" s="2" t="s">
        <v>14</v>
      </c>
      <c r="H93" s="2" t="s">
        <v>16</v>
      </c>
      <c r="I93" s="2" t="s">
        <v>17</v>
      </c>
      <c r="K93" t="s">
        <v>111</v>
      </c>
      <c r="L93" t="s">
        <v>10</v>
      </c>
      <c r="M93" t="s">
        <v>15</v>
      </c>
      <c r="N93" t="s">
        <v>65</v>
      </c>
      <c r="O93" t="s">
        <v>28</v>
      </c>
      <c r="P93" t="s">
        <v>12</v>
      </c>
      <c r="Q93" t="s">
        <v>14</v>
      </c>
      <c r="R93" t="s">
        <v>16</v>
      </c>
      <c r="S93" t="s">
        <v>17</v>
      </c>
      <c r="U93" t="b">
        <f>L93=_R32Matchups[[#This Row],[1A vs]]</f>
        <v>1</v>
      </c>
      <c r="V93" t="b">
        <f>M93=_R32Matchups[[#This Row],[1B vs]]</f>
        <v>1</v>
      </c>
      <c r="W93" t="b">
        <f>N93=_R32Matchups[[#This Row],[1D vs]]</f>
        <v>1</v>
      </c>
      <c r="X93" t="b">
        <f>O93=_R32Matchups[[#This Row],[1E vs]]</f>
        <v>1</v>
      </c>
      <c r="Y93" t="b">
        <f>P93=_R32Matchups[[#This Row],[1G vs]]</f>
        <v>1</v>
      </c>
      <c r="Z93" t="b">
        <f>Q93=_R32Matchups[[#This Row],[1I vs]]</f>
        <v>1</v>
      </c>
      <c r="AA93" t="b">
        <f>R93=_R32Matchups[[#This Row],[1K vs]]</f>
        <v>1</v>
      </c>
      <c r="AB93" t="b">
        <f>S93=_R32Matchups[[#This Row],[1L vs]]</f>
        <v>1</v>
      </c>
    </row>
    <row r="94" spans="1:28" ht="14.4">
      <c r="A94" s="2" t="s">
        <v>112</v>
      </c>
      <c r="B94" s="2" t="s">
        <v>10</v>
      </c>
      <c r="C94" s="2" t="s">
        <v>11</v>
      </c>
      <c r="D94" s="2" t="s">
        <v>65</v>
      </c>
      <c r="E94" s="2" t="s">
        <v>28</v>
      </c>
      <c r="F94" s="2" t="s">
        <v>14</v>
      </c>
      <c r="G94" s="2" t="s">
        <v>15</v>
      </c>
      <c r="H94" s="2" t="s">
        <v>16</v>
      </c>
      <c r="I94" s="2" t="s">
        <v>12</v>
      </c>
      <c r="K94" t="s">
        <v>112</v>
      </c>
      <c r="L94" t="s">
        <v>10</v>
      </c>
      <c r="M94" t="s">
        <v>11</v>
      </c>
      <c r="N94" t="s">
        <v>65</v>
      </c>
      <c r="O94" t="s">
        <v>28</v>
      </c>
      <c r="P94" t="s">
        <v>14</v>
      </c>
      <c r="Q94" t="s">
        <v>15</v>
      </c>
      <c r="R94" t="s">
        <v>16</v>
      </c>
      <c r="S94" t="s">
        <v>12</v>
      </c>
      <c r="U94" t="b">
        <f>L94=_R32Matchups[[#This Row],[1A vs]]</f>
        <v>1</v>
      </c>
      <c r="V94" t="b">
        <f>M94=_R32Matchups[[#This Row],[1B vs]]</f>
        <v>1</v>
      </c>
      <c r="W94" t="b">
        <f>N94=_R32Matchups[[#This Row],[1D vs]]</f>
        <v>1</v>
      </c>
      <c r="X94" t="b">
        <f>O94=_R32Matchups[[#This Row],[1E vs]]</f>
        <v>1</v>
      </c>
      <c r="Y94" t="b">
        <f>P94=_R32Matchups[[#This Row],[1G vs]]</f>
        <v>1</v>
      </c>
      <c r="Z94" t="b">
        <f>Q94=_R32Matchups[[#This Row],[1I vs]]</f>
        <v>1</v>
      </c>
      <c r="AA94" t="b">
        <f>R94=_R32Matchups[[#This Row],[1K vs]]</f>
        <v>1</v>
      </c>
      <c r="AB94" t="b">
        <f>S94=_R32Matchups[[#This Row],[1L vs]]</f>
        <v>1</v>
      </c>
    </row>
    <row r="95" spans="1:28" ht="14.4">
      <c r="A95" s="2" t="s">
        <v>113</v>
      </c>
      <c r="B95" s="2" t="s">
        <v>10</v>
      </c>
      <c r="C95" s="2" t="s">
        <v>11</v>
      </c>
      <c r="D95" s="2" t="s">
        <v>65</v>
      </c>
      <c r="E95" s="2" t="s">
        <v>28</v>
      </c>
      <c r="F95" s="2" t="s">
        <v>14</v>
      </c>
      <c r="G95" s="2" t="s">
        <v>15</v>
      </c>
      <c r="H95" s="2" t="s">
        <v>12</v>
      </c>
      <c r="I95" s="2" t="s">
        <v>17</v>
      </c>
      <c r="K95" t="s">
        <v>113</v>
      </c>
      <c r="L95" t="s">
        <v>10</v>
      </c>
      <c r="M95" t="s">
        <v>11</v>
      </c>
      <c r="N95" t="s">
        <v>65</v>
      </c>
      <c r="O95" t="s">
        <v>28</v>
      </c>
      <c r="P95" t="s">
        <v>14</v>
      </c>
      <c r="Q95" t="s">
        <v>15</v>
      </c>
      <c r="R95" t="s">
        <v>12</v>
      </c>
      <c r="S95" t="s">
        <v>17</v>
      </c>
      <c r="U95" t="b">
        <f>L95=_R32Matchups[[#This Row],[1A vs]]</f>
        <v>1</v>
      </c>
      <c r="V95" t="b">
        <f>M95=_R32Matchups[[#This Row],[1B vs]]</f>
        <v>1</v>
      </c>
      <c r="W95" t="b">
        <f>N95=_R32Matchups[[#This Row],[1D vs]]</f>
        <v>1</v>
      </c>
      <c r="X95" t="b">
        <f>O95=_R32Matchups[[#This Row],[1E vs]]</f>
        <v>1</v>
      </c>
      <c r="Y95" t="b">
        <f>P95=_R32Matchups[[#This Row],[1G vs]]</f>
        <v>1</v>
      </c>
      <c r="Z95" t="b">
        <f>Q95=_R32Matchups[[#This Row],[1I vs]]</f>
        <v>1</v>
      </c>
      <c r="AA95" t="b">
        <f>R95=_R32Matchups[[#This Row],[1K vs]]</f>
        <v>1</v>
      </c>
      <c r="AB95" t="b">
        <f>S95=_R32Matchups[[#This Row],[1L vs]]</f>
        <v>1</v>
      </c>
    </row>
    <row r="96" spans="1:28" ht="14.4">
      <c r="A96" s="2" t="s">
        <v>114</v>
      </c>
      <c r="B96" s="2" t="s">
        <v>10</v>
      </c>
      <c r="C96" s="2" t="s">
        <v>11</v>
      </c>
      <c r="D96" s="2" t="s">
        <v>65</v>
      </c>
      <c r="E96" s="2" t="s">
        <v>28</v>
      </c>
      <c r="F96" s="2" t="s">
        <v>12</v>
      </c>
      <c r="G96" s="2" t="s">
        <v>13</v>
      </c>
      <c r="H96" s="2" t="s">
        <v>16</v>
      </c>
      <c r="I96" s="2" t="s">
        <v>17</v>
      </c>
      <c r="K96" t="s">
        <v>114</v>
      </c>
      <c r="L96" t="s">
        <v>10</v>
      </c>
      <c r="M96" t="s">
        <v>11</v>
      </c>
      <c r="N96" t="s">
        <v>65</v>
      </c>
      <c r="O96" t="s">
        <v>28</v>
      </c>
      <c r="P96" t="s">
        <v>12</v>
      </c>
      <c r="Q96" t="s">
        <v>13</v>
      </c>
      <c r="R96" t="s">
        <v>16</v>
      </c>
      <c r="S96" t="s">
        <v>17</v>
      </c>
      <c r="U96" t="b">
        <f>L96=_R32Matchups[[#This Row],[1A vs]]</f>
        <v>1</v>
      </c>
      <c r="V96" t="b">
        <f>M96=_R32Matchups[[#This Row],[1B vs]]</f>
        <v>1</v>
      </c>
      <c r="W96" t="b">
        <f>N96=_R32Matchups[[#This Row],[1D vs]]</f>
        <v>1</v>
      </c>
      <c r="X96" t="b">
        <f>O96=_R32Matchups[[#This Row],[1E vs]]</f>
        <v>1</v>
      </c>
      <c r="Y96" t="b">
        <f>P96=_R32Matchups[[#This Row],[1G vs]]</f>
        <v>1</v>
      </c>
      <c r="Z96" t="b">
        <f>Q96=_R32Matchups[[#This Row],[1I vs]]</f>
        <v>1</v>
      </c>
      <c r="AA96" t="b">
        <f>R96=_R32Matchups[[#This Row],[1K vs]]</f>
        <v>1</v>
      </c>
      <c r="AB96" t="b">
        <f>S96=_R32Matchups[[#This Row],[1L vs]]</f>
        <v>1</v>
      </c>
    </row>
    <row r="97" spans="1:28" ht="14.4">
      <c r="A97" s="2" t="s">
        <v>115</v>
      </c>
      <c r="B97" s="2" t="s">
        <v>10</v>
      </c>
      <c r="C97" s="2" t="s">
        <v>11</v>
      </c>
      <c r="D97" s="2" t="s">
        <v>65</v>
      </c>
      <c r="E97" s="2" t="s">
        <v>28</v>
      </c>
      <c r="F97" s="2" t="s">
        <v>14</v>
      </c>
      <c r="G97" s="2" t="s">
        <v>13</v>
      </c>
      <c r="H97" s="2" t="s">
        <v>16</v>
      </c>
      <c r="I97" s="2" t="s">
        <v>17</v>
      </c>
      <c r="K97" t="s">
        <v>115</v>
      </c>
      <c r="L97" t="s">
        <v>10</v>
      </c>
      <c r="M97" t="s">
        <v>11</v>
      </c>
      <c r="N97" t="s">
        <v>65</v>
      </c>
      <c r="O97" t="s">
        <v>28</v>
      </c>
      <c r="P97" t="s">
        <v>14</v>
      </c>
      <c r="Q97" t="s">
        <v>13</v>
      </c>
      <c r="R97" t="s">
        <v>16</v>
      </c>
      <c r="S97" t="s">
        <v>17</v>
      </c>
      <c r="U97" t="b">
        <f>L97=_R32Matchups[[#This Row],[1A vs]]</f>
        <v>1</v>
      </c>
      <c r="V97" t="b">
        <f>M97=_R32Matchups[[#This Row],[1B vs]]</f>
        <v>1</v>
      </c>
      <c r="W97" t="b">
        <f>N97=_R32Matchups[[#This Row],[1D vs]]</f>
        <v>1</v>
      </c>
      <c r="X97" t="b">
        <f>O97=_R32Matchups[[#This Row],[1E vs]]</f>
        <v>1</v>
      </c>
      <c r="Y97" t="b">
        <f>P97=_R32Matchups[[#This Row],[1G vs]]</f>
        <v>1</v>
      </c>
      <c r="Z97" t="b">
        <f>Q97=_R32Matchups[[#This Row],[1I vs]]</f>
        <v>1</v>
      </c>
      <c r="AA97" t="b">
        <f>R97=_R32Matchups[[#This Row],[1K vs]]</f>
        <v>1</v>
      </c>
      <c r="AB97" t="b">
        <f>S97=_R32Matchups[[#This Row],[1L vs]]</f>
        <v>1</v>
      </c>
    </row>
    <row r="98" spans="1:28" ht="14.4">
      <c r="A98" s="2" t="s">
        <v>116</v>
      </c>
      <c r="B98" s="2" t="s">
        <v>10</v>
      </c>
      <c r="C98" s="2" t="s">
        <v>12</v>
      </c>
      <c r="D98" s="2" t="s">
        <v>65</v>
      </c>
      <c r="E98" s="2" t="s">
        <v>28</v>
      </c>
      <c r="F98" s="2" t="s">
        <v>14</v>
      </c>
      <c r="G98" s="2" t="s">
        <v>13</v>
      </c>
      <c r="H98" s="2" t="s">
        <v>16</v>
      </c>
      <c r="I98" s="2" t="s">
        <v>17</v>
      </c>
      <c r="K98" t="s">
        <v>116</v>
      </c>
      <c r="L98" t="s">
        <v>10</v>
      </c>
      <c r="M98" t="s">
        <v>12</v>
      </c>
      <c r="N98" t="s">
        <v>65</v>
      </c>
      <c r="O98" t="s">
        <v>28</v>
      </c>
      <c r="P98" t="s">
        <v>14</v>
      </c>
      <c r="Q98" t="s">
        <v>13</v>
      </c>
      <c r="R98" t="s">
        <v>16</v>
      </c>
      <c r="S98" t="s">
        <v>17</v>
      </c>
      <c r="U98" t="b">
        <f>L98=_R32Matchups[[#This Row],[1A vs]]</f>
        <v>1</v>
      </c>
      <c r="V98" t="b">
        <f>M98=_R32Matchups[[#This Row],[1B vs]]</f>
        <v>1</v>
      </c>
      <c r="W98" t="b">
        <f>N98=_R32Matchups[[#This Row],[1D vs]]</f>
        <v>1</v>
      </c>
      <c r="X98" t="b">
        <f>O98=_R32Matchups[[#This Row],[1E vs]]</f>
        <v>1</v>
      </c>
      <c r="Y98" t="b">
        <f>P98=_R32Matchups[[#This Row],[1G vs]]</f>
        <v>1</v>
      </c>
      <c r="Z98" t="b">
        <f>Q98=_R32Matchups[[#This Row],[1I vs]]</f>
        <v>1</v>
      </c>
      <c r="AA98" t="b">
        <f>R98=_R32Matchups[[#This Row],[1K vs]]</f>
        <v>1</v>
      </c>
      <c r="AB98" t="b">
        <f>S98=_R32Matchups[[#This Row],[1L vs]]</f>
        <v>1</v>
      </c>
    </row>
    <row r="99" spans="1:28" ht="14.4">
      <c r="A99" s="2" t="s">
        <v>117</v>
      </c>
      <c r="B99" s="2" t="s">
        <v>10</v>
      </c>
      <c r="C99" s="2" t="s">
        <v>11</v>
      </c>
      <c r="D99" s="2" t="s">
        <v>65</v>
      </c>
      <c r="E99" s="2" t="s">
        <v>28</v>
      </c>
      <c r="F99" s="2" t="s">
        <v>14</v>
      </c>
      <c r="G99" s="2" t="s">
        <v>13</v>
      </c>
      <c r="H99" s="2" t="s">
        <v>16</v>
      </c>
      <c r="I99" s="2" t="s">
        <v>12</v>
      </c>
      <c r="K99" t="s">
        <v>117</v>
      </c>
      <c r="L99" t="s">
        <v>10</v>
      </c>
      <c r="M99" t="s">
        <v>11</v>
      </c>
      <c r="N99" t="s">
        <v>65</v>
      </c>
      <c r="O99" t="s">
        <v>28</v>
      </c>
      <c r="P99" t="s">
        <v>14</v>
      </c>
      <c r="Q99" t="s">
        <v>13</v>
      </c>
      <c r="R99" t="s">
        <v>16</v>
      </c>
      <c r="S99" t="s">
        <v>12</v>
      </c>
      <c r="U99" t="b">
        <f>L99=_R32Matchups[[#This Row],[1A vs]]</f>
        <v>1</v>
      </c>
      <c r="V99" t="b">
        <f>M99=_R32Matchups[[#This Row],[1B vs]]</f>
        <v>1</v>
      </c>
      <c r="W99" t="b">
        <f>N99=_R32Matchups[[#This Row],[1D vs]]</f>
        <v>1</v>
      </c>
      <c r="X99" t="b">
        <f>O99=_R32Matchups[[#This Row],[1E vs]]</f>
        <v>1</v>
      </c>
      <c r="Y99" t="b">
        <f>P99=_R32Matchups[[#This Row],[1G vs]]</f>
        <v>1</v>
      </c>
      <c r="Z99" t="b">
        <f>Q99=_R32Matchups[[#This Row],[1I vs]]</f>
        <v>1</v>
      </c>
      <c r="AA99" t="b">
        <f>R99=_R32Matchups[[#This Row],[1K vs]]</f>
        <v>1</v>
      </c>
      <c r="AB99" t="b">
        <f>S99=_R32Matchups[[#This Row],[1L vs]]</f>
        <v>1</v>
      </c>
    </row>
    <row r="100" spans="1:28" ht="14.4">
      <c r="A100" s="2" t="s">
        <v>118</v>
      </c>
      <c r="B100" s="2" t="s">
        <v>10</v>
      </c>
      <c r="C100" s="2" t="s">
        <v>11</v>
      </c>
      <c r="D100" s="2" t="s">
        <v>65</v>
      </c>
      <c r="E100" s="2" t="s">
        <v>28</v>
      </c>
      <c r="F100" s="2" t="s">
        <v>14</v>
      </c>
      <c r="G100" s="2" t="s">
        <v>13</v>
      </c>
      <c r="H100" s="2" t="s">
        <v>12</v>
      </c>
      <c r="I100" s="2" t="s">
        <v>17</v>
      </c>
      <c r="K100" t="s">
        <v>118</v>
      </c>
      <c r="L100" t="s">
        <v>10</v>
      </c>
      <c r="M100" t="s">
        <v>11</v>
      </c>
      <c r="N100" t="s">
        <v>65</v>
      </c>
      <c r="O100" t="s">
        <v>28</v>
      </c>
      <c r="P100" t="s">
        <v>14</v>
      </c>
      <c r="Q100" t="s">
        <v>13</v>
      </c>
      <c r="R100" t="s">
        <v>12</v>
      </c>
      <c r="S100" t="s">
        <v>17</v>
      </c>
      <c r="U100" t="b">
        <f>L100=_R32Matchups[[#This Row],[1A vs]]</f>
        <v>1</v>
      </c>
      <c r="V100" t="b">
        <f>M100=_R32Matchups[[#This Row],[1B vs]]</f>
        <v>1</v>
      </c>
      <c r="W100" t="b">
        <f>N100=_R32Matchups[[#This Row],[1D vs]]</f>
        <v>1</v>
      </c>
      <c r="X100" t="b">
        <f>O100=_R32Matchups[[#This Row],[1E vs]]</f>
        <v>1</v>
      </c>
      <c r="Y100" t="b">
        <f>P100=_R32Matchups[[#This Row],[1G vs]]</f>
        <v>1</v>
      </c>
      <c r="Z100" t="b">
        <f>Q100=_R32Matchups[[#This Row],[1I vs]]</f>
        <v>1</v>
      </c>
      <c r="AA100" t="b">
        <f>R100=_R32Matchups[[#This Row],[1K vs]]</f>
        <v>1</v>
      </c>
      <c r="AB100" t="b">
        <f>S100=_R32Matchups[[#This Row],[1L vs]]</f>
        <v>1</v>
      </c>
    </row>
    <row r="101" spans="1:28" ht="14.4">
      <c r="A101" s="2" t="s">
        <v>119</v>
      </c>
      <c r="B101" s="2" t="s">
        <v>10</v>
      </c>
      <c r="C101" s="2" t="s">
        <v>15</v>
      </c>
      <c r="D101" s="2" t="s">
        <v>65</v>
      </c>
      <c r="E101" s="2" t="s">
        <v>28</v>
      </c>
      <c r="F101" s="2" t="s">
        <v>11</v>
      </c>
      <c r="G101" s="2" t="s">
        <v>13</v>
      </c>
      <c r="H101" s="2" t="s">
        <v>16</v>
      </c>
      <c r="I101" s="2" t="s">
        <v>17</v>
      </c>
      <c r="K101" t="s">
        <v>119</v>
      </c>
      <c r="L101" t="s">
        <v>10</v>
      </c>
      <c r="M101" t="s">
        <v>15</v>
      </c>
      <c r="N101" t="s">
        <v>65</v>
      </c>
      <c r="O101" t="s">
        <v>28</v>
      </c>
      <c r="P101" t="s">
        <v>11</v>
      </c>
      <c r="Q101" t="s">
        <v>13</v>
      </c>
      <c r="R101" t="s">
        <v>16</v>
      </c>
      <c r="S101" t="s">
        <v>17</v>
      </c>
      <c r="U101" t="b">
        <f>L101=_R32Matchups[[#This Row],[1A vs]]</f>
        <v>1</v>
      </c>
      <c r="V101" t="b">
        <f>M101=_R32Matchups[[#This Row],[1B vs]]</f>
        <v>1</v>
      </c>
      <c r="W101" t="b">
        <f>N101=_R32Matchups[[#This Row],[1D vs]]</f>
        <v>1</v>
      </c>
      <c r="X101" t="b">
        <f>O101=_R32Matchups[[#This Row],[1E vs]]</f>
        <v>1</v>
      </c>
      <c r="Y101" t="b">
        <f>P101=_R32Matchups[[#This Row],[1G vs]]</f>
        <v>1</v>
      </c>
      <c r="Z101" t="b">
        <f>Q101=_R32Matchups[[#This Row],[1I vs]]</f>
        <v>1</v>
      </c>
      <c r="AA101" t="b">
        <f>R101=_R32Matchups[[#This Row],[1K vs]]</f>
        <v>1</v>
      </c>
      <c r="AB101" t="b">
        <f>S101=_R32Matchups[[#This Row],[1L vs]]</f>
        <v>1</v>
      </c>
    </row>
    <row r="102" spans="1:28" ht="14.4">
      <c r="A102" s="2" t="s">
        <v>120</v>
      </c>
      <c r="B102" s="2" t="s">
        <v>10</v>
      </c>
      <c r="C102" s="2" t="s">
        <v>15</v>
      </c>
      <c r="D102" s="2" t="s">
        <v>65</v>
      </c>
      <c r="E102" s="2" t="s">
        <v>28</v>
      </c>
      <c r="F102" s="2" t="s">
        <v>12</v>
      </c>
      <c r="G102" s="2" t="s">
        <v>13</v>
      </c>
      <c r="H102" s="2" t="s">
        <v>16</v>
      </c>
      <c r="I102" s="2" t="s">
        <v>17</v>
      </c>
      <c r="K102" t="s">
        <v>120</v>
      </c>
      <c r="L102" t="s">
        <v>10</v>
      </c>
      <c r="M102" t="s">
        <v>15</v>
      </c>
      <c r="N102" t="s">
        <v>65</v>
      </c>
      <c r="O102" t="s">
        <v>28</v>
      </c>
      <c r="P102" t="s">
        <v>12</v>
      </c>
      <c r="Q102" t="s">
        <v>13</v>
      </c>
      <c r="R102" t="s">
        <v>16</v>
      </c>
      <c r="S102" t="s">
        <v>17</v>
      </c>
      <c r="U102" t="b">
        <f>L102=_R32Matchups[[#This Row],[1A vs]]</f>
        <v>1</v>
      </c>
      <c r="V102" t="b">
        <f>M102=_R32Matchups[[#This Row],[1B vs]]</f>
        <v>1</v>
      </c>
      <c r="W102" t="b">
        <f>N102=_R32Matchups[[#This Row],[1D vs]]</f>
        <v>1</v>
      </c>
      <c r="X102" t="b">
        <f>O102=_R32Matchups[[#This Row],[1E vs]]</f>
        <v>1</v>
      </c>
      <c r="Y102" t="b">
        <f>P102=_R32Matchups[[#This Row],[1G vs]]</f>
        <v>1</v>
      </c>
      <c r="Z102" t="b">
        <f>Q102=_R32Matchups[[#This Row],[1I vs]]</f>
        <v>1</v>
      </c>
      <c r="AA102" t="b">
        <f>R102=_R32Matchups[[#This Row],[1K vs]]</f>
        <v>1</v>
      </c>
      <c r="AB102" t="b">
        <f>S102=_R32Matchups[[#This Row],[1L vs]]</f>
        <v>1</v>
      </c>
    </row>
    <row r="103" spans="1:28" ht="14.4">
      <c r="A103" s="2" t="s">
        <v>121</v>
      </c>
      <c r="B103" s="2" t="s">
        <v>10</v>
      </c>
      <c r="C103" s="2" t="s">
        <v>15</v>
      </c>
      <c r="D103" s="2" t="s">
        <v>65</v>
      </c>
      <c r="E103" s="2" t="s">
        <v>28</v>
      </c>
      <c r="F103" s="2" t="s">
        <v>11</v>
      </c>
      <c r="G103" s="2" t="s">
        <v>13</v>
      </c>
      <c r="H103" s="2" t="s">
        <v>16</v>
      </c>
      <c r="I103" s="2" t="s">
        <v>12</v>
      </c>
      <c r="K103" t="s">
        <v>121</v>
      </c>
      <c r="L103" t="s">
        <v>10</v>
      </c>
      <c r="M103" t="s">
        <v>15</v>
      </c>
      <c r="N103" t="s">
        <v>65</v>
      </c>
      <c r="O103" t="s">
        <v>28</v>
      </c>
      <c r="P103" t="s">
        <v>11</v>
      </c>
      <c r="Q103" t="s">
        <v>13</v>
      </c>
      <c r="R103" t="s">
        <v>16</v>
      </c>
      <c r="S103" t="s">
        <v>12</v>
      </c>
      <c r="U103" t="b">
        <f>L103=_R32Matchups[[#This Row],[1A vs]]</f>
        <v>1</v>
      </c>
      <c r="V103" t="b">
        <f>M103=_R32Matchups[[#This Row],[1B vs]]</f>
        <v>1</v>
      </c>
      <c r="W103" t="b">
        <f>N103=_R32Matchups[[#This Row],[1D vs]]</f>
        <v>1</v>
      </c>
      <c r="X103" t="b">
        <f>O103=_R32Matchups[[#This Row],[1E vs]]</f>
        <v>1</v>
      </c>
      <c r="Y103" t="b">
        <f>P103=_R32Matchups[[#This Row],[1G vs]]</f>
        <v>1</v>
      </c>
      <c r="Z103" t="b">
        <f>Q103=_R32Matchups[[#This Row],[1I vs]]</f>
        <v>1</v>
      </c>
      <c r="AA103" t="b">
        <f>R103=_R32Matchups[[#This Row],[1K vs]]</f>
        <v>1</v>
      </c>
      <c r="AB103" t="b">
        <f>S103=_R32Matchups[[#This Row],[1L vs]]</f>
        <v>1</v>
      </c>
    </row>
    <row r="104" spans="1:28" ht="14.4">
      <c r="A104" s="2" t="s">
        <v>122</v>
      </c>
      <c r="B104" s="2" t="s">
        <v>10</v>
      </c>
      <c r="C104" s="2" t="s">
        <v>15</v>
      </c>
      <c r="D104" s="2" t="s">
        <v>65</v>
      </c>
      <c r="E104" s="2" t="s">
        <v>28</v>
      </c>
      <c r="F104" s="2" t="s">
        <v>11</v>
      </c>
      <c r="G104" s="2" t="s">
        <v>13</v>
      </c>
      <c r="H104" s="2" t="s">
        <v>12</v>
      </c>
      <c r="I104" s="2" t="s">
        <v>17</v>
      </c>
      <c r="K104" t="s">
        <v>122</v>
      </c>
      <c r="L104" t="s">
        <v>10</v>
      </c>
      <c r="M104" t="s">
        <v>15</v>
      </c>
      <c r="N104" t="s">
        <v>65</v>
      </c>
      <c r="O104" t="s">
        <v>28</v>
      </c>
      <c r="P104" t="s">
        <v>11</v>
      </c>
      <c r="Q104" t="s">
        <v>13</v>
      </c>
      <c r="R104" t="s">
        <v>12</v>
      </c>
      <c r="S104" t="s">
        <v>17</v>
      </c>
      <c r="U104" t="b">
        <f>L104=_R32Matchups[[#This Row],[1A vs]]</f>
        <v>1</v>
      </c>
      <c r="V104" t="b">
        <f>M104=_R32Matchups[[#This Row],[1B vs]]</f>
        <v>1</v>
      </c>
      <c r="W104" t="b">
        <f>N104=_R32Matchups[[#This Row],[1D vs]]</f>
        <v>1</v>
      </c>
      <c r="X104" t="b">
        <f>O104=_R32Matchups[[#This Row],[1E vs]]</f>
        <v>1</v>
      </c>
      <c r="Y104" t="b">
        <f>P104=_R32Matchups[[#This Row],[1G vs]]</f>
        <v>1</v>
      </c>
      <c r="Z104" t="b">
        <f>Q104=_R32Matchups[[#This Row],[1I vs]]</f>
        <v>1</v>
      </c>
      <c r="AA104" t="b">
        <f>R104=_R32Matchups[[#This Row],[1K vs]]</f>
        <v>1</v>
      </c>
      <c r="AB104" t="b">
        <f>S104=_R32Matchups[[#This Row],[1L vs]]</f>
        <v>1</v>
      </c>
    </row>
    <row r="105" spans="1:28" ht="14.4">
      <c r="A105" s="2" t="s">
        <v>123</v>
      </c>
      <c r="B105" s="2" t="s">
        <v>10</v>
      </c>
      <c r="C105" s="2" t="s">
        <v>15</v>
      </c>
      <c r="D105" s="2" t="s">
        <v>65</v>
      </c>
      <c r="E105" s="2" t="s">
        <v>28</v>
      </c>
      <c r="F105" s="2" t="s">
        <v>14</v>
      </c>
      <c r="G105" s="2" t="s">
        <v>13</v>
      </c>
      <c r="H105" s="2" t="s">
        <v>16</v>
      </c>
      <c r="I105" s="2" t="s">
        <v>17</v>
      </c>
      <c r="K105" t="s">
        <v>123</v>
      </c>
      <c r="L105" t="s">
        <v>10</v>
      </c>
      <c r="M105" t="s">
        <v>15</v>
      </c>
      <c r="N105" t="s">
        <v>65</v>
      </c>
      <c r="O105" t="s">
        <v>28</v>
      </c>
      <c r="P105" t="s">
        <v>14</v>
      </c>
      <c r="Q105" t="s">
        <v>13</v>
      </c>
      <c r="R105" t="s">
        <v>16</v>
      </c>
      <c r="S105" t="s">
        <v>17</v>
      </c>
      <c r="U105" t="b">
        <f>L105=_R32Matchups[[#This Row],[1A vs]]</f>
        <v>1</v>
      </c>
      <c r="V105" t="b">
        <f>M105=_R32Matchups[[#This Row],[1B vs]]</f>
        <v>1</v>
      </c>
      <c r="W105" t="b">
        <f>N105=_R32Matchups[[#This Row],[1D vs]]</f>
        <v>1</v>
      </c>
      <c r="X105" t="b">
        <f>O105=_R32Matchups[[#This Row],[1E vs]]</f>
        <v>1</v>
      </c>
      <c r="Y105" t="b">
        <f>P105=_R32Matchups[[#This Row],[1G vs]]</f>
        <v>1</v>
      </c>
      <c r="Z105" t="b">
        <f>Q105=_R32Matchups[[#This Row],[1I vs]]</f>
        <v>1</v>
      </c>
      <c r="AA105" t="b">
        <f>R105=_R32Matchups[[#This Row],[1K vs]]</f>
        <v>1</v>
      </c>
      <c r="AB105" t="b">
        <f>S105=_R32Matchups[[#This Row],[1L vs]]</f>
        <v>1</v>
      </c>
    </row>
    <row r="106" spans="1:28" ht="14.4">
      <c r="A106" s="2" t="s">
        <v>124</v>
      </c>
      <c r="B106" s="2" t="s">
        <v>14</v>
      </c>
      <c r="C106" s="2" t="s">
        <v>15</v>
      </c>
      <c r="D106" s="2" t="s">
        <v>65</v>
      </c>
      <c r="E106" s="2" t="s">
        <v>28</v>
      </c>
      <c r="F106" s="2" t="s">
        <v>11</v>
      </c>
      <c r="G106" s="2" t="s">
        <v>13</v>
      </c>
      <c r="H106" s="2" t="s">
        <v>16</v>
      </c>
      <c r="I106" s="2" t="s">
        <v>10</v>
      </c>
      <c r="K106" t="s">
        <v>124</v>
      </c>
      <c r="L106" t="s">
        <v>14</v>
      </c>
      <c r="M106" t="s">
        <v>15</v>
      </c>
      <c r="N106" t="s">
        <v>65</v>
      </c>
      <c r="O106" t="s">
        <v>28</v>
      </c>
      <c r="P106" t="s">
        <v>11</v>
      </c>
      <c r="Q106" t="s">
        <v>13</v>
      </c>
      <c r="R106" t="s">
        <v>16</v>
      </c>
      <c r="S106" t="s">
        <v>10</v>
      </c>
      <c r="U106" t="b">
        <f>L106=_R32Matchups[[#This Row],[1A vs]]</f>
        <v>1</v>
      </c>
      <c r="V106" t="b">
        <f>M106=_R32Matchups[[#This Row],[1B vs]]</f>
        <v>1</v>
      </c>
      <c r="W106" t="b">
        <f>N106=_R32Matchups[[#This Row],[1D vs]]</f>
        <v>1</v>
      </c>
      <c r="X106" t="b">
        <f>O106=_R32Matchups[[#This Row],[1E vs]]</f>
        <v>1</v>
      </c>
      <c r="Y106" t="b">
        <f>P106=_R32Matchups[[#This Row],[1G vs]]</f>
        <v>1</v>
      </c>
      <c r="Z106" t="b">
        <f>Q106=_R32Matchups[[#This Row],[1I vs]]</f>
        <v>1</v>
      </c>
      <c r="AA106" t="b">
        <f>R106=_R32Matchups[[#This Row],[1K vs]]</f>
        <v>1</v>
      </c>
      <c r="AB106" t="b">
        <f>S106=_R32Matchups[[#This Row],[1L vs]]</f>
        <v>1</v>
      </c>
    </row>
    <row r="107" spans="1:28" ht="14.4">
      <c r="A107" s="2" t="s">
        <v>125</v>
      </c>
      <c r="B107" s="2" t="s">
        <v>14</v>
      </c>
      <c r="C107" s="2" t="s">
        <v>15</v>
      </c>
      <c r="D107" s="2" t="s">
        <v>65</v>
      </c>
      <c r="E107" s="2" t="s">
        <v>28</v>
      </c>
      <c r="F107" s="2" t="s">
        <v>11</v>
      </c>
      <c r="G107" s="2" t="s">
        <v>13</v>
      </c>
      <c r="H107" s="2" t="s">
        <v>10</v>
      </c>
      <c r="I107" s="2" t="s">
        <v>17</v>
      </c>
      <c r="K107" t="s">
        <v>125</v>
      </c>
      <c r="L107" t="s">
        <v>14</v>
      </c>
      <c r="M107" t="s">
        <v>15</v>
      </c>
      <c r="N107" t="s">
        <v>65</v>
      </c>
      <c r="O107" t="s">
        <v>28</v>
      </c>
      <c r="P107" t="s">
        <v>11</v>
      </c>
      <c r="Q107" t="s">
        <v>13</v>
      </c>
      <c r="R107" t="s">
        <v>10</v>
      </c>
      <c r="S107" t="s">
        <v>17</v>
      </c>
      <c r="U107" t="b">
        <f>L107=_R32Matchups[[#This Row],[1A vs]]</f>
        <v>1</v>
      </c>
      <c r="V107" t="b">
        <f>M107=_R32Matchups[[#This Row],[1B vs]]</f>
        <v>1</v>
      </c>
      <c r="W107" t="b">
        <f>N107=_R32Matchups[[#This Row],[1D vs]]</f>
        <v>1</v>
      </c>
      <c r="X107" t="b">
        <f>O107=_R32Matchups[[#This Row],[1E vs]]</f>
        <v>1</v>
      </c>
      <c r="Y107" t="b">
        <f>P107=_R32Matchups[[#This Row],[1G vs]]</f>
        <v>1</v>
      </c>
      <c r="Z107" t="b">
        <f>Q107=_R32Matchups[[#This Row],[1I vs]]</f>
        <v>1</v>
      </c>
      <c r="AA107" t="b">
        <f>R107=_R32Matchups[[#This Row],[1K vs]]</f>
        <v>1</v>
      </c>
      <c r="AB107" t="b">
        <f>S107=_R32Matchups[[#This Row],[1L vs]]</f>
        <v>1</v>
      </c>
    </row>
    <row r="108" spans="1:28" ht="14.4">
      <c r="A108" s="2" t="s">
        <v>126</v>
      </c>
      <c r="B108" s="2" t="s">
        <v>10</v>
      </c>
      <c r="C108" s="2" t="s">
        <v>15</v>
      </c>
      <c r="D108" s="2" t="s">
        <v>65</v>
      </c>
      <c r="E108" s="2" t="s">
        <v>28</v>
      </c>
      <c r="F108" s="2" t="s">
        <v>14</v>
      </c>
      <c r="G108" s="2" t="s">
        <v>13</v>
      </c>
      <c r="H108" s="2" t="s">
        <v>16</v>
      </c>
      <c r="I108" s="2" t="s">
        <v>12</v>
      </c>
      <c r="K108" t="s">
        <v>126</v>
      </c>
      <c r="L108" t="s">
        <v>10</v>
      </c>
      <c r="M108" t="s">
        <v>15</v>
      </c>
      <c r="N108" t="s">
        <v>65</v>
      </c>
      <c r="O108" t="s">
        <v>28</v>
      </c>
      <c r="P108" t="s">
        <v>14</v>
      </c>
      <c r="Q108" t="s">
        <v>13</v>
      </c>
      <c r="R108" t="s">
        <v>16</v>
      </c>
      <c r="S108" t="s">
        <v>12</v>
      </c>
      <c r="U108" t="b">
        <f>L108=_R32Matchups[[#This Row],[1A vs]]</f>
        <v>1</v>
      </c>
      <c r="V108" t="b">
        <f>M108=_R32Matchups[[#This Row],[1B vs]]</f>
        <v>1</v>
      </c>
      <c r="W108" t="b">
        <f>N108=_R32Matchups[[#This Row],[1D vs]]</f>
        <v>1</v>
      </c>
      <c r="X108" t="b">
        <f>O108=_R32Matchups[[#This Row],[1E vs]]</f>
        <v>1</v>
      </c>
      <c r="Y108" t="b">
        <f>P108=_R32Matchups[[#This Row],[1G vs]]</f>
        <v>1</v>
      </c>
      <c r="Z108" t="b">
        <f>Q108=_R32Matchups[[#This Row],[1I vs]]</f>
        <v>1</v>
      </c>
      <c r="AA108" t="b">
        <f>R108=_R32Matchups[[#This Row],[1K vs]]</f>
        <v>1</v>
      </c>
      <c r="AB108" t="b">
        <f>S108=_R32Matchups[[#This Row],[1L vs]]</f>
        <v>1</v>
      </c>
    </row>
    <row r="109" spans="1:28" ht="14.4">
      <c r="A109" s="2" t="s">
        <v>127</v>
      </c>
      <c r="B109" s="2" t="s">
        <v>10</v>
      </c>
      <c r="C109" s="2" t="s">
        <v>15</v>
      </c>
      <c r="D109" s="2" t="s">
        <v>65</v>
      </c>
      <c r="E109" s="2" t="s">
        <v>28</v>
      </c>
      <c r="F109" s="2" t="s">
        <v>14</v>
      </c>
      <c r="G109" s="2" t="s">
        <v>13</v>
      </c>
      <c r="H109" s="2" t="s">
        <v>12</v>
      </c>
      <c r="I109" s="2" t="s">
        <v>17</v>
      </c>
      <c r="K109" t="s">
        <v>127</v>
      </c>
      <c r="L109" t="s">
        <v>10</v>
      </c>
      <c r="M109" t="s">
        <v>15</v>
      </c>
      <c r="N109" t="s">
        <v>65</v>
      </c>
      <c r="O109" t="s">
        <v>28</v>
      </c>
      <c r="P109" t="s">
        <v>14</v>
      </c>
      <c r="Q109" t="s">
        <v>13</v>
      </c>
      <c r="R109" t="s">
        <v>12</v>
      </c>
      <c r="S109" t="s">
        <v>17</v>
      </c>
      <c r="U109" t="b">
        <f>L109=_R32Matchups[[#This Row],[1A vs]]</f>
        <v>1</v>
      </c>
      <c r="V109" t="b">
        <f>M109=_R32Matchups[[#This Row],[1B vs]]</f>
        <v>1</v>
      </c>
      <c r="W109" t="b">
        <f>N109=_R32Matchups[[#This Row],[1D vs]]</f>
        <v>1</v>
      </c>
      <c r="X109" t="b">
        <f>O109=_R32Matchups[[#This Row],[1E vs]]</f>
        <v>1</v>
      </c>
      <c r="Y109" t="b">
        <f>P109=_R32Matchups[[#This Row],[1G vs]]</f>
        <v>1</v>
      </c>
      <c r="Z109" t="b">
        <f>Q109=_R32Matchups[[#This Row],[1I vs]]</f>
        <v>1</v>
      </c>
      <c r="AA109" t="b">
        <f>R109=_R32Matchups[[#This Row],[1K vs]]</f>
        <v>1</v>
      </c>
      <c r="AB109" t="b">
        <f>S109=_R32Matchups[[#This Row],[1L vs]]</f>
        <v>1</v>
      </c>
    </row>
    <row r="110" spans="1:28" ht="14.4">
      <c r="A110" s="2" t="s">
        <v>128</v>
      </c>
      <c r="B110" s="2" t="s">
        <v>14</v>
      </c>
      <c r="C110" s="2" t="s">
        <v>15</v>
      </c>
      <c r="D110" s="2" t="s">
        <v>65</v>
      </c>
      <c r="E110" s="2" t="s">
        <v>28</v>
      </c>
      <c r="F110" s="2" t="s">
        <v>11</v>
      </c>
      <c r="G110" s="2" t="s">
        <v>13</v>
      </c>
      <c r="H110" s="2" t="s">
        <v>10</v>
      </c>
      <c r="I110" s="2" t="s">
        <v>12</v>
      </c>
      <c r="K110" t="s">
        <v>128</v>
      </c>
      <c r="L110" t="s">
        <v>14</v>
      </c>
      <c r="M110" t="s">
        <v>15</v>
      </c>
      <c r="N110" t="s">
        <v>65</v>
      </c>
      <c r="O110" t="s">
        <v>28</v>
      </c>
      <c r="P110" t="s">
        <v>11</v>
      </c>
      <c r="Q110" t="s">
        <v>13</v>
      </c>
      <c r="R110" t="s">
        <v>10</v>
      </c>
      <c r="S110" t="s">
        <v>12</v>
      </c>
      <c r="U110" t="b">
        <f>L110=_R32Matchups[[#This Row],[1A vs]]</f>
        <v>1</v>
      </c>
      <c r="V110" t="b">
        <f>M110=_R32Matchups[[#This Row],[1B vs]]</f>
        <v>1</v>
      </c>
      <c r="W110" t="b">
        <f>N110=_R32Matchups[[#This Row],[1D vs]]</f>
        <v>1</v>
      </c>
      <c r="X110" t="b">
        <f>O110=_R32Matchups[[#This Row],[1E vs]]</f>
        <v>1</v>
      </c>
      <c r="Y110" t="b">
        <f>P110=_R32Matchups[[#This Row],[1G vs]]</f>
        <v>1</v>
      </c>
      <c r="Z110" t="b">
        <f>Q110=_R32Matchups[[#This Row],[1I vs]]</f>
        <v>1</v>
      </c>
      <c r="AA110" t="b">
        <f>R110=_R32Matchups[[#This Row],[1K vs]]</f>
        <v>1</v>
      </c>
      <c r="AB110" t="b">
        <f>S110=_R32Matchups[[#This Row],[1L vs]]</f>
        <v>1</v>
      </c>
    </row>
    <row r="111" spans="1:28" ht="14.4">
      <c r="A111" s="2" t="s">
        <v>129</v>
      </c>
      <c r="B111" s="2" t="s">
        <v>14</v>
      </c>
      <c r="C111" s="2" t="s">
        <v>11</v>
      </c>
      <c r="D111" s="2" t="s">
        <v>65</v>
      </c>
      <c r="E111" s="2" t="s">
        <v>28</v>
      </c>
      <c r="F111" s="2" t="s">
        <v>12</v>
      </c>
      <c r="G111" s="2" t="s">
        <v>19</v>
      </c>
      <c r="H111" s="2" t="s">
        <v>16</v>
      </c>
      <c r="I111" s="2" t="s">
        <v>17</v>
      </c>
      <c r="K111" t="s">
        <v>129</v>
      </c>
      <c r="L111" t="s">
        <v>14</v>
      </c>
      <c r="M111" t="s">
        <v>11</v>
      </c>
      <c r="N111" t="s">
        <v>65</v>
      </c>
      <c r="O111" t="s">
        <v>28</v>
      </c>
      <c r="P111" t="s">
        <v>12</v>
      </c>
      <c r="Q111" t="s">
        <v>19</v>
      </c>
      <c r="R111" t="s">
        <v>16</v>
      </c>
      <c r="S111" t="s">
        <v>17</v>
      </c>
      <c r="U111" t="b">
        <f>L111=_R32Matchups[[#This Row],[1A vs]]</f>
        <v>1</v>
      </c>
      <c r="V111" t="b">
        <f>M111=_R32Matchups[[#This Row],[1B vs]]</f>
        <v>1</v>
      </c>
      <c r="W111" t="b">
        <f>N111=_R32Matchups[[#This Row],[1D vs]]</f>
        <v>1</v>
      </c>
      <c r="X111" t="b">
        <f>O111=_R32Matchups[[#This Row],[1E vs]]</f>
        <v>1</v>
      </c>
      <c r="Y111" t="b">
        <f>P111=_R32Matchups[[#This Row],[1G vs]]</f>
        <v>1</v>
      </c>
      <c r="Z111" t="b">
        <f>Q111=_R32Matchups[[#This Row],[1I vs]]</f>
        <v>1</v>
      </c>
      <c r="AA111" t="b">
        <f>R111=_R32Matchups[[#This Row],[1K vs]]</f>
        <v>1</v>
      </c>
      <c r="AB111" t="b">
        <f>S111=_R32Matchups[[#This Row],[1L vs]]</f>
        <v>1</v>
      </c>
    </row>
    <row r="112" spans="1:28" ht="14.4">
      <c r="A112" s="2" t="s">
        <v>130</v>
      </c>
      <c r="B112" s="2" t="s">
        <v>12</v>
      </c>
      <c r="C112" s="2" t="s">
        <v>15</v>
      </c>
      <c r="D112" s="2" t="s">
        <v>65</v>
      </c>
      <c r="E112" s="2" t="s">
        <v>28</v>
      </c>
      <c r="F112" s="2" t="s">
        <v>11</v>
      </c>
      <c r="G112" s="2" t="s">
        <v>19</v>
      </c>
      <c r="H112" s="2" t="s">
        <v>16</v>
      </c>
      <c r="I112" s="2" t="s">
        <v>17</v>
      </c>
      <c r="K112" t="s">
        <v>130</v>
      </c>
      <c r="L112" t="s">
        <v>12</v>
      </c>
      <c r="M112" t="s">
        <v>15</v>
      </c>
      <c r="N112" t="s">
        <v>65</v>
      </c>
      <c r="O112" t="s">
        <v>28</v>
      </c>
      <c r="P112" t="s">
        <v>11</v>
      </c>
      <c r="Q112" t="s">
        <v>19</v>
      </c>
      <c r="R112" t="s">
        <v>16</v>
      </c>
      <c r="S112" t="s">
        <v>17</v>
      </c>
      <c r="U112" t="b">
        <f>L112=_R32Matchups[[#This Row],[1A vs]]</f>
        <v>1</v>
      </c>
      <c r="V112" t="b">
        <f>M112=_R32Matchups[[#This Row],[1B vs]]</f>
        <v>1</v>
      </c>
      <c r="W112" t="b">
        <f>N112=_R32Matchups[[#This Row],[1D vs]]</f>
        <v>1</v>
      </c>
      <c r="X112" t="b">
        <f>O112=_R32Matchups[[#This Row],[1E vs]]</f>
        <v>1</v>
      </c>
      <c r="Y112" t="b">
        <f>P112=_R32Matchups[[#This Row],[1G vs]]</f>
        <v>1</v>
      </c>
      <c r="Z112" t="b">
        <f>Q112=_R32Matchups[[#This Row],[1I vs]]</f>
        <v>1</v>
      </c>
      <c r="AA112" t="b">
        <f>R112=_R32Matchups[[#This Row],[1K vs]]</f>
        <v>1</v>
      </c>
      <c r="AB112" t="b">
        <f>S112=_R32Matchups[[#This Row],[1L vs]]</f>
        <v>1</v>
      </c>
    </row>
    <row r="113" spans="1:28" ht="14.4">
      <c r="A113" s="2" t="s">
        <v>131</v>
      </c>
      <c r="B113" s="2" t="s">
        <v>14</v>
      </c>
      <c r="C113" s="2" t="s">
        <v>15</v>
      </c>
      <c r="D113" s="2" t="s">
        <v>65</v>
      </c>
      <c r="E113" s="2" t="s">
        <v>28</v>
      </c>
      <c r="F113" s="2" t="s">
        <v>11</v>
      </c>
      <c r="G113" s="2" t="s">
        <v>19</v>
      </c>
      <c r="H113" s="2" t="s">
        <v>16</v>
      </c>
      <c r="I113" s="2" t="s">
        <v>17</v>
      </c>
      <c r="K113" t="s">
        <v>131</v>
      </c>
      <c r="L113" t="s">
        <v>14</v>
      </c>
      <c r="M113" t="s">
        <v>15</v>
      </c>
      <c r="N113" t="s">
        <v>65</v>
      </c>
      <c r="O113" t="s">
        <v>28</v>
      </c>
      <c r="P113" t="s">
        <v>11</v>
      </c>
      <c r="Q113" t="s">
        <v>19</v>
      </c>
      <c r="R113" t="s">
        <v>16</v>
      </c>
      <c r="S113" t="s">
        <v>17</v>
      </c>
      <c r="U113" t="b">
        <f>L113=_R32Matchups[[#This Row],[1A vs]]</f>
        <v>1</v>
      </c>
      <c r="V113" t="b">
        <f>M113=_R32Matchups[[#This Row],[1B vs]]</f>
        <v>1</v>
      </c>
      <c r="W113" t="b">
        <f>N113=_R32Matchups[[#This Row],[1D vs]]</f>
        <v>1</v>
      </c>
      <c r="X113" t="b">
        <f>O113=_R32Matchups[[#This Row],[1E vs]]</f>
        <v>1</v>
      </c>
      <c r="Y113" t="b">
        <f>P113=_R32Matchups[[#This Row],[1G vs]]</f>
        <v>1</v>
      </c>
      <c r="Z113" t="b">
        <f>Q113=_R32Matchups[[#This Row],[1I vs]]</f>
        <v>1</v>
      </c>
      <c r="AA113" t="b">
        <f>R113=_R32Matchups[[#This Row],[1K vs]]</f>
        <v>1</v>
      </c>
      <c r="AB113" t="b">
        <f>S113=_R32Matchups[[#This Row],[1L vs]]</f>
        <v>1</v>
      </c>
    </row>
    <row r="114" spans="1:28" ht="14.4">
      <c r="A114" s="2" t="s">
        <v>132</v>
      </c>
      <c r="B114" s="2" t="s">
        <v>14</v>
      </c>
      <c r="C114" s="2" t="s">
        <v>15</v>
      </c>
      <c r="D114" s="2" t="s">
        <v>65</v>
      </c>
      <c r="E114" s="2" t="s">
        <v>28</v>
      </c>
      <c r="F114" s="2" t="s">
        <v>12</v>
      </c>
      <c r="G114" s="2" t="s">
        <v>19</v>
      </c>
      <c r="H114" s="2" t="s">
        <v>16</v>
      </c>
      <c r="I114" s="2" t="s">
        <v>17</v>
      </c>
      <c r="K114" t="s">
        <v>132</v>
      </c>
      <c r="L114" t="s">
        <v>14</v>
      </c>
      <c r="M114" t="s">
        <v>15</v>
      </c>
      <c r="N114" t="s">
        <v>65</v>
      </c>
      <c r="O114" t="s">
        <v>28</v>
      </c>
      <c r="P114" t="s">
        <v>12</v>
      </c>
      <c r="Q114" t="s">
        <v>19</v>
      </c>
      <c r="R114" t="s">
        <v>16</v>
      </c>
      <c r="S114" t="s">
        <v>17</v>
      </c>
      <c r="U114" t="b">
        <f>L114=_R32Matchups[[#This Row],[1A vs]]</f>
        <v>1</v>
      </c>
      <c r="V114" t="b">
        <f>M114=_R32Matchups[[#This Row],[1B vs]]</f>
        <v>1</v>
      </c>
      <c r="W114" t="b">
        <f>N114=_R32Matchups[[#This Row],[1D vs]]</f>
        <v>1</v>
      </c>
      <c r="X114" t="b">
        <f>O114=_R32Matchups[[#This Row],[1E vs]]</f>
        <v>1</v>
      </c>
      <c r="Y114" t="b">
        <f>P114=_R32Matchups[[#This Row],[1G vs]]</f>
        <v>1</v>
      </c>
      <c r="Z114" t="b">
        <f>Q114=_R32Matchups[[#This Row],[1I vs]]</f>
        <v>1</v>
      </c>
      <c r="AA114" t="b">
        <f>R114=_R32Matchups[[#This Row],[1K vs]]</f>
        <v>1</v>
      </c>
      <c r="AB114" t="b">
        <f>S114=_R32Matchups[[#This Row],[1L vs]]</f>
        <v>1</v>
      </c>
    </row>
    <row r="115" spans="1:28" ht="14.4">
      <c r="A115" s="2" t="s">
        <v>133</v>
      </c>
      <c r="B115" s="2" t="s">
        <v>14</v>
      </c>
      <c r="C115" s="2" t="s">
        <v>15</v>
      </c>
      <c r="D115" s="2" t="s">
        <v>65</v>
      </c>
      <c r="E115" s="2" t="s">
        <v>28</v>
      </c>
      <c r="F115" s="2" t="s">
        <v>11</v>
      </c>
      <c r="G115" s="2" t="s">
        <v>19</v>
      </c>
      <c r="H115" s="2" t="s">
        <v>16</v>
      </c>
      <c r="I115" s="2" t="s">
        <v>12</v>
      </c>
      <c r="K115" t="s">
        <v>133</v>
      </c>
      <c r="L115" t="s">
        <v>14</v>
      </c>
      <c r="M115" t="s">
        <v>15</v>
      </c>
      <c r="N115" t="s">
        <v>65</v>
      </c>
      <c r="O115" t="s">
        <v>28</v>
      </c>
      <c r="P115" t="s">
        <v>11</v>
      </c>
      <c r="Q115" t="s">
        <v>19</v>
      </c>
      <c r="R115" t="s">
        <v>16</v>
      </c>
      <c r="S115" t="s">
        <v>12</v>
      </c>
      <c r="U115" t="b">
        <f>L115=_R32Matchups[[#This Row],[1A vs]]</f>
        <v>1</v>
      </c>
      <c r="V115" t="b">
        <f>M115=_R32Matchups[[#This Row],[1B vs]]</f>
        <v>1</v>
      </c>
      <c r="W115" t="b">
        <f>N115=_R32Matchups[[#This Row],[1D vs]]</f>
        <v>1</v>
      </c>
      <c r="X115" t="b">
        <f>O115=_R32Matchups[[#This Row],[1E vs]]</f>
        <v>1</v>
      </c>
      <c r="Y115" t="b">
        <f>P115=_R32Matchups[[#This Row],[1G vs]]</f>
        <v>1</v>
      </c>
      <c r="Z115" t="b">
        <f>Q115=_R32Matchups[[#This Row],[1I vs]]</f>
        <v>1</v>
      </c>
      <c r="AA115" t="b">
        <f>R115=_R32Matchups[[#This Row],[1K vs]]</f>
        <v>1</v>
      </c>
      <c r="AB115" t="b">
        <f>S115=_R32Matchups[[#This Row],[1L vs]]</f>
        <v>1</v>
      </c>
    </row>
    <row r="116" spans="1:28" ht="14.4">
      <c r="A116" s="2" t="s">
        <v>134</v>
      </c>
      <c r="B116" s="2" t="s">
        <v>14</v>
      </c>
      <c r="C116" s="2" t="s">
        <v>15</v>
      </c>
      <c r="D116" s="2" t="s">
        <v>65</v>
      </c>
      <c r="E116" s="2" t="s">
        <v>28</v>
      </c>
      <c r="F116" s="2" t="s">
        <v>11</v>
      </c>
      <c r="G116" s="2" t="s">
        <v>19</v>
      </c>
      <c r="H116" s="2" t="s">
        <v>12</v>
      </c>
      <c r="I116" s="2" t="s">
        <v>17</v>
      </c>
      <c r="K116" t="s">
        <v>134</v>
      </c>
      <c r="L116" t="s">
        <v>14</v>
      </c>
      <c r="M116" t="s">
        <v>15</v>
      </c>
      <c r="N116" t="s">
        <v>65</v>
      </c>
      <c r="O116" t="s">
        <v>28</v>
      </c>
      <c r="P116" t="s">
        <v>11</v>
      </c>
      <c r="Q116" t="s">
        <v>19</v>
      </c>
      <c r="R116" t="s">
        <v>12</v>
      </c>
      <c r="S116" t="s">
        <v>17</v>
      </c>
      <c r="U116" t="b">
        <f>L116=_R32Matchups[[#This Row],[1A vs]]</f>
        <v>1</v>
      </c>
      <c r="V116" t="b">
        <f>M116=_R32Matchups[[#This Row],[1B vs]]</f>
        <v>1</v>
      </c>
      <c r="W116" t="b">
        <f>N116=_R32Matchups[[#This Row],[1D vs]]</f>
        <v>1</v>
      </c>
      <c r="X116" t="b">
        <f>O116=_R32Matchups[[#This Row],[1E vs]]</f>
        <v>1</v>
      </c>
      <c r="Y116" t="b">
        <f>P116=_R32Matchups[[#This Row],[1G vs]]</f>
        <v>1</v>
      </c>
      <c r="Z116" t="b">
        <f>Q116=_R32Matchups[[#This Row],[1I vs]]</f>
        <v>1</v>
      </c>
      <c r="AA116" t="b">
        <f>R116=_R32Matchups[[#This Row],[1K vs]]</f>
        <v>1</v>
      </c>
      <c r="AB116" t="b">
        <f>S116=_R32Matchups[[#This Row],[1L vs]]</f>
        <v>1</v>
      </c>
    </row>
    <row r="117" spans="1:28" ht="14.4">
      <c r="A117" s="2" t="s">
        <v>135</v>
      </c>
      <c r="B117" s="2" t="s">
        <v>28</v>
      </c>
      <c r="C117" s="2" t="s">
        <v>11</v>
      </c>
      <c r="D117" s="2" t="s">
        <v>65</v>
      </c>
      <c r="E117" s="2" t="s">
        <v>19</v>
      </c>
      <c r="F117" s="2" t="s">
        <v>12</v>
      </c>
      <c r="G117" s="2" t="s">
        <v>13</v>
      </c>
      <c r="H117" s="2" t="s">
        <v>16</v>
      </c>
      <c r="I117" s="2" t="s">
        <v>17</v>
      </c>
      <c r="K117" t="s">
        <v>135</v>
      </c>
      <c r="L117" t="s">
        <v>28</v>
      </c>
      <c r="M117" t="s">
        <v>11</v>
      </c>
      <c r="N117" t="s">
        <v>65</v>
      </c>
      <c r="O117" t="s">
        <v>19</v>
      </c>
      <c r="P117" t="s">
        <v>12</v>
      </c>
      <c r="Q117" t="s">
        <v>13</v>
      </c>
      <c r="R117" t="s">
        <v>16</v>
      </c>
      <c r="S117" t="s">
        <v>17</v>
      </c>
      <c r="U117" t="b">
        <f>L117=_R32Matchups[[#This Row],[1A vs]]</f>
        <v>1</v>
      </c>
      <c r="V117" t="b">
        <f>M117=_R32Matchups[[#This Row],[1B vs]]</f>
        <v>1</v>
      </c>
      <c r="W117" t="b">
        <f>N117=_R32Matchups[[#This Row],[1D vs]]</f>
        <v>1</v>
      </c>
      <c r="X117" t="b">
        <f>O117=_R32Matchups[[#This Row],[1E vs]]</f>
        <v>1</v>
      </c>
      <c r="Y117" t="b">
        <f>P117=_R32Matchups[[#This Row],[1G vs]]</f>
        <v>1</v>
      </c>
      <c r="Z117" t="b">
        <f>Q117=_R32Matchups[[#This Row],[1I vs]]</f>
        <v>1</v>
      </c>
      <c r="AA117" t="b">
        <f>R117=_R32Matchups[[#This Row],[1K vs]]</f>
        <v>1</v>
      </c>
      <c r="AB117" t="b">
        <f>S117=_R32Matchups[[#This Row],[1L vs]]</f>
        <v>1</v>
      </c>
    </row>
    <row r="118" spans="1:28" ht="14.4">
      <c r="A118" s="2" t="s">
        <v>136</v>
      </c>
      <c r="B118" s="2" t="s">
        <v>28</v>
      </c>
      <c r="C118" s="2" t="s">
        <v>11</v>
      </c>
      <c r="D118" s="2" t="s">
        <v>65</v>
      </c>
      <c r="E118" s="2" t="s">
        <v>19</v>
      </c>
      <c r="F118" s="2" t="s">
        <v>14</v>
      </c>
      <c r="G118" s="2" t="s">
        <v>13</v>
      </c>
      <c r="H118" s="2" t="s">
        <v>16</v>
      </c>
      <c r="I118" s="2" t="s">
        <v>17</v>
      </c>
      <c r="K118" t="s">
        <v>136</v>
      </c>
      <c r="L118" t="s">
        <v>28</v>
      </c>
      <c r="M118" t="s">
        <v>11</v>
      </c>
      <c r="N118" t="s">
        <v>65</v>
      </c>
      <c r="O118" t="s">
        <v>19</v>
      </c>
      <c r="P118" t="s">
        <v>14</v>
      </c>
      <c r="Q118" t="s">
        <v>13</v>
      </c>
      <c r="R118" t="s">
        <v>16</v>
      </c>
      <c r="S118" t="s">
        <v>17</v>
      </c>
      <c r="U118" t="b">
        <f>L118=_R32Matchups[[#This Row],[1A vs]]</f>
        <v>1</v>
      </c>
      <c r="V118" t="b">
        <f>M118=_R32Matchups[[#This Row],[1B vs]]</f>
        <v>1</v>
      </c>
      <c r="W118" t="b">
        <f>N118=_R32Matchups[[#This Row],[1D vs]]</f>
        <v>1</v>
      </c>
      <c r="X118" t="b">
        <f>O118=_R32Matchups[[#This Row],[1E vs]]</f>
        <v>1</v>
      </c>
      <c r="Y118" t="b">
        <f>P118=_R32Matchups[[#This Row],[1G vs]]</f>
        <v>1</v>
      </c>
      <c r="Z118" t="b">
        <f>Q118=_R32Matchups[[#This Row],[1I vs]]</f>
        <v>1</v>
      </c>
      <c r="AA118" t="b">
        <f>R118=_R32Matchups[[#This Row],[1K vs]]</f>
        <v>1</v>
      </c>
      <c r="AB118" t="b">
        <f>S118=_R32Matchups[[#This Row],[1L vs]]</f>
        <v>1</v>
      </c>
    </row>
    <row r="119" spans="1:28" ht="14.4">
      <c r="A119" s="2" t="s">
        <v>137</v>
      </c>
      <c r="B119" s="2" t="s">
        <v>28</v>
      </c>
      <c r="C119" s="2" t="s">
        <v>12</v>
      </c>
      <c r="D119" s="2" t="s">
        <v>65</v>
      </c>
      <c r="E119" s="2" t="s">
        <v>19</v>
      </c>
      <c r="F119" s="2" t="s">
        <v>14</v>
      </c>
      <c r="G119" s="2" t="s">
        <v>13</v>
      </c>
      <c r="H119" s="2" t="s">
        <v>16</v>
      </c>
      <c r="I119" s="2" t="s">
        <v>17</v>
      </c>
      <c r="K119" t="s">
        <v>137</v>
      </c>
      <c r="L119" t="s">
        <v>28</v>
      </c>
      <c r="M119" t="s">
        <v>12</v>
      </c>
      <c r="N119" t="s">
        <v>65</v>
      </c>
      <c r="O119" t="s">
        <v>19</v>
      </c>
      <c r="P119" t="s">
        <v>14</v>
      </c>
      <c r="Q119" t="s">
        <v>13</v>
      </c>
      <c r="R119" t="s">
        <v>16</v>
      </c>
      <c r="S119" t="s">
        <v>17</v>
      </c>
      <c r="U119" t="b">
        <f>L119=_R32Matchups[[#This Row],[1A vs]]</f>
        <v>1</v>
      </c>
      <c r="V119" t="b">
        <f>M119=_R32Matchups[[#This Row],[1B vs]]</f>
        <v>1</v>
      </c>
      <c r="W119" t="b">
        <f>N119=_R32Matchups[[#This Row],[1D vs]]</f>
        <v>1</v>
      </c>
      <c r="X119" t="b">
        <f>O119=_R32Matchups[[#This Row],[1E vs]]</f>
        <v>1</v>
      </c>
      <c r="Y119" t="b">
        <f>P119=_R32Matchups[[#This Row],[1G vs]]</f>
        <v>1</v>
      </c>
      <c r="Z119" t="b">
        <f>Q119=_R32Matchups[[#This Row],[1I vs]]</f>
        <v>1</v>
      </c>
      <c r="AA119" t="b">
        <f>R119=_R32Matchups[[#This Row],[1K vs]]</f>
        <v>1</v>
      </c>
      <c r="AB119" t="b">
        <f>S119=_R32Matchups[[#This Row],[1L vs]]</f>
        <v>1</v>
      </c>
    </row>
    <row r="120" spans="1:28" ht="14.4">
      <c r="A120" s="2" t="s">
        <v>138</v>
      </c>
      <c r="B120" s="2" t="s">
        <v>28</v>
      </c>
      <c r="C120" s="2" t="s">
        <v>11</v>
      </c>
      <c r="D120" s="2" t="s">
        <v>65</v>
      </c>
      <c r="E120" s="2" t="s">
        <v>19</v>
      </c>
      <c r="F120" s="2" t="s">
        <v>14</v>
      </c>
      <c r="G120" s="2" t="s">
        <v>13</v>
      </c>
      <c r="H120" s="2" t="s">
        <v>16</v>
      </c>
      <c r="I120" s="2" t="s">
        <v>12</v>
      </c>
      <c r="K120" t="s">
        <v>138</v>
      </c>
      <c r="L120" t="s">
        <v>28</v>
      </c>
      <c r="M120" t="s">
        <v>11</v>
      </c>
      <c r="N120" t="s">
        <v>65</v>
      </c>
      <c r="O120" t="s">
        <v>19</v>
      </c>
      <c r="P120" t="s">
        <v>14</v>
      </c>
      <c r="Q120" t="s">
        <v>13</v>
      </c>
      <c r="R120" t="s">
        <v>16</v>
      </c>
      <c r="S120" t="s">
        <v>12</v>
      </c>
      <c r="U120" t="b">
        <f>L120=_R32Matchups[[#This Row],[1A vs]]</f>
        <v>1</v>
      </c>
      <c r="V120" t="b">
        <f>M120=_R32Matchups[[#This Row],[1B vs]]</f>
        <v>1</v>
      </c>
      <c r="W120" t="b">
        <f>N120=_R32Matchups[[#This Row],[1D vs]]</f>
        <v>1</v>
      </c>
      <c r="X120" t="b">
        <f>O120=_R32Matchups[[#This Row],[1E vs]]</f>
        <v>1</v>
      </c>
      <c r="Y120" t="b">
        <f>P120=_R32Matchups[[#This Row],[1G vs]]</f>
        <v>1</v>
      </c>
      <c r="Z120" t="b">
        <f>Q120=_R32Matchups[[#This Row],[1I vs]]</f>
        <v>1</v>
      </c>
      <c r="AA120" t="b">
        <f>R120=_R32Matchups[[#This Row],[1K vs]]</f>
        <v>1</v>
      </c>
      <c r="AB120" t="b">
        <f>S120=_R32Matchups[[#This Row],[1L vs]]</f>
        <v>1</v>
      </c>
    </row>
    <row r="121" spans="1:28" ht="14.4">
      <c r="A121" s="2" t="s">
        <v>139</v>
      </c>
      <c r="B121" s="2" t="s">
        <v>28</v>
      </c>
      <c r="C121" s="2" t="s">
        <v>11</v>
      </c>
      <c r="D121" s="2" t="s">
        <v>65</v>
      </c>
      <c r="E121" s="2" t="s">
        <v>19</v>
      </c>
      <c r="F121" s="2" t="s">
        <v>14</v>
      </c>
      <c r="G121" s="2" t="s">
        <v>13</v>
      </c>
      <c r="H121" s="2" t="s">
        <v>12</v>
      </c>
      <c r="I121" s="2" t="s">
        <v>17</v>
      </c>
      <c r="K121" t="s">
        <v>139</v>
      </c>
      <c r="L121" t="s">
        <v>28</v>
      </c>
      <c r="M121" t="s">
        <v>11</v>
      </c>
      <c r="N121" t="s">
        <v>65</v>
      </c>
      <c r="O121" t="s">
        <v>19</v>
      </c>
      <c r="P121" t="s">
        <v>14</v>
      </c>
      <c r="Q121" t="s">
        <v>13</v>
      </c>
      <c r="R121" t="s">
        <v>12</v>
      </c>
      <c r="S121" t="s">
        <v>17</v>
      </c>
      <c r="U121" t="b">
        <f>L121=_R32Matchups[[#This Row],[1A vs]]</f>
        <v>1</v>
      </c>
      <c r="V121" t="b">
        <f>M121=_R32Matchups[[#This Row],[1B vs]]</f>
        <v>1</v>
      </c>
      <c r="W121" t="b">
        <f>N121=_R32Matchups[[#This Row],[1D vs]]</f>
        <v>1</v>
      </c>
      <c r="X121" t="b">
        <f>O121=_R32Matchups[[#This Row],[1E vs]]</f>
        <v>1</v>
      </c>
      <c r="Y121" t="b">
        <f>P121=_R32Matchups[[#This Row],[1G vs]]</f>
        <v>1</v>
      </c>
      <c r="Z121" t="b">
        <f>Q121=_R32Matchups[[#This Row],[1I vs]]</f>
        <v>1</v>
      </c>
      <c r="AA121" t="b">
        <f>R121=_R32Matchups[[#This Row],[1K vs]]</f>
        <v>1</v>
      </c>
      <c r="AB121" t="b">
        <f>S121=_R32Matchups[[#This Row],[1L vs]]</f>
        <v>1</v>
      </c>
    </row>
    <row r="122" spans="1:28" ht="14.4">
      <c r="A122" s="2" t="s">
        <v>140</v>
      </c>
      <c r="B122" s="2" t="s">
        <v>28</v>
      </c>
      <c r="C122" s="2" t="s">
        <v>15</v>
      </c>
      <c r="D122" s="2" t="s">
        <v>65</v>
      </c>
      <c r="E122" s="2" t="s">
        <v>19</v>
      </c>
      <c r="F122" s="2" t="s">
        <v>11</v>
      </c>
      <c r="G122" s="2" t="s">
        <v>13</v>
      </c>
      <c r="H122" s="2" t="s">
        <v>16</v>
      </c>
      <c r="I122" s="2" t="s">
        <v>17</v>
      </c>
      <c r="K122" t="s">
        <v>140</v>
      </c>
      <c r="L122" t="s">
        <v>28</v>
      </c>
      <c r="M122" t="s">
        <v>15</v>
      </c>
      <c r="N122" t="s">
        <v>65</v>
      </c>
      <c r="O122" t="s">
        <v>19</v>
      </c>
      <c r="P122" t="s">
        <v>11</v>
      </c>
      <c r="Q122" t="s">
        <v>13</v>
      </c>
      <c r="R122" t="s">
        <v>16</v>
      </c>
      <c r="S122" t="s">
        <v>17</v>
      </c>
      <c r="U122" t="b">
        <f>L122=_R32Matchups[[#This Row],[1A vs]]</f>
        <v>1</v>
      </c>
      <c r="V122" t="b">
        <f>M122=_R32Matchups[[#This Row],[1B vs]]</f>
        <v>1</v>
      </c>
      <c r="W122" t="b">
        <f>N122=_R32Matchups[[#This Row],[1D vs]]</f>
        <v>1</v>
      </c>
      <c r="X122" t="b">
        <f>O122=_R32Matchups[[#This Row],[1E vs]]</f>
        <v>1</v>
      </c>
      <c r="Y122" t="b">
        <f>P122=_R32Matchups[[#This Row],[1G vs]]</f>
        <v>1</v>
      </c>
      <c r="Z122" t="b">
        <f>Q122=_R32Matchups[[#This Row],[1I vs]]</f>
        <v>1</v>
      </c>
      <c r="AA122" t="b">
        <f>R122=_R32Matchups[[#This Row],[1K vs]]</f>
        <v>1</v>
      </c>
      <c r="AB122" t="b">
        <f>S122=_R32Matchups[[#This Row],[1L vs]]</f>
        <v>1</v>
      </c>
    </row>
    <row r="123" spans="1:28" ht="14.4">
      <c r="A123" s="2" t="s">
        <v>141</v>
      </c>
      <c r="B123" s="2" t="s">
        <v>28</v>
      </c>
      <c r="C123" s="2" t="s">
        <v>15</v>
      </c>
      <c r="D123" s="2" t="s">
        <v>65</v>
      </c>
      <c r="E123" s="2" t="s">
        <v>19</v>
      </c>
      <c r="F123" s="2" t="s">
        <v>12</v>
      </c>
      <c r="G123" s="2" t="s">
        <v>13</v>
      </c>
      <c r="H123" s="2" t="s">
        <v>16</v>
      </c>
      <c r="I123" s="2" t="s">
        <v>17</v>
      </c>
      <c r="K123" t="s">
        <v>141</v>
      </c>
      <c r="L123" t="s">
        <v>28</v>
      </c>
      <c r="M123" t="s">
        <v>15</v>
      </c>
      <c r="N123" t="s">
        <v>65</v>
      </c>
      <c r="O123" t="s">
        <v>19</v>
      </c>
      <c r="P123" t="s">
        <v>12</v>
      </c>
      <c r="Q123" t="s">
        <v>13</v>
      </c>
      <c r="R123" t="s">
        <v>16</v>
      </c>
      <c r="S123" t="s">
        <v>17</v>
      </c>
      <c r="U123" t="b">
        <f>L123=_R32Matchups[[#This Row],[1A vs]]</f>
        <v>1</v>
      </c>
      <c r="V123" t="b">
        <f>M123=_R32Matchups[[#This Row],[1B vs]]</f>
        <v>1</v>
      </c>
      <c r="W123" t="b">
        <f>N123=_R32Matchups[[#This Row],[1D vs]]</f>
        <v>1</v>
      </c>
      <c r="X123" t="b">
        <f>O123=_R32Matchups[[#This Row],[1E vs]]</f>
        <v>1</v>
      </c>
      <c r="Y123" t="b">
        <f>P123=_R32Matchups[[#This Row],[1G vs]]</f>
        <v>1</v>
      </c>
      <c r="Z123" t="b">
        <f>Q123=_R32Matchups[[#This Row],[1I vs]]</f>
        <v>1</v>
      </c>
      <c r="AA123" t="b">
        <f>R123=_R32Matchups[[#This Row],[1K vs]]</f>
        <v>1</v>
      </c>
      <c r="AB123" t="b">
        <f>S123=_R32Matchups[[#This Row],[1L vs]]</f>
        <v>1</v>
      </c>
    </row>
    <row r="124" spans="1:28" ht="14.4">
      <c r="A124" s="2" t="s">
        <v>142</v>
      </c>
      <c r="B124" s="2" t="s">
        <v>28</v>
      </c>
      <c r="C124" s="2" t="s">
        <v>15</v>
      </c>
      <c r="D124" s="2" t="s">
        <v>65</v>
      </c>
      <c r="E124" s="2" t="s">
        <v>19</v>
      </c>
      <c r="F124" s="2" t="s">
        <v>11</v>
      </c>
      <c r="G124" s="2" t="s">
        <v>13</v>
      </c>
      <c r="H124" s="2" t="s">
        <v>16</v>
      </c>
      <c r="I124" s="2" t="s">
        <v>12</v>
      </c>
      <c r="K124" t="s">
        <v>142</v>
      </c>
      <c r="L124" t="s">
        <v>28</v>
      </c>
      <c r="M124" t="s">
        <v>15</v>
      </c>
      <c r="N124" t="s">
        <v>65</v>
      </c>
      <c r="O124" t="s">
        <v>19</v>
      </c>
      <c r="P124" t="s">
        <v>11</v>
      </c>
      <c r="Q124" t="s">
        <v>13</v>
      </c>
      <c r="R124" t="s">
        <v>16</v>
      </c>
      <c r="S124" t="s">
        <v>12</v>
      </c>
      <c r="U124" t="b">
        <f>L124=_R32Matchups[[#This Row],[1A vs]]</f>
        <v>1</v>
      </c>
      <c r="V124" t="b">
        <f>M124=_R32Matchups[[#This Row],[1B vs]]</f>
        <v>1</v>
      </c>
      <c r="W124" t="b">
        <f>N124=_R32Matchups[[#This Row],[1D vs]]</f>
        <v>1</v>
      </c>
      <c r="X124" t="b">
        <f>O124=_R32Matchups[[#This Row],[1E vs]]</f>
        <v>1</v>
      </c>
      <c r="Y124" t="b">
        <f>P124=_R32Matchups[[#This Row],[1G vs]]</f>
        <v>1</v>
      </c>
      <c r="Z124" t="b">
        <f>Q124=_R32Matchups[[#This Row],[1I vs]]</f>
        <v>1</v>
      </c>
      <c r="AA124" t="b">
        <f>R124=_R32Matchups[[#This Row],[1K vs]]</f>
        <v>1</v>
      </c>
      <c r="AB124" t="b">
        <f>S124=_R32Matchups[[#This Row],[1L vs]]</f>
        <v>1</v>
      </c>
    </row>
    <row r="125" spans="1:28" ht="14.4">
      <c r="A125" s="2" t="s">
        <v>143</v>
      </c>
      <c r="B125" s="2" t="s">
        <v>28</v>
      </c>
      <c r="C125" s="2" t="s">
        <v>15</v>
      </c>
      <c r="D125" s="2" t="s">
        <v>65</v>
      </c>
      <c r="E125" s="2" t="s">
        <v>19</v>
      </c>
      <c r="F125" s="2" t="s">
        <v>11</v>
      </c>
      <c r="G125" s="2" t="s">
        <v>13</v>
      </c>
      <c r="H125" s="2" t="s">
        <v>12</v>
      </c>
      <c r="I125" s="2" t="s">
        <v>17</v>
      </c>
      <c r="K125" t="s">
        <v>143</v>
      </c>
      <c r="L125" t="s">
        <v>28</v>
      </c>
      <c r="M125" t="s">
        <v>15</v>
      </c>
      <c r="N125" t="s">
        <v>65</v>
      </c>
      <c r="O125" t="s">
        <v>19</v>
      </c>
      <c r="P125" t="s">
        <v>11</v>
      </c>
      <c r="Q125" t="s">
        <v>13</v>
      </c>
      <c r="R125" t="s">
        <v>12</v>
      </c>
      <c r="S125" t="s">
        <v>17</v>
      </c>
      <c r="U125" t="b">
        <f>L125=_R32Matchups[[#This Row],[1A vs]]</f>
        <v>1</v>
      </c>
      <c r="V125" t="b">
        <f>M125=_R32Matchups[[#This Row],[1B vs]]</f>
        <v>1</v>
      </c>
      <c r="W125" t="b">
        <f>N125=_R32Matchups[[#This Row],[1D vs]]</f>
        <v>1</v>
      </c>
      <c r="X125" t="b">
        <f>O125=_R32Matchups[[#This Row],[1E vs]]</f>
        <v>1</v>
      </c>
      <c r="Y125" t="b">
        <f>P125=_R32Matchups[[#This Row],[1G vs]]</f>
        <v>1</v>
      </c>
      <c r="Z125" t="b">
        <f>Q125=_R32Matchups[[#This Row],[1I vs]]</f>
        <v>1</v>
      </c>
      <c r="AA125" t="b">
        <f>R125=_R32Matchups[[#This Row],[1K vs]]</f>
        <v>1</v>
      </c>
      <c r="AB125" t="b">
        <f>S125=_R32Matchups[[#This Row],[1L vs]]</f>
        <v>1</v>
      </c>
    </row>
    <row r="126" spans="1:28" ht="14.4">
      <c r="A126" s="2" t="s">
        <v>144</v>
      </c>
      <c r="B126" s="2" t="s">
        <v>28</v>
      </c>
      <c r="C126" s="2" t="s">
        <v>15</v>
      </c>
      <c r="D126" s="2" t="s">
        <v>65</v>
      </c>
      <c r="E126" s="2" t="s">
        <v>19</v>
      </c>
      <c r="F126" s="2" t="s">
        <v>14</v>
      </c>
      <c r="G126" s="2" t="s">
        <v>13</v>
      </c>
      <c r="H126" s="2" t="s">
        <v>16</v>
      </c>
      <c r="I126" s="2" t="s">
        <v>17</v>
      </c>
      <c r="K126" t="s">
        <v>144</v>
      </c>
      <c r="L126" t="s">
        <v>28</v>
      </c>
      <c r="M126" t="s">
        <v>15</v>
      </c>
      <c r="N126" t="s">
        <v>65</v>
      </c>
      <c r="O126" t="s">
        <v>19</v>
      </c>
      <c r="P126" t="s">
        <v>14</v>
      </c>
      <c r="Q126" t="s">
        <v>13</v>
      </c>
      <c r="R126" t="s">
        <v>16</v>
      </c>
      <c r="S126" t="s">
        <v>17</v>
      </c>
      <c r="U126" t="b">
        <f>L126=_R32Matchups[[#This Row],[1A vs]]</f>
        <v>1</v>
      </c>
      <c r="V126" t="b">
        <f>M126=_R32Matchups[[#This Row],[1B vs]]</f>
        <v>1</v>
      </c>
      <c r="W126" t="b">
        <f>N126=_R32Matchups[[#This Row],[1D vs]]</f>
        <v>1</v>
      </c>
      <c r="X126" t="b">
        <f>O126=_R32Matchups[[#This Row],[1E vs]]</f>
        <v>1</v>
      </c>
      <c r="Y126" t="b">
        <f>P126=_R32Matchups[[#This Row],[1G vs]]</f>
        <v>1</v>
      </c>
      <c r="Z126" t="b">
        <f>Q126=_R32Matchups[[#This Row],[1I vs]]</f>
        <v>1</v>
      </c>
      <c r="AA126" t="b">
        <f>R126=_R32Matchups[[#This Row],[1K vs]]</f>
        <v>1</v>
      </c>
      <c r="AB126" t="b">
        <f>S126=_R32Matchups[[#This Row],[1L vs]]</f>
        <v>1</v>
      </c>
    </row>
    <row r="127" spans="1:28" ht="14.4">
      <c r="A127" s="2" t="s">
        <v>145</v>
      </c>
      <c r="B127" s="2" t="s">
        <v>28</v>
      </c>
      <c r="C127" s="2" t="s">
        <v>15</v>
      </c>
      <c r="D127" s="2" t="s">
        <v>65</v>
      </c>
      <c r="E127" s="2" t="s">
        <v>19</v>
      </c>
      <c r="F127" s="2" t="s">
        <v>14</v>
      </c>
      <c r="G127" s="2" t="s">
        <v>13</v>
      </c>
      <c r="H127" s="2" t="s">
        <v>16</v>
      </c>
      <c r="I127" s="2" t="s">
        <v>11</v>
      </c>
      <c r="K127" t="s">
        <v>145</v>
      </c>
      <c r="L127" t="s">
        <v>28</v>
      </c>
      <c r="M127" t="s">
        <v>15</v>
      </c>
      <c r="N127" t="s">
        <v>65</v>
      </c>
      <c r="O127" t="s">
        <v>19</v>
      </c>
      <c r="P127" t="s">
        <v>14</v>
      </c>
      <c r="Q127" t="s">
        <v>13</v>
      </c>
      <c r="R127" t="s">
        <v>16</v>
      </c>
      <c r="S127" t="s">
        <v>11</v>
      </c>
      <c r="U127" t="b">
        <f>L127=_R32Matchups[[#This Row],[1A vs]]</f>
        <v>1</v>
      </c>
      <c r="V127" t="b">
        <f>M127=_R32Matchups[[#This Row],[1B vs]]</f>
        <v>1</v>
      </c>
      <c r="W127" t="b">
        <f>N127=_R32Matchups[[#This Row],[1D vs]]</f>
        <v>1</v>
      </c>
      <c r="X127" t="b">
        <f>O127=_R32Matchups[[#This Row],[1E vs]]</f>
        <v>1</v>
      </c>
      <c r="Y127" t="b">
        <f>P127=_R32Matchups[[#This Row],[1G vs]]</f>
        <v>1</v>
      </c>
      <c r="Z127" t="b">
        <f>Q127=_R32Matchups[[#This Row],[1I vs]]</f>
        <v>1</v>
      </c>
      <c r="AA127" t="b">
        <f>R127=_R32Matchups[[#This Row],[1K vs]]</f>
        <v>1</v>
      </c>
      <c r="AB127" t="b">
        <f>S127=_R32Matchups[[#This Row],[1L vs]]</f>
        <v>1</v>
      </c>
    </row>
    <row r="128" spans="1:28" ht="14.4">
      <c r="A128" s="2" t="s">
        <v>146</v>
      </c>
      <c r="B128" s="2" t="s">
        <v>14</v>
      </c>
      <c r="C128" s="2" t="s">
        <v>15</v>
      </c>
      <c r="D128" s="2" t="s">
        <v>65</v>
      </c>
      <c r="E128" s="2" t="s">
        <v>28</v>
      </c>
      <c r="F128" s="2" t="s">
        <v>11</v>
      </c>
      <c r="G128" s="2" t="s">
        <v>13</v>
      </c>
      <c r="H128" s="2" t="s">
        <v>19</v>
      </c>
      <c r="I128" s="2" t="s">
        <v>17</v>
      </c>
      <c r="K128" t="s">
        <v>146</v>
      </c>
      <c r="L128" t="s">
        <v>14</v>
      </c>
      <c r="M128" t="s">
        <v>15</v>
      </c>
      <c r="N128" t="s">
        <v>65</v>
      </c>
      <c r="O128" t="s">
        <v>28</v>
      </c>
      <c r="P128" t="s">
        <v>11</v>
      </c>
      <c r="Q128" t="s">
        <v>13</v>
      </c>
      <c r="R128" t="s">
        <v>19</v>
      </c>
      <c r="S128" t="s">
        <v>17</v>
      </c>
      <c r="U128" t="b">
        <f>L128=_R32Matchups[[#This Row],[1A vs]]</f>
        <v>1</v>
      </c>
      <c r="V128" t="b">
        <f>M128=_R32Matchups[[#This Row],[1B vs]]</f>
        <v>1</v>
      </c>
      <c r="W128" t="b">
        <f>N128=_R32Matchups[[#This Row],[1D vs]]</f>
        <v>1</v>
      </c>
      <c r="X128" t="b">
        <f>O128=_R32Matchups[[#This Row],[1E vs]]</f>
        <v>1</v>
      </c>
      <c r="Y128" t="b">
        <f>P128=_R32Matchups[[#This Row],[1G vs]]</f>
        <v>1</v>
      </c>
      <c r="Z128" t="b">
        <f>Q128=_R32Matchups[[#This Row],[1I vs]]</f>
        <v>1</v>
      </c>
      <c r="AA128" t="b">
        <f>R128=_R32Matchups[[#This Row],[1K vs]]</f>
        <v>1</v>
      </c>
      <c r="AB128" t="b">
        <f>S128=_R32Matchups[[#This Row],[1L vs]]</f>
        <v>1</v>
      </c>
    </row>
    <row r="129" spans="1:28" ht="14.4">
      <c r="A129" s="2" t="s">
        <v>147</v>
      </c>
      <c r="B129" s="2" t="s">
        <v>28</v>
      </c>
      <c r="C129" s="2" t="s">
        <v>15</v>
      </c>
      <c r="D129" s="2" t="s">
        <v>65</v>
      </c>
      <c r="E129" s="2" t="s">
        <v>19</v>
      </c>
      <c r="F129" s="2" t="s">
        <v>14</v>
      </c>
      <c r="G129" s="2" t="s">
        <v>13</v>
      </c>
      <c r="H129" s="2" t="s">
        <v>16</v>
      </c>
      <c r="I129" s="2" t="s">
        <v>12</v>
      </c>
      <c r="K129" t="s">
        <v>147</v>
      </c>
      <c r="L129" t="s">
        <v>28</v>
      </c>
      <c r="M129" t="s">
        <v>15</v>
      </c>
      <c r="N129" t="s">
        <v>65</v>
      </c>
      <c r="O129" t="s">
        <v>19</v>
      </c>
      <c r="P129" t="s">
        <v>14</v>
      </c>
      <c r="Q129" t="s">
        <v>13</v>
      </c>
      <c r="R129" t="s">
        <v>16</v>
      </c>
      <c r="S129" t="s">
        <v>12</v>
      </c>
      <c r="U129" t="b">
        <f>L129=_R32Matchups[[#This Row],[1A vs]]</f>
        <v>1</v>
      </c>
      <c r="V129" t="b">
        <f>M129=_R32Matchups[[#This Row],[1B vs]]</f>
        <v>1</v>
      </c>
      <c r="W129" t="b">
        <f>N129=_R32Matchups[[#This Row],[1D vs]]</f>
        <v>1</v>
      </c>
      <c r="X129" t="b">
        <f>O129=_R32Matchups[[#This Row],[1E vs]]</f>
        <v>1</v>
      </c>
      <c r="Y129" t="b">
        <f>P129=_R32Matchups[[#This Row],[1G vs]]</f>
        <v>1</v>
      </c>
      <c r="Z129" t="b">
        <f>Q129=_R32Matchups[[#This Row],[1I vs]]</f>
        <v>1</v>
      </c>
      <c r="AA129" t="b">
        <f>R129=_R32Matchups[[#This Row],[1K vs]]</f>
        <v>1</v>
      </c>
      <c r="AB129" t="b">
        <f>S129=_R32Matchups[[#This Row],[1L vs]]</f>
        <v>1</v>
      </c>
    </row>
    <row r="130" spans="1:28" ht="14.4">
      <c r="A130" s="2" t="s">
        <v>148</v>
      </c>
      <c r="B130" s="2" t="s">
        <v>28</v>
      </c>
      <c r="C130" s="2" t="s">
        <v>15</v>
      </c>
      <c r="D130" s="2" t="s">
        <v>65</v>
      </c>
      <c r="E130" s="2" t="s">
        <v>19</v>
      </c>
      <c r="F130" s="2" t="s">
        <v>14</v>
      </c>
      <c r="G130" s="2" t="s">
        <v>13</v>
      </c>
      <c r="H130" s="2" t="s">
        <v>12</v>
      </c>
      <c r="I130" s="2" t="s">
        <v>17</v>
      </c>
      <c r="K130" t="s">
        <v>148</v>
      </c>
      <c r="L130" t="s">
        <v>28</v>
      </c>
      <c r="M130" t="s">
        <v>15</v>
      </c>
      <c r="N130" t="s">
        <v>65</v>
      </c>
      <c r="O130" t="s">
        <v>19</v>
      </c>
      <c r="P130" t="s">
        <v>14</v>
      </c>
      <c r="Q130" t="s">
        <v>13</v>
      </c>
      <c r="R130" t="s">
        <v>12</v>
      </c>
      <c r="S130" t="s">
        <v>17</v>
      </c>
      <c r="U130" t="b">
        <f>L130=_R32Matchups[[#This Row],[1A vs]]</f>
        <v>1</v>
      </c>
      <c r="V130" t="b">
        <f>M130=_R32Matchups[[#This Row],[1B vs]]</f>
        <v>1</v>
      </c>
      <c r="W130" t="b">
        <f>N130=_R32Matchups[[#This Row],[1D vs]]</f>
        <v>1</v>
      </c>
      <c r="X130" t="b">
        <f>O130=_R32Matchups[[#This Row],[1E vs]]</f>
        <v>1</v>
      </c>
      <c r="Y130" t="b">
        <f>P130=_R32Matchups[[#This Row],[1G vs]]</f>
        <v>1</v>
      </c>
      <c r="Z130" t="b">
        <f>Q130=_R32Matchups[[#This Row],[1I vs]]</f>
        <v>1</v>
      </c>
      <c r="AA130" t="b">
        <f>R130=_R32Matchups[[#This Row],[1K vs]]</f>
        <v>1</v>
      </c>
      <c r="AB130" t="b">
        <f>S130=_R32Matchups[[#This Row],[1L vs]]</f>
        <v>1</v>
      </c>
    </row>
    <row r="131" spans="1:28" ht="14.4">
      <c r="A131" s="2" t="s">
        <v>149</v>
      </c>
      <c r="B131" s="2" t="s">
        <v>14</v>
      </c>
      <c r="C131" s="2" t="s">
        <v>15</v>
      </c>
      <c r="D131" s="2" t="s">
        <v>65</v>
      </c>
      <c r="E131" s="2" t="s">
        <v>28</v>
      </c>
      <c r="F131" s="2" t="s">
        <v>11</v>
      </c>
      <c r="G131" s="2" t="s">
        <v>13</v>
      </c>
      <c r="H131" s="2" t="s">
        <v>19</v>
      </c>
      <c r="I131" s="2" t="s">
        <v>12</v>
      </c>
      <c r="K131" t="s">
        <v>149</v>
      </c>
      <c r="L131" t="s">
        <v>14</v>
      </c>
      <c r="M131" t="s">
        <v>15</v>
      </c>
      <c r="N131" t="s">
        <v>65</v>
      </c>
      <c r="O131" t="s">
        <v>28</v>
      </c>
      <c r="P131" t="s">
        <v>11</v>
      </c>
      <c r="Q131" t="s">
        <v>13</v>
      </c>
      <c r="R131" t="s">
        <v>19</v>
      </c>
      <c r="S131" t="s">
        <v>12</v>
      </c>
      <c r="U131" t="b">
        <f>L131=_R32Matchups[[#This Row],[1A vs]]</f>
        <v>1</v>
      </c>
      <c r="V131" t="b">
        <f>M131=_R32Matchups[[#This Row],[1B vs]]</f>
        <v>1</v>
      </c>
      <c r="W131" t="b">
        <f>N131=_R32Matchups[[#This Row],[1D vs]]</f>
        <v>1</v>
      </c>
      <c r="X131" t="b">
        <f>O131=_R32Matchups[[#This Row],[1E vs]]</f>
        <v>1</v>
      </c>
      <c r="Y131" t="b">
        <f>P131=_R32Matchups[[#This Row],[1G vs]]</f>
        <v>1</v>
      </c>
      <c r="Z131" t="b">
        <f>Q131=_R32Matchups[[#This Row],[1I vs]]</f>
        <v>1</v>
      </c>
      <c r="AA131" t="b">
        <f>R131=_R32Matchups[[#This Row],[1K vs]]</f>
        <v>1</v>
      </c>
      <c r="AB131" t="b">
        <f>S131=_R32Matchups[[#This Row],[1L vs]]</f>
        <v>1</v>
      </c>
    </row>
    <row r="132" spans="1:28" ht="14.4">
      <c r="A132" s="2" t="s">
        <v>150</v>
      </c>
      <c r="B132" s="2" t="s">
        <v>10</v>
      </c>
      <c r="C132" s="2" t="s">
        <v>11</v>
      </c>
      <c r="D132" s="2" t="s">
        <v>65</v>
      </c>
      <c r="E132" s="2" t="s">
        <v>28</v>
      </c>
      <c r="F132" s="2" t="s">
        <v>12</v>
      </c>
      <c r="G132" s="2" t="s">
        <v>19</v>
      </c>
      <c r="H132" s="2" t="s">
        <v>16</v>
      </c>
      <c r="I132" s="2" t="s">
        <v>17</v>
      </c>
      <c r="K132" t="s">
        <v>150</v>
      </c>
      <c r="L132" t="s">
        <v>10</v>
      </c>
      <c r="M132" t="s">
        <v>11</v>
      </c>
      <c r="N132" t="s">
        <v>65</v>
      </c>
      <c r="O132" t="s">
        <v>28</v>
      </c>
      <c r="P132" t="s">
        <v>12</v>
      </c>
      <c r="Q132" t="s">
        <v>19</v>
      </c>
      <c r="R132" t="s">
        <v>16</v>
      </c>
      <c r="S132" t="s">
        <v>17</v>
      </c>
      <c r="U132" t="b">
        <f>L132=_R32Matchups[[#This Row],[1A vs]]</f>
        <v>1</v>
      </c>
      <c r="V132" t="b">
        <f>M132=_R32Matchups[[#This Row],[1B vs]]</f>
        <v>1</v>
      </c>
      <c r="W132" t="b">
        <f>N132=_R32Matchups[[#This Row],[1D vs]]</f>
        <v>1</v>
      </c>
      <c r="X132" t="b">
        <f>O132=_R32Matchups[[#This Row],[1E vs]]</f>
        <v>1</v>
      </c>
      <c r="Y132" t="b">
        <f>P132=_R32Matchups[[#This Row],[1G vs]]</f>
        <v>1</v>
      </c>
      <c r="Z132" t="b">
        <f>Q132=_R32Matchups[[#This Row],[1I vs]]</f>
        <v>1</v>
      </c>
      <c r="AA132" t="b">
        <f>R132=_R32Matchups[[#This Row],[1K vs]]</f>
        <v>1</v>
      </c>
      <c r="AB132" t="b">
        <f>S132=_R32Matchups[[#This Row],[1L vs]]</f>
        <v>1</v>
      </c>
    </row>
    <row r="133" spans="1:28" ht="14.4">
      <c r="A133" s="2" t="s">
        <v>151</v>
      </c>
      <c r="B133" s="2" t="s">
        <v>10</v>
      </c>
      <c r="C133" s="2" t="s">
        <v>11</v>
      </c>
      <c r="D133" s="2" t="s">
        <v>65</v>
      </c>
      <c r="E133" s="2" t="s">
        <v>28</v>
      </c>
      <c r="F133" s="2" t="s">
        <v>14</v>
      </c>
      <c r="G133" s="2" t="s">
        <v>19</v>
      </c>
      <c r="H133" s="2" t="s">
        <v>16</v>
      </c>
      <c r="I133" s="2" t="s">
        <v>17</v>
      </c>
      <c r="K133" t="s">
        <v>151</v>
      </c>
      <c r="L133" t="s">
        <v>10</v>
      </c>
      <c r="M133" t="s">
        <v>11</v>
      </c>
      <c r="N133" t="s">
        <v>65</v>
      </c>
      <c r="O133" t="s">
        <v>28</v>
      </c>
      <c r="P133" t="s">
        <v>14</v>
      </c>
      <c r="Q133" t="s">
        <v>19</v>
      </c>
      <c r="R133" t="s">
        <v>16</v>
      </c>
      <c r="S133" t="s">
        <v>17</v>
      </c>
      <c r="U133" t="b">
        <f>L133=_R32Matchups[[#This Row],[1A vs]]</f>
        <v>1</v>
      </c>
      <c r="V133" t="b">
        <f>M133=_R32Matchups[[#This Row],[1B vs]]</f>
        <v>1</v>
      </c>
      <c r="W133" t="b">
        <f>N133=_R32Matchups[[#This Row],[1D vs]]</f>
        <v>1</v>
      </c>
      <c r="X133" t="b">
        <f>O133=_R32Matchups[[#This Row],[1E vs]]</f>
        <v>1</v>
      </c>
      <c r="Y133" t="b">
        <f>P133=_R32Matchups[[#This Row],[1G vs]]</f>
        <v>1</v>
      </c>
      <c r="Z133" t="b">
        <f>Q133=_R32Matchups[[#This Row],[1I vs]]</f>
        <v>1</v>
      </c>
      <c r="AA133" t="b">
        <f>R133=_R32Matchups[[#This Row],[1K vs]]</f>
        <v>1</v>
      </c>
      <c r="AB133" t="b">
        <f>S133=_R32Matchups[[#This Row],[1L vs]]</f>
        <v>1</v>
      </c>
    </row>
    <row r="134" spans="1:28" ht="14.4">
      <c r="A134" s="2" t="s">
        <v>152</v>
      </c>
      <c r="B134" s="2" t="s">
        <v>10</v>
      </c>
      <c r="C134" s="2" t="s">
        <v>12</v>
      </c>
      <c r="D134" s="2" t="s">
        <v>65</v>
      </c>
      <c r="E134" s="2" t="s">
        <v>28</v>
      </c>
      <c r="F134" s="2" t="s">
        <v>14</v>
      </c>
      <c r="G134" s="2" t="s">
        <v>19</v>
      </c>
      <c r="H134" s="2" t="s">
        <v>16</v>
      </c>
      <c r="I134" s="2" t="s">
        <v>17</v>
      </c>
      <c r="K134" t="s">
        <v>152</v>
      </c>
      <c r="L134" t="s">
        <v>10</v>
      </c>
      <c r="M134" t="s">
        <v>12</v>
      </c>
      <c r="N134" t="s">
        <v>65</v>
      </c>
      <c r="O134" t="s">
        <v>28</v>
      </c>
      <c r="P134" t="s">
        <v>14</v>
      </c>
      <c r="Q134" t="s">
        <v>19</v>
      </c>
      <c r="R134" t="s">
        <v>16</v>
      </c>
      <c r="S134" t="s">
        <v>17</v>
      </c>
      <c r="U134" t="b">
        <f>L134=_R32Matchups[[#This Row],[1A vs]]</f>
        <v>1</v>
      </c>
      <c r="V134" t="b">
        <f>M134=_R32Matchups[[#This Row],[1B vs]]</f>
        <v>1</v>
      </c>
      <c r="W134" t="b">
        <f>N134=_R32Matchups[[#This Row],[1D vs]]</f>
        <v>1</v>
      </c>
      <c r="X134" t="b">
        <f>O134=_R32Matchups[[#This Row],[1E vs]]</f>
        <v>1</v>
      </c>
      <c r="Y134" t="b">
        <f>P134=_R32Matchups[[#This Row],[1G vs]]</f>
        <v>1</v>
      </c>
      <c r="Z134" t="b">
        <f>Q134=_R32Matchups[[#This Row],[1I vs]]</f>
        <v>1</v>
      </c>
      <c r="AA134" t="b">
        <f>R134=_R32Matchups[[#This Row],[1K vs]]</f>
        <v>1</v>
      </c>
      <c r="AB134" t="b">
        <f>S134=_R32Matchups[[#This Row],[1L vs]]</f>
        <v>1</v>
      </c>
    </row>
    <row r="135" spans="1:28" ht="14.4">
      <c r="A135" s="2" t="s">
        <v>153</v>
      </c>
      <c r="B135" s="2" t="s">
        <v>10</v>
      </c>
      <c r="C135" s="2" t="s">
        <v>11</v>
      </c>
      <c r="D135" s="2" t="s">
        <v>65</v>
      </c>
      <c r="E135" s="2" t="s">
        <v>28</v>
      </c>
      <c r="F135" s="2" t="s">
        <v>14</v>
      </c>
      <c r="G135" s="2" t="s">
        <v>19</v>
      </c>
      <c r="H135" s="2" t="s">
        <v>16</v>
      </c>
      <c r="I135" s="2" t="s">
        <v>12</v>
      </c>
      <c r="K135" t="s">
        <v>153</v>
      </c>
      <c r="L135" t="s">
        <v>10</v>
      </c>
      <c r="M135" t="s">
        <v>11</v>
      </c>
      <c r="N135" t="s">
        <v>65</v>
      </c>
      <c r="O135" t="s">
        <v>28</v>
      </c>
      <c r="P135" t="s">
        <v>14</v>
      </c>
      <c r="Q135" t="s">
        <v>19</v>
      </c>
      <c r="R135" t="s">
        <v>16</v>
      </c>
      <c r="S135" t="s">
        <v>12</v>
      </c>
      <c r="U135" t="b">
        <f>L135=_R32Matchups[[#This Row],[1A vs]]</f>
        <v>1</v>
      </c>
      <c r="V135" t="b">
        <f>M135=_R32Matchups[[#This Row],[1B vs]]</f>
        <v>1</v>
      </c>
      <c r="W135" t="b">
        <f>N135=_R32Matchups[[#This Row],[1D vs]]</f>
        <v>1</v>
      </c>
      <c r="X135" t="b">
        <f>O135=_R32Matchups[[#This Row],[1E vs]]</f>
        <v>1</v>
      </c>
      <c r="Y135" t="b">
        <f>P135=_R32Matchups[[#This Row],[1G vs]]</f>
        <v>1</v>
      </c>
      <c r="Z135" t="b">
        <f>Q135=_R32Matchups[[#This Row],[1I vs]]</f>
        <v>1</v>
      </c>
      <c r="AA135" t="b">
        <f>R135=_R32Matchups[[#This Row],[1K vs]]</f>
        <v>1</v>
      </c>
      <c r="AB135" t="b">
        <f>S135=_R32Matchups[[#This Row],[1L vs]]</f>
        <v>1</v>
      </c>
    </row>
    <row r="136" spans="1:28" ht="14.4">
      <c r="A136" s="2" t="s">
        <v>154</v>
      </c>
      <c r="B136" s="2" t="s">
        <v>10</v>
      </c>
      <c r="C136" s="2" t="s">
        <v>11</v>
      </c>
      <c r="D136" s="2" t="s">
        <v>65</v>
      </c>
      <c r="E136" s="2" t="s">
        <v>28</v>
      </c>
      <c r="F136" s="2" t="s">
        <v>14</v>
      </c>
      <c r="G136" s="2" t="s">
        <v>19</v>
      </c>
      <c r="H136" s="2" t="s">
        <v>12</v>
      </c>
      <c r="I136" s="2" t="s">
        <v>17</v>
      </c>
      <c r="K136" t="s">
        <v>154</v>
      </c>
      <c r="L136" t="s">
        <v>10</v>
      </c>
      <c r="M136" t="s">
        <v>11</v>
      </c>
      <c r="N136" t="s">
        <v>65</v>
      </c>
      <c r="O136" t="s">
        <v>28</v>
      </c>
      <c r="P136" t="s">
        <v>14</v>
      </c>
      <c r="Q136" t="s">
        <v>19</v>
      </c>
      <c r="R136" t="s">
        <v>12</v>
      </c>
      <c r="S136" t="s">
        <v>17</v>
      </c>
      <c r="U136" t="b">
        <f>L136=_R32Matchups[[#This Row],[1A vs]]</f>
        <v>1</v>
      </c>
      <c r="V136" t="b">
        <f>M136=_R32Matchups[[#This Row],[1B vs]]</f>
        <v>1</v>
      </c>
      <c r="W136" t="b">
        <f>N136=_R32Matchups[[#This Row],[1D vs]]</f>
        <v>1</v>
      </c>
      <c r="X136" t="b">
        <f>O136=_R32Matchups[[#This Row],[1E vs]]</f>
        <v>1</v>
      </c>
      <c r="Y136" t="b">
        <f>P136=_R32Matchups[[#This Row],[1G vs]]</f>
        <v>1</v>
      </c>
      <c r="Z136" t="b">
        <f>Q136=_R32Matchups[[#This Row],[1I vs]]</f>
        <v>1</v>
      </c>
      <c r="AA136" t="b">
        <f>R136=_R32Matchups[[#This Row],[1K vs]]</f>
        <v>1</v>
      </c>
      <c r="AB136" t="b">
        <f>S136=_R32Matchups[[#This Row],[1L vs]]</f>
        <v>1</v>
      </c>
    </row>
    <row r="137" spans="1:28" ht="14.4">
      <c r="A137" s="2" t="s">
        <v>155</v>
      </c>
      <c r="B137" s="2" t="s">
        <v>10</v>
      </c>
      <c r="C137" s="2" t="s">
        <v>15</v>
      </c>
      <c r="D137" s="2" t="s">
        <v>65</v>
      </c>
      <c r="E137" s="2" t="s">
        <v>28</v>
      </c>
      <c r="F137" s="2" t="s">
        <v>11</v>
      </c>
      <c r="G137" s="2" t="s">
        <v>19</v>
      </c>
      <c r="H137" s="2" t="s">
        <v>16</v>
      </c>
      <c r="I137" s="2" t="s">
        <v>17</v>
      </c>
      <c r="K137" t="s">
        <v>155</v>
      </c>
      <c r="L137" t="s">
        <v>10</v>
      </c>
      <c r="M137" t="s">
        <v>15</v>
      </c>
      <c r="N137" t="s">
        <v>65</v>
      </c>
      <c r="O137" t="s">
        <v>28</v>
      </c>
      <c r="P137" t="s">
        <v>11</v>
      </c>
      <c r="Q137" t="s">
        <v>19</v>
      </c>
      <c r="R137" t="s">
        <v>16</v>
      </c>
      <c r="S137" t="s">
        <v>17</v>
      </c>
      <c r="U137" t="b">
        <f>L137=_R32Matchups[[#This Row],[1A vs]]</f>
        <v>1</v>
      </c>
      <c r="V137" t="b">
        <f>M137=_R32Matchups[[#This Row],[1B vs]]</f>
        <v>1</v>
      </c>
      <c r="W137" t="b">
        <f>N137=_R32Matchups[[#This Row],[1D vs]]</f>
        <v>1</v>
      </c>
      <c r="X137" t="b">
        <f>O137=_R32Matchups[[#This Row],[1E vs]]</f>
        <v>1</v>
      </c>
      <c r="Y137" t="b">
        <f>P137=_R32Matchups[[#This Row],[1G vs]]</f>
        <v>1</v>
      </c>
      <c r="Z137" t="b">
        <f>Q137=_R32Matchups[[#This Row],[1I vs]]</f>
        <v>1</v>
      </c>
      <c r="AA137" t="b">
        <f>R137=_R32Matchups[[#This Row],[1K vs]]</f>
        <v>1</v>
      </c>
      <c r="AB137" t="b">
        <f>S137=_R32Matchups[[#This Row],[1L vs]]</f>
        <v>1</v>
      </c>
    </row>
    <row r="138" spans="1:28" ht="14.4">
      <c r="A138" s="2" t="s">
        <v>156</v>
      </c>
      <c r="B138" s="2" t="s">
        <v>10</v>
      </c>
      <c r="C138" s="2" t="s">
        <v>15</v>
      </c>
      <c r="D138" s="2" t="s">
        <v>65</v>
      </c>
      <c r="E138" s="2" t="s">
        <v>28</v>
      </c>
      <c r="F138" s="2" t="s">
        <v>12</v>
      </c>
      <c r="G138" s="2" t="s">
        <v>19</v>
      </c>
      <c r="H138" s="2" t="s">
        <v>16</v>
      </c>
      <c r="I138" s="2" t="s">
        <v>17</v>
      </c>
      <c r="K138" t="s">
        <v>156</v>
      </c>
      <c r="L138" t="s">
        <v>10</v>
      </c>
      <c r="M138" t="s">
        <v>15</v>
      </c>
      <c r="N138" t="s">
        <v>65</v>
      </c>
      <c r="O138" t="s">
        <v>28</v>
      </c>
      <c r="P138" t="s">
        <v>12</v>
      </c>
      <c r="Q138" t="s">
        <v>19</v>
      </c>
      <c r="R138" t="s">
        <v>16</v>
      </c>
      <c r="S138" t="s">
        <v>17</v>
      </c>
      <c r="U138" t="b">
        <f>L138=_R32Matchups[[#This Row],[1A vs]]</f>
        <v>1</v>
      </c>
      <c r="V138" t="b">
        <f>M138=_R32Matchups[[#This Row],[1B vs]]</f>
        <v>1</v>
      </c>
      <c r="W138" t="b">
        <f>N138=_R32Matchups[[#This Row],[1D vs]]</f>
        <v>1</v>
      </c>
      <c r="X138" t="b">
        <f>O138=_R32Matchups[[#This Row],[1E vs]]</f>
        <v>1</v>
      </c>
      <c r="Y138" t="b">
        <f>P138=_R32Matchups[[#This Row],[1G vs]]</f>
        <v>1</v>
      </c>
      <c r="Z138" t="b">
        <f>Q138=_R32Matchups[[#This Row],[1I vs]]</f>
        <v>1</v>
      </c>
      <c r="AA138" t="b">
        <f>R138=_R32Matchups[[#This Row],[1K vs]]</f>
        <v>1</v>
      </c>
      <c r="AB138" t="b">
        <f>S138=_R32Matchups[[#This Row],[1L vs]]</f>
        <v>1</v>
      </c>
    </row>
    <row r="139" spans="1:28" ht="14.4">
      <c r="A139" s="2" t="s">
        <v>157</v>
      </c>
      <c r="B139" s="2" t="s">
        <v>10</v>
      </c>
      <c r="C139" s="2" t="s">
        <v>15</v>
      </c>
      <c r="D139" s="2" t="s">
        <v>65</v>
      </c>
      <c r="E139" s="2" t="s">
        <v>28</v>
      </c>
      <c r="F139" s="2" t="s">
        <v>11</v>
      </c>
      <c r="G139" s="2" t="s">
        <v>19</v>
      </c>
      <c r="H139" s="2" t="s">
        <v>16</v>
      </c>
      <c r="I139" s="2" t="s">
        <v>12</v>
      </c>
      <c r="K139" t="s">
        <v>157</v>
      </c>
      <c r="L139" t="s">
        <v>10</v>
      </c>
      <c r="M139" t="s">
        <v>15</v>
      </c>
      <c r="N139" t="s">
        <v>65</v>
      </c>
      <c r="O139" t="s">
        <v>28</v>
      </c>
      <c r="P139" t="s">
        <v>11</v>
      </c>
      <c r="Q139" t="s">
        <v>19</v>
      </c>
      <c r="R139" t="s">
        <v>16</v>
      </c>
      <c r="S139" t="s">
        <v>12</v>
      </c>
      <c r="U139" t="b">
        <f>L139=_R32Matchups[[#This Row],[1A vs]]</f>
        <v>1</v>
      </c>
      <c r="V139" t="b">
        <f>M139=_R32Matchups[[#This Row],[1B vs]]</f>
        <v>1</v>
      </c>
      <c r="W139" t="b">
        <f>N139=_R32Matchups[[#This Row],[1D vs]]</f>
        <v>1</v>
      </c>
      <c r="X139" t="b">
        <f>O139=_R32Matchups[[#This Row],[1E vs]]</f>
        <v>1</v>
      </c>
      <c r="Y139" t="b">
        <f>P139=_R32Matchups[[#This Row],[1G vs]]</f>
        <v>1</v>
      </c>
      <c r="Z139" t="b">
        <f>Q139=_R32Matchups[[#This Row],[1I vs]]</f>
        <v>1</v>
      </c>
      <c r="AA139" t="b">
        <f>R139=_R32Matchups[[#This Row],[1K vs]]</f>
        <v>1</v>
      </c>
      <c r="AB139" t="b">
        <f>S139=_R32Matchups[[#This Row],[1L vs]]</f>
        <v>1</v>
      </c>
    </row>
    <row r="140" spans="1:28" ht="14.4">
      <c r="A140" s="2" t="s">
        <v>158</v>
      </c>
      <c r="B140" s="2" t="s">
        <v>10</v>
      </c>
      <c r="C140" s="2" t="s">
        <v>15</v>
      </c>
      <c r="D140" s="2" t="s">
        <v>65</v>
      </c>
      <c r="E140" s="2" t="s">
        <v>28</v>
      </c>
      <c r="F140" s="2" t="s">
        <v>11</v>
      </c>
      <c r="G140" s="2" t="s">
        <v>19</v>
      </c>
      <c r="H140" s="2" t="s">
        <v>12</v>
      </c>
      <c r="I140" s="2" t="s">
        <v>17</v>
      </c>
      <c r="K140" t="s">
        <v>158</v>
      </c>
      <c r="L140" t="s">
        <v>10</v>
      </c>
      <c r="M140" t="s">
        <v>15</v>
      </c>
      <c r="N140" t="s">
        <v>65</v>
      </c>
      <c r="O140" t="s">
        <v>28</v>
      </c>
      <c r="P140" t="s">
        <v>11</v>
      </c>
      <c r="Q140" t="s">
        <v>19</v>
      </c>
      <c r="R140" t="s">
        <v>12</v>
      </c>
      <c r="S140" t="s">
        <v>17</v>
      </c>
      <c r="U140" t="b">
        <f>L140=_R32Matchups[[#This Row],[1A vs]]</f>
        <v>1</v>
      </c>
      <c r="V140" t="b">
        <f>M140=_R32Matchups[[#This Row],[1B vs]]</f>
        <v>1</v>
      </c>
      <c r="W140" t="b">
        <f>N140=_R32Matchups[[#This Row],[1D vs]]</f>
        <v>1</v>
      </c>
      <c r="X140" t="b">
        <f>O140=_R32Matchups[[#This Row],[1E vs]]</f>
        <v>1</v>
      </c>
      <c r="Y140" t="b">
        <f>P140=_R32Matchups[[#This Row],[1G vs]]</f>
        <v>1</v>
      </c>
      <c r="Z140" t="b">
        <f>Q140=_R32Matchups[[#This Row],[1I vs]]</f>
        <v>1</v>
      </c>
      <c r="AA140" t="b">
        <f>R140=_R32Matchups[[#This Row],[1K vs]]</f>
        <v>1</v>
      </c>
      <c r="AB140" t="b">
        <f>S140=_R32Matchups[[#This Row],[1L vs]]</f>
        <v>1</v>
      </c>
    </row>
    <row r="141" spans="1:28" ht="14.4">
      <c r="A141" s="2" t="s">
        <v>159</v>
      </c>
      <c r="B141" s="2" t="s">
        <v>10</v>
      </c>
      <c r="C141" s="2" t="s">
        <v>15</v>
      </c>
      <c r="D141" s="2" t="s">
        <v>65</v>
      </c>
      <c r="E141" s="2" t="s">
        <v>28</v>
      </c>
      <c r="F141" s="2" t="s">
        <v>14</v>
      </c>
      <c r="G141" s="2" t="s">
        <v>19</v>
      </c>
      <c r="H141" s="2" t="s">
        <v>16</v>
      </c>
      <c r="I141" s="2" t="s">
        <v>17</v>
      </c>
      <c r="K141" t="s">
        <v>159</v>
      </c>
      <c r="L141" t="s">
        <v>10</v>
      </c>
      <c r="M141" t="s">
        <v>15</v>
      </c>
      <c r="N141" t="s">
        <v>65</v>
      </c>
      <c r="O141" t="s">
        <v>28</v>
      </c>
      <c r="P141" t="s">
        <v>14</v>
      </c>
      <c r="Q141" t="s">
        <v>19</v>
      </c>
      <c r="R141" t="s">
        <v>16</v>
      </c>
      <c r="S141" t="s">
        <v>17</v>
      </c>
      <c r="U141" t="b">
        <f>L141=_R32Matchups[[#This Row],[1A vs]]</f>
        <v>1</v>
      </c>
      <c r="V141" t="b">
        <f>M141=_R32Matchups[[#This Row],[1B vs]]</f>
        <v>1</v>
      </c>
      <c r="W141" t="b">
        <f>N141=_R32Matchups[[#This Row],[1D vs]]</f>
        <v>1</v>
      </c>
      <c r="X141" t="b">
        <f>O141=_R32Matchups[[#This Row],[1E vs]]</f>
        <v>1</v>
      </c>
      <c r="Y141" t="b">
        <f>P141=_R32Matchups[[#This Row],[1G vs]]</f>
        <v>1</v>
      </c>
      <c r="Z141" t="b">
        <f>Q141=_R32Matchups[[#This Row],[1I vs]]</f>
        <v>1</v>
      </c>
      <c r="AA141" t="b">
        <f>R141=_R32Matchups[[#This Row],[1K vs]]</f>
        <v>1</v>
      </c>
      <c r="AB141" t="b">
        <f>S141=_R32Matchups[[#This Row],[1L vs]]</f>
        <v>1</v>
      </c>
    </row>
    <row r="142" spans="1:28" ht="14.4">
      <c r="A142" s="2" t="s">
        <v>160</v>
      </c>
      <c r="B142" s="2" t="s">
        <v>14</v>
      </c>
      <c r="C142" s="2" t="s">
        <v>15</v>
      </c>
      <c r="D142" s="2" t="s">
        <v>65</v>
      </c>
      <c r="E142" s="2" t="s">
        <v>28</v>
      </c>
      <c r="F142" s="2" t="s">
        <v>11</v>
      </c>
      <c r="G142" s="2" t="s">
        <v>19</v>
      </c>
      <c r="H142" s="2" t="s">
        <v>16</v>
      </c>
      <c r="I142" s="2" t="s">
        <v>10</v>
      </c>
      <c r="K142" t="s">
        <v>160</v>
      </c>
      <c r="L142" t="s">
        <v>14</v>
      </c>
      <c r="M142" t="s">
        <v>15</v>
      </c>
      <c r="N142" t="s">
        <v>65</v>
      </c>
      <c r="O142" t="s">
        <v>28</v>
      </c>
      <c r="P142" t="s">
        <v>11</v>
      </c>
      <c r="Q142" t="s">
        <v>19</v>
      </c>
      <c r="R142" t="s">
        <v>16</v>
      </c>
      <c r="S142" t="s">
        <v>10</v>
      </c>
      <c r="U142" t="b">
        <f>L142=_R32Matchups[[#This Row],[1A vs]]</f>
        <v>1</v>
      </c>
      <c r="V142" t="b">
        <f>M142=_R32Matchups[[#This Row],[1B vs]]</f>
        <v>1</v>
      </c>
      <c r="W142" t="b">
        <f>N142=_R32Matchups[[#This Row],[1D vs]]</f>
        <v>1</v>
      </c>
      <c r="X142" t="b">
        <f>O142=_R32Matchups[[#This Row],[1E vs]]</f>
        <v>1</v>
      </c>
      <c r="Y142" t="b">
        <f>P142=_R32Matchups[[#This Row],[1G vs]]</f>
        <v>1</v>
      </c>
      <c r="Z142" t="b">
        <f>Q142=_R32Matchups[[#This Row],[1I vs]]</f>
        <v>1</v>
      </c>
      <c r="AA142" t="b">
        <f>R142=_R32Matchups[[#This Row],[1K vs]]</f>
        <v>1</v>
      </c>
      <c r="AB142" t="b">
        <f>S142=_R32Matchups[[#This Row],[1L vs]]</f>
        <v>1</v>
      </c>
    </row>
    <row r="143" spans="1:28" ht="14.4">
      <c r="A143" s="2" t="s">
        <v>161</v>
      </c>
      <c r="B143" s="2" t="s">
        <v>14</v>
      </c>
      <c r="C143" s="2" t="s">
        <v>15</v>
      </c>
      <c r="D143" s="2" t="s">
        <v>65</v>
      </c>
      <c r="E143" s="2" t="s">
        <v>28</v>
      </c>
      <c r="F143" s="2" t="s">
        <v>11</v>
      </c>
      <c r="G143" s="2" t="s">
        <v>19</v>
      </c>
      <c r="H143" s="2" t="s">
        <v>10</v>
      </c>
      <c r="I143" s="2" t="s">
        <v>17</v>
      </c>
      <c r="K143" t="s">
        <v>161</v>
      </c>
      <c r="L143" t="s">
        <v>14</v>
      </c>
      <c r="M143" t="s">
        <v>15</v>
      </c>
      <c r="N143" t="s">
        <v>65</v>
      </c>
      <c r="O143" t="s">
        <v>28</v>
      </c>
      <c r="P143" t="s">
        <v>11</v>
      </c>
      <c r="Q143" t="s">
        <v>19</v>
      </c>
      <c r="R143" t="s">
        <v>10</v>
      </c>
      <c r="S143" t="s">
        <v>17</v>
      </c>
      <c r="U143" t="b">
        <f>L143=_R32Matchups[[#This Row],[1A vs]]</f>
        <v>1</v>
      </c>
      <c r="V143" t="b">
        <f>M143=_R32Matchups[[#This Row],[1B vs]]</f>
        <v>1</v>
      </c>
      <c r="W143" t="b">
        <f>N143=_R32Matchups[[#This Row],[1D vs]]</f>
        <v>1</v>
      </c>
      <c r="X143" t="b">
        <f>O143=_R32Matchups[[#This Row],[1E vs]]</f>
        <v>1</v>
      </c>
      <c r="Y143" t="b">
        <f>P143=_R32Matchups[[#This Row],[1G vs]]</f>
        <v>1</v>
      </c>
      <c r="Z143" t="b">
        <f>Q143=_R32Matchups[[#This Row],[1I vs]]</f>
        <v>1</v>
      </c>
      <c r="AA143" t="b">
        <f>R143=_R32Matchups[[#This Row],[1K vs]]</f>
        <v>1</v>
      </c>
      <c r="AB143" t="b">
        <f>S143=_R32Matchups[[#This Row],[1L vs]]</f>
        <v>1</v>
      </c>
    </row>
    <row r="144" spans="1:28" ht="14.4">
      <c r="A144" s="2" t="s">
        <v>162</v>
      </c>
      <c r="B144" s="2" t="s">
        <v>10</v>
      </c>
      <c r="C144" s="2" t="s">
        <v>15</v>
      </c>
      <c r="D144" s="2" t="s">
        <v>65</v>
      </c>
      <c r="E144" s="2" t="s">
        <v>28</v>
      </c>
      <c r="F144" s="2" t="s">
        <v>14</v>
      </c>
      <c r="G144" s="2" t="s">
        <v>19</v>
      </c>
      <c r="H144" s="2" t="s">
        <v>16</v>
      </c>
      <c r="I144" s="2" t="s">
        <v>12</v>
      </c>
      <c r="K144" t="s">
        <v>162</v>
      </c>
      <c r="L144" t="s">
        <v>10</v>
      </c>
      <c r="M144" t="s">
        <v>15</v>
      </c>
      <c r="N144" t="s">
        <v>65</v>
      </c>
      <c r="O144" t="s">
        <v>28</v>
      </c>
      <c r="P144" t="s">
        <v>14</v>
      </c>
      <c r="Q144" t="s">
        <v>19</v>
      </c>
      <c r="R144" t="s">
        <v>16</v>
      </c>
      <c r="S144" t="s">
        <v>12</v>
      </c>
      <c r="U144" t="b">
        <f>L144=_R32Matchups[[#This Row],[1A vs]]</f>
        <v>1</v>
      </c>
      <c r="V144" t="b">
        <f>M144=_R32Matchups[[#This Row],[1B vs]]</f>
        <v>1</v>
      </c>
      <c r="W144" t="b">
        <f>N144=_R32Matchups[[#This Row],[1D vs]]</f>
        <v>1</v>
      </c>
      <c r="X144" t="b">
        <f>O144=_R32Matchups[[#This Row],[1E vs]]</f>
        <v>1</v>
      </c>
      <c r="Y144" t="b">
        <f>P144=_R32Matchups[[#This Row],[1G vs]]</f>
        <v>1</v>
      </c>
      <c r="Z144" t="b">
        <f>Q144=_R32Matchups[[#This Row],[1I vs]]</f>
        <v>1</v>
      </c>
      <c r="AA144" t="b">
        <f>R144=_R32Matchups[[#This Row],[1K vs]]</f>
        <v>1</v>
      </c>
      <c r="AB144" t="b">
        <f>S144=_R32Matchups[[#This Row],[1L vs]]</f>
        <v>1</v>
      </c>
    </row>
    <row r="145" spans="1:28" ht="14.4">
      <c r="A145" s="2" t="s">
        <v>163</v>
      </c>
      <c r="B145" s="2" t="s">
        <v>10</v>
      </c>
      <c r="C145" s="2" t="s">
        <v>15</v>
      </c>
      <c r="D145" s="2" t="s">
        <v>65</v>
      </c>
      <c r="E145" s="2" t="s">
        <v>28</v>
      </c>
      <c r="F145" s="2" t="s">
        <v>14</v>
      </c>
      <c r="G145" s="2" t="s">
        <v>19</v>
      </c>
      <c r="H145" s="2" t="s">
        <v>12</v>
      </c>
      <c r="I145" s="2" t="s">
        <v>17</v>
      </c>
      <c r="K145" t="s">
        <v>163</v>
      </c>
      <c r="L145" t="s">
        <v>10</v>
      </c>
      <c r="M145" t="s">
        <v>15</v>
      </c>
      <c r="N145" t="s">
        <v>65</v>
      </c>
      <c r="O145" t="s">
        <v>28</v>
      </c>
      <c r="P145" t="s">
        <v>14</v>
      </c>
      <c r="Q145" t="s">
        <v>19</v>
      </c>
      <c r="R145" t="s">
        <v>12</v>
      </c>
      <c r="S145" t="s">
        <v>17</v>
      </c>
      <c r="U145" t="b">
        <f>L145=_R32Matchups[[#This Row],[1A vs]]</f>
        <v>1</v>
      </c>
      <c r="V145" t="b">
        <f>M145=_R32Matchups[[#This Row],[1B vs]]</f>
        <v>1</v>
      </c>
      <c r="W145" t="b">
        <f>N145=_R32Matchups[[#This Row],[1D vs]]</f>
        <v>1</v>
      </c>
      <c r="X145" t="b">
        <f>O145=_R32Matchups[[#This Row],[1E vs]]</f>
        <v>1</v>
      </c>
      <c r="Y145" t="b">
        <f>P145=_R32Matchups[[#This Row],[1G vs]]</f>
        <v>1</v>
      </c>
      <c r="Z145" t="b">
        <f>Q145=_R32Matchups[[#This Row],[1I vs]]</f>
        <v>1</v>
      </c>
      <c r="AA145" t="b">
        <f>R145=_R32Matchups[[#This Row],[1K vs]]</f>
        <v>1</v>
      </c>
      <c r="AB145" t="b">
        <f>S145=_R32Matchups[[#This Row],[1L vs]]</f>
        <v>1</v>
      </c>
    </row>
    <row r="146" spans="1:28" ht="14.4">
      <c r="A146" s="2" t="s">
        <v>164</v>
      </c>
      <c r="B146" s="2" t="s">
        <v>14</v>
      </c>
      <c r="C146" s="2" t="s">
        <v>15</v>
      </c>
      <c r="D146" s="2" t="s">
        <v>65</v>
      </c>
      <c r="E146" s="2" t="s">
        <v>28</v>
      </c>
      <c r="F146" s="2" t="s">
        <v>11</v>
      </c>
      <c r="G146" s="2" t="s">
        <v>19</v>
      </c>
      <c r="H146" s="2" t="s">
        <v>10</v>
      </c>
      <c r="I146" s="2" t="s">
        <v>12</v>
      </c>
      <c r="K146" t="s">
        <v>164</v>
      </c>
      <c r="L146" t="s">
        <v>14</v>
      </c>
      <c r="M146" t="s">
        <v>15</v>
      </c>
      <c r="N146" t="s">
        <v>65</v>
      </c>
      <c r="O146" t="s">
        <v>28</v>
      </c>
      <c r="P146" t="s">
        <v>11</v>
      </c>
      <c r="Q146" t="s">
        <v>19</v>
      </c>
      <c r="R146" t="s">
        <v>10</v>
      </c>
      <c r="S146" t="s">
        <v>12</v>
      </c>
      <c r="U146" t="b">
        <f>L146=_R32Matchups[[#This Row],[1A vs]]</f>
        <v>1</v>
      </c>
      <c r="V146" t="b">
        <f>M146=_R32Matchups[[#This Row],[1B vs]]</f>
        <v>1</v>
      </c>
      <c r="W146" t="b">
        <f>N146=_R32Matchups[[#This Row],[1D vs]]</f>
        <v>1</v>
      </c>
      <c r="X146" t="b">
        <f>O146=_R32Matchups[[#This Row],[1E vs]]</f>
        <v>1</v>
      </c>
      <c r="Y146" t="b">
        <f>P146=_R32Matchups[[#This Row],[1G vs]]</f>
        <v>1</v>
      </c>
      <c r="Z146" t="b">
        <f>Q146=_R32Matchups[[#This Row],[1I vs]]</f>
        <v>1</v>
      </c>
      <c r="AA146" t="b">
        <f>R146=_R32Matchups[[#This Row],[1K vs]]</f>
        <v>1</v>
      </c>
      <c r="AB146" t="b">
        <f>S146=_R32Matchups[[#This Row],[1L vs]]</f>
        <v>1</v>
      </c>
    </row>
    <row r="147" spans="1:28" ht="14.4">
      <c r="A147" s="2" t="s">
        <v>165</v>
      </c>
      <c r="B147" s="2" t="s">
        <v>28</v>
      </c>
      <c r="C147" s="2" t="s">
        <v>11</v>
      </c>
      <c r="D147" s="2" t="s">
        <v>65</v>
      </c>
      <c r="E147" s="2" t="s">
        <v>19</v>
      </c>
      <c r="F147" s="2" t="s">
        <v>10</v>
      </c>
      <c r="G147" s="2" t="s">
        <v>13</v>
      </c>
      <c r="H147" s="2" t="s">
        <v>16</v>
      </c>
      <c r="I147" s="2" t="s">
        <v>17</v>
      </c>
      <c r="K147" t="s">
        <v>165</v>
      </c>
      <c r="L147" t="s">
        <v>28</v>
      </c>
      <c r="M147" t="s">
        <v>11</v>
      </c>
      <c r="N147" t="s">
        <v>65</v>
      </c>
      <c r="O147" t="s">
        <v>19</v>
      </c>
      <c r="P147" t="s">
        <v>10</v>
      </c>
      <c r="Q147" t="s">
        <v>13</v>
      </c>
      <c r="R147" t="s">
        <v>16</v>
      </c>
      <c r="S147" t="s">
        <v>17</v>
      </c>
      <c r="U147" t="b">
        <f>L147=_R32Matchups[[#This Row],[1A vs]]</f>
        <v>1</v>
      </c>
      <c r="V147" t="b">
        <f>M147=_R32Matchups[[#This Row],[1B vs]]</f>
        <v>1</v>
      </c>
      <c r="W147" t="b">
        <f>N147=_R32Matchups[[#This Row],[1D vs]]</f>
        <v>1</v>
      </c>
      <c r="X147" t="b">
        <f>O147=_R32Matchups[[#This Row],[1E vs]]</f>
        <v>1</v>
      </c>
      <c r="Y147" t="b">
        <f>P147=_R32Matchups[[#This Row],[1G vs]]</f>
        <v>1</v>
      </c>
      <c r="Z147" t="b">
        <f>Q147=_R32Matchups[[#This Row],[1I vs]]</f>
        <v>1</v>
      </c>
      <c r="AA147" t="b">
        <f>R147=_R32Matchups[[#This Row],[1K vs]]</f>
        <v>1</v>
      </c>
      <c r="AB147" t="b">
        <f>S147=_R32Matchups[[#This Row],[1L vs]]</f>
        <v>1</v>
      </c>
    </row>
    <row r="148" spans="1:28" ht="14.4">
      <c r="A148" s="2" t="s">
        <v>166</v>
      </c>
      <c r="B148" s="2" t="s">
        <v>28</v>
      </c>
      <c r="C148" s="2" t="s">
        <v>10</v>
      </c>
      <c r="D148" s="2" t="s">
        <v>65</v>
      </c>
      <c r="E148" s="2" t="s">
        <v>19</v>
      </c>
      <c r="F148" s="2" t="s">
        <v>12</v>
      </c>
      <c r="G148" s="2" t="s">
        <v>13</v>
      </c>
      <c r="H148" s="2" t="s">
        <v>16</v>
      </c>
      <c r="I148" s="2" t="s">
        <v>17</v>
      </c>
      <c r="K148" t="s">
        <v>166</v>
      </c>
      <c r="L148" t="s">
        <v>28</v>
      </c>
      <c r="M148" t="s">
        <v>10</v>
      </c>
      <c r="N148" t="s">
        <v>65</v>
      </c>
      <c r="O148" t="s">
        <v>19</v>
      </c>
      <c r="P148" t="s">
        <v>12</v>
      </c>
      <c r="Q148" t="s">
        <v>13</v>
      </c>
      <c r="R148" t="s">
        <v>16</v>
      </c>
      <c r="S148" t="s">
        <v>17</v>
      </c>
      <c r="U148" t="b">
        <f>L148=_R32Matchups[[#This Row],[1A vs]]</f>
        <v>1</v>
      </c>
      <c r="V148" t="b">
        <f>M148=_R32Matchups[[#This Row],[1B vs]]</f>
        <v>1</v>
      </c>
      <c r="W148" t="b">
        <f>N148=_R32Matchups[[#This Row],[1D vs]]</f>
        <v>1</v>
      </c>
      <c r="X148" t="b">
        <f>O148=_R32Matchups[[#This Row],[1E vs]]</f>
        <v>1</v>
      </c>
      <c r="Y148" t="b">
        <f>P148=_R32Matchups[[#This Row],[1G vs]]</f>
        <v>1</v>
      </c>
      <c r="Z148" t="b">
        <f>Q148=_R32Matchups[[#This Row],[1I vs]]</f>
        <v>1</v>
      </c>
      <c r="AA148" t="b">
        <f>R148=_R32Matchups[[#This Row],[1K vs]]</f>
        <v>1</v>
      </c>
      <c r="AB148" t="b">
        <f>S148=_R32Matchups[[#This Row],[1L vs]]</f>
        <v>1</v>
      </c>
    </row>
    <row r="149" spans="1:28" ht="14.4">
      <c r="A149" s="2" t="s">
        <v>167</v>
      </c>
      <c r="B149" s="2" t="s">
        <v>28</v>
      </c>
      <c r="C149" s="2" t="s">
        <v>11</v>
      </c>
      <c r="D149" s="2" t="s">
        <v>65</v>
      </c>
      <c r="E149" s="2" t="s">
        <v>19</v>
      </c>
      <c r="F149" s="2" t="s">
        <v>10</v>
      </c>
      <c r="G149" s="2" t="s">
        <v>13</v>
      </c>
      <c r="H149" s="2" t="s">
        <v>16</v>
      </c>
      <c r="I149" s="2" t="s">
        <v>12</v>
      </c>
      <c r="K149" t="s">
        <v>167</v>
      </c>
      <c r="L149" t="s">
        <v>28</v>
      </c>
      <c r="M149" t="s">
        <v>11</v>
      </c>
      <c r="N149" t="s">
        <v>65</v>
      </c>
      <c r="O149" t="s">
        <v>19</v>
      </c>
      <c r="P149" t="s">
        <v>10</v>
      </c>
      <c r="Q149" t="s">
        <v>13</v>
      </c>
      <c r="R149" t="s">
        <v>16</v>
      </c>
      <c r="S149" t="s">
        <v>12</v>
      </c>
      <c r="U149" t="b">
        <f>L149=_R32Matchups[[#This Row],[1A vs]]</f>
        <v>1</v>
      </c>
      <c r="V149" t="b">
        <f>M149=_R32Matchups[[#This Row],[1B vs]]</f>
        <v>1</v>
      </c>
      <c r="W149" t="b">
        <f>N149=_R32Matchups[[#This Row],[1D vs]]</f>
        <v>1</v>
      </c>
      <c r="X149" t="b">
        <f>O149=_R32Matchups[[#This Row],[1E vs]]</f>
        <v>1</v>
      </c>
      <c r="Y149" t="b">
        <f>P149=_R32Matchups[[#This Row],[1G vs]]</f>
        <v>1</v>
      </c>
      <c r="Z149" t="b">
        <f>Q149=_R32Matchups[[#This Row],[1I vs]]</f>
        <v>1</v>
      </c>
      <c r="AA149" t="b">
        <f>R149=_R32Matchups[[#This Row],[1K vs]]</f>
        <v>1</v>
      </c>
      <c r="AB149" t="b">
        <f>S149=_R32Matchups[[#This Row],[1L vs]]</f>
        <v>1</v>
      </c>
    </row>
    <row r="150" spans="1:28" ht="14.4">
      <c r="A150" s="2" t="s">
        <v>168</v>
      </c>
      <c r="B150" s="2" t="s">
        <v>28</v>
      </c>
      <c r="C150" s="2" t="s">
        <v>11</v>
      </c>
      <c r="D150" s="2" t="s">
        <v>65</v>
      </c>
      <c r="E150" s="2" t="s">
        <v>19</v>
      </c>
      <c r="F150" s="2" t="s">
        <v>10</v>
      </c>
      <c r="G150" s="2" t="s">
        <v>13</v>
      </c>
      <c r="H150" s="2" t="s">
        <v>12</v>
      </c>
      <c r="I150" s="2" t="s">
        <v>17</v>
      </c>
      <c r="K150" t="s">
        <v>168</v>
      </c>
      <c r="L150" t="s">
        <v>28</v>
      </c>
      <c r="M150" t="s">
        <v>11</v>
      </c>
      <c r="N150" t="s">
        <v>65</v>
      </c>
      <c r="O150" t="s">
        <v>19</v>
      </c>
      <c r="P150" t="s">
        <v>10</v>
      </c>
      <c r="Q150" t="s">
        <v>13</v>
      </c>
      <c r="R150" t="s">
        <v>12</v>
      </c>
      <c r="S150" t="s">
        <v>17</v>
      </c>
      <c r="U150" t="b">
        <f>L150=_R32Matchups[[#This Row],[1A vs]]</f>
        <v>1</v>
      </c>
      <c r="V150" t="b">
        <f>M150=_R32Matchups[[#This Row],[1B vs]]</f>
        <v>1</v>
      </c>
      <c r="W150" t="b">
        <f>N150=_R32Matchups[[#This Row],[1D vs]]</f>
        <v>1</v>
      </c>
      <c r="X150" t="b">
        <f>O150=_R32Matchups[[#This Row],[1E vs]]</f>
        <v>1</v>
      </c>
      <c r="Y150" t="b">
        <f>P150=_R32Matchups[[#This Row],[1G vs]]</f>
        <v>1</v>
      </c>
      <c r="Z150" t="b">
        <f>Q150=_R32Matchups[[#This Row],[1I vs]]</f>
        <v>1</v>
      </c>
      <c r="AA150" t="b">
        <f>R150=_R32Matchups[[#This Row],[1K vs]]</f>
        <v>1</v>
      </c>
      <c r="AB150" t="b">
        <f>S150=_R32Matchups[[#This Row],[1L vs]]</f>
        <v>1</v>
      </c>
    </row>
    <row r="151" spans="1:28" ht="14.4">
      <c r="A151" s="2" t="s">
        <v>169</v>
      </c>
      <c r="B151" s="2" t="s">
        <v>28</v>
      </c>
      <c r="C151" s="2" t="s">
        <v>10</v>
      </c>
      <c r="D151" s="2" t="s">
        <v>65</v>
      </c>
      <c r="E151" s="2" t="s">
        <v>19</v>
      </c>
      <c r="F151" s="2" t="s">
        <v>14</v>
      </c>
      <c r="G151" s="2" t="s">
        <v>13</v>
      </c>
      <c r="H151" s="2" t="s">
        <v>16</v>
      </c>
      <c r="I151" s="2" t="s">
        <v>17</v>
      </c>
      <c r="K151" t="s">
        <v>169</v>
      </c>
      <c r="L151" t="s">
        <v>28</v>
      </c>
      <c r="M151" t="s">
        <v>10</v>
      </c>
      <c r="N151" t="s">
        <v>65</v>
      </c>
      <c r="O151" t="s">
        <v>19</v>
      </c>
      <c r="P151" t="s">
        <v>14</v>
      </c>
      <c r="Q151" t="s">
        <v>13</v>
      </c>
      <c r="R151" t="s">
        <v>16</v>
      </c>
      <c r="S151" t="s">
        <v>17</v>
      </c>
      <c r="U151" t="b">
        <f>L151=_R32Matchups[[#This Row],[1A vs]]</f>
        <v>1</v>
      </c>
      <c r="V151" t="b">
        <f>M151=_R32Matchups[[#This Row],[1B vs]]</f>
        <v>1</v>
      </c>
      <c r="W151" t="b">
        <f>N151=_R32Matchups[[#This Row],[1D vs]]</f>
        <v>1</v>
      </c>
      <c r="X151" t="b">
        <f>O151=_R32Matchups[[#This Row],[1E vs]]</f>
        <v>1</v>
      </c>
      <c r="Y151" t="b">
        <f>P151=_R32Matchups[[#This Row],[1G vs]]</f>
        <v>1</v>
      </c>
      <c r="Z151" t="b">
        <f>Q151=_R32Matchups[[#This Row],[1I vs]]</f>
        <v>1</v>
      </c>
      <c r="AA151" t="b">
        <f>R151=_R32Matchups[[#This Row],[1K vs]]</f>
        <v>1</v>
      </c>
      <c r="AB151" t="b">
        <f>S151=_R32Matchups[[#This Row],[1L vs]]</f>
        <v>1</v>
      </c>
    </row>
    <row r="152" spans="1:28" ht="14.4">
      <c r="A152" s="2" t="s">
        <v>170</v>
      </c>
      <c r="B152" s="2" t="s">
        <v>28</v>
      </c>
      <c r="C152" s="2" t="s">
        <v>11</v>
      </c>
      <c r="D152" s="2" t="s">
        <v>65</v>
      </c>
      <c r="E152" s="2" t="s">
        <v>19</v>
      </c>
      <c r="F152" s="2" t="s">
        <v>14</v>
      </c>
      <c r="G152" s="2" t="s">
        <v>13</v>
      </c>
      <c r="H152" s="2" t="s">
        <v>16</v>
      </c>
      <c r="I152" s="2" t="s">
        <v>10</v>
      </c>
      <c r="K152" t="s">
        <v>170</v>
      </c>
      <c r="L152" t="s">
        <v>28</v>
      </c>
      <c r="M152" t="s">
        <v>11</v>
      </c>
      <c r="N152" t="s">
        <v>65</v>
      </c>
      <c r="O152" t="s">
        <v>19</v>
      </c>
      <c r="P152" t="s">
        <v>14</v>
      </c>
      <c r="Q152" t="s">
        <v>13</v>
      </c>
      <c r="R152" t="s">
        <v>16</v>
      </c>
      <c r="S152" t="s">
        <v>10</v>
      </c>
      <c r="U152" t="b">
        <f>L152=_R32Matchups[[#This Row],[1A vs]]</f>
        <v>1</v>
      </c>
      <c r="V152" t="b">
        <f>M152=_R32Matchups[[#This Row],[1B vs]]</f>
        <v>1</v>
      </c>
      <c r="W152" t="b">
        <f>N152=_R32Matchups[[#This Row],[1D vs]]</f>
        <v>1</v>
      </c>
      <c r="X152" t="b">
        <f>O152=_R32Matchups[[#This Row],[1E vs]]</f>
        <v>1</v>
      </c>
      <c r="Y152" t="b">
        <f>P152=_R32Matchups[[#This Row],[1G vs]]</f>
        <v>1</v>
      </c>
      <c r="Z152" t="b">
        <f>Q152=_R32Matchups[[#This Row],[1I vs]]</f>
        <v>1</v>
      </c>
      <c r="AA152" t="b">
        <f>R152=_R32Matchups[[#This Row],[1K vs]]</f>
        <v>1</v>
      </c>
      <c r="AB152" t="b">
        <f>S152=_R32Matchups[[#This Row],[1L vs]]</f>
        <v>1</v>
      </c>
    </row>
    <row r="153" spans="1:28" ht="14.4">
      <c r="A153" s="2" t="s">
        <v>171</v>
      </c>
      <c r="B153" s="2" t="s">
        <v>28</v>
      </c>
      <c r="C153" s="2" t="s">
        <v>11</v>
      </c>
      <c r="D153" s="2" t="s">
        <v>65</v>
      </c>
      <c r="E153" s="2" t="s">
        <v>19</v>
      </c>
      <c r="F153" s="2" t="s">
        <v>14</v>
      </c>
      <c r="G153" s="2" t="s">
        <v>13</v>
      </c>
      <c r="H153" s="2" t="s">
        <v>10</v>
      </c>
      <c r="I153" s="2" t="s">
        <v>17</v>
      </c>
      <c r="K153" t="s">
        <v>171</v>
      </c>
      <c r="L153" t="s">
        <v>28</v>
      </c>
      <c r="M153" t="s">
        <v>11</v>
      </c>
      <c r="N153" t="s">
        <v>65</v>
      </c>
      <c r="O153" t="s">
        <v>19</v>
      </c>
      <c r="P153" t="s">
        <v>14</v>
      </c>
      <c r="Q153" t="s">
        <v>13</v>
      </c>
      <c r="R153" t="s">
        <v>10</v>
      </c>
      <c r="S153" t="s">
        <v>17</v>
      </c>
      <c r="U153" t="b">
        <f>L153=_R32Matchups[[#This Row],[1A vs]]</f>
        <v>1</v>
      </c>
      <c r="V153" t="b">
        <f>M153=_R32Matchups[[#This Row],[1B vs]]</f>
        <v>1</v>
      </c>
      <c r="W153" t="b">
        <f>N153=_R32Matchups[[#This Row],[1D vs]]</f>
        <v>1</v>
      </c>
      <c r="X153" t="b">
        <f>O153=_R32Matchups[[#This Row],[1E vs]]</f>
        <v>1</v>
      </c>
      <c r="Y153" t="b">
        <f>P153=_R32Matchups[[#This Row],[1G vs]]</f>
        <v>1</v>
      </c>
      <c r="Z153" t="b">
        <f>Q153=_R32Matchups[[#This Row],[1I vs]]</f>
        <v>1</v>
      </c>
      <c r="AA153" t="b">
        <f>R153=_R32Matchups[[#This Row],[1K vs]]</f>
        <v>1</v>
      </c>
      <c r="AB153" t="b">
        <f>S153=_R32Matchups[[#This Row],[1L vs]]</f>
        <v>1</v>
      </c>
    </row>
    <row r="154" spans="1:28" ht="14.4">
      <c r="A154" s="2" t="s">
        <v>172</v>
      </c>
      <c r="B154" s="2" t="s">
        <v>28</v>
      </c>
      <c r="C154" s="2" t="s">
        <v>10</v>
      </c>
      <c r="D154" s="2" t="s">
        <v>65</v>
      </c>
      <c r="E154" s="2" t="s">
        <v>19</v>
      </c>
      <c r="F154" s="2" t="s">
        <v>14</v>
      </c>
      <c r="G154" s="2" t="s">
        <v>13</v>
      </c>
      <c r="H154" s="2" t="s">
        <v>16</v>
      </c>
      <c r="I154" s="2" t="s">
        <v>12</v>
      </c>
      <c r="K154" t="s">
        <v>172</v>
      </c>
      <c r="L154" t="s">
        <v>28</v>
      </c>
      <c r="M154" t="s">
        <v>10</v>
      </c>
      <c r="N154" t="s">
        <v>65</v>
      </c>
      <c r="O154" t="s">
        <v>19</v>
      </c>
      <c r="P154" t="s">
        <v>14</v>
      </c>
      <c r="Q154" t="s">
        <v>13</v>
      </c>
      <c r="R154" t="s">
        <v>16</v>
      </c>
      <c r="S154" t="s">
        <v>12</v>
      </c>
      <c r="U154" t="b">
        <f>L154=_R32Matchups[[#This Row],[1A vs]]</f>
        <v>1</v>
      </c>
      <c r="V154" t="b">
        <f>M154=_R32Matchups[[#This Row],[1B vs]]</f>
        <v>1</v>
      </c>
      <c r="W154" t="b">
        <f>N154=_R32Matchups[[#This Row],[1D vs]]</f>
        <v>1</v>
      </c>
      <c r="X154" t="b">
        <f>O154=_R32Matchups[[#This Row],[1E vs]]</f>
        <v>1</v>
      </c>
      <c r="Y154" t="b">
        <f>P154=_R32Matchups[[#This Row],[1G vs]]</f>
        <v>1</v>
      </c>
      <c r="Z154" t="b">
        <f>Q154=_R32Matchups[[#This Row],[1I vs]]</f>
        <v>1</v>
      </c>
      <c r="AA154" t="b">
        <f>R154=_R32Matchups[[#This Row],[1K vs]]</f>
        <v>1</v>
      </c>
      <c r="AB154" t="b">
        <f>S154=_R32Matchups[[#This Row],[1L vs]]</f>
        <v>1</v>
      </c>
    </row>
    <row r="155" spans="1:28" ht="14.4">
      <c r="A155" s="2" t="s">
        <v>173</v>
      </c>
      <c r="B155" s="2" t="s">
        <v>28</v>
      </c>
      <c r="C155" s="2" t="s">
        <v>10</v>
      </c>
      <c r="D155" s="2" t="s">
        <v>65</v>
      </c>
      <c r="E155" s="2" t="s">
        <v>19</v>
      </c>
      <c r="F155" s="2" t="s">
        <v>14</v>
      </c>
      <c r="G155" s="2" t="s">
        <v>13</v>
      </c>
      <c r="H155" s="2" t="s">
        <v>12</v>
      </c>
      <c r="I155" s="2" t="s">
        <v>17</v>
      </c>
      <c r="K155" t="s">
        <v>173</v>
      </c>
      <c r="L155" t="s">
        <v>28</v>
      </c>
      <c r="M155" t="s">
        <v>10</v>
      </c>
      <c r="N155" t="s">
        <v>65</v>
      </c>
      <c r="O155" t="s">
        <v>19</v>
      </c>
      <c r="P155" t="s">
        <v>14</v>
      </c>
      <c r="Q155" t="s">
        <v>13</v>
      </c>
      <c r="R155" t="s">
        <v>12</v>
      </c>
      <c r="S155" t="s">
        <v>17</v>
      </c>
      <c r="U155" t="b">
        <f>L155=_R32Matchups[[#This Row],[1A vs]]</f>
        <v>1</v>
      </c>
      <c r="V155" t="b">
        <f>M155=_R32Matchups[[#This Row],[1B vs]]</f>
        <v>1</v>
      </c>
      <c r="W155" t="b">
        <f>N155=_R32Matchups[[#This Row],[1D vs]]</f>
        <v>1</v>
      </c>
      <c r="X155" t="b">
        <f>O155=_R32Matchups[[#This Row],[1E vs]]</f>
        <v>1</v>
      </c>
      <c r="Y155" t="b">
        <f>P155=_R32Matchups[[#This Row],[1G vs]]</f>
        <v>1</v>
      </c>
      <c r="Z155" t="b">
        <f>Q155=_R32Matchups[[#This Row],[1I vs]]</f>
        <v>1</v>
      </c>
      <c r="AA155" t="b">
        <f>R155=_R32Matchups[[#This Row],[1K vs]]</f>
        <v>1</v>
      </c>
      <c r="AB155" t="b">
        <f>S155=_R32Matchups[[#This Row],[1L vs]]</f>
        <v>1</v>
      </c>
    </row>
    <row r="156" spans="1:28" ht="14.4">
      <c r="A156" s="2" t="s">
        <v>174</v>
      </c>
      <c r="B156" s="2" t="s">
        <v>28</v>
      </c>
      <c r="C156" s="2" t="s">
        <v>11</v>
      </c>
      <c r="D156" s="2" t="s">
        <v>65</v>
      </c>
      <c r="E156" s="2" t="s">
        <v>19</v>
      </c>
      <c r="F156" s="2" t="s">
        <v>14</v>
      </c>
      <c r="G156" s="2" t="s">
        <v>13</v>
      </c>
      <c r="H156" s="2" t="s">
        <v>10</v>
      </c>
      <c r="I156" s="2" t="s">
        <v>12</v>
      </c>
      <c r="K156" t="s">
        <v>174</v>
      </c>
      <c r="L156" t="s">
        <v>28</v>
      </c>
      <c r="M156" t="s">
        <v>11</v>
      </c>
      <c r="N156" t="s">
        <v>65</v>
      </c>
      <c r="O156" t="s">
        <v>19</v>
      </c>
      <c r="P156" t="s">
        <v>14</v>
      </c>
      <c r="Q156" t="s">
        <v>13</v>
      </c>
      <c r="R156" t="s">
        <v>10</v>
      </c>
      <c r="S156" t="s">
        <v>12</v>
      </c>
      <c r="U156" t="b">
        <f>L156=_R32Matchups[[#This Row],[1A vs]]</f>
        <v>1</v>
      </c>
      <c r="V156" t="b">
        <f>M156=_R32Matchups[[#This Row],[1B vs]]</f>
        <v>1</v>
      </c>
      <c r="W156" t="b">
        <f>N156=_R32Matchups[[#This Row],[1D vs]]</f>
        <v>1</v>
      </c>
      <c r="X156" t="b">
        <f>O156=_R32Matchups[[#This Row],[1E vs]]</f>
        <v>1</v>
      </c>
      <c r="Y156" t="b">
        <f>P156=_R32Matchups[[#This Row],[1G vs]]</f>
        <v>1</v>
      </c>
      <c r="Z156" t="b">
        <f>Q156=_R32Matchups[[#This Row],[1I vs]]</f>
        <v>1</v>
      </c>
      <c r="AA156" t="b">
        <f>R156=_R32Matchups[[#This Row],[1K vs]]</f>
        <v>1</v>
      </c>
      <c r="AB156" t="b">
        <f>S156=_R32Matchups[[#This Row],[1L vs]]</f>
        <v>1</v>
      </c>
    </row>
    <row r="157" spans="1:28" ht="14.4">
      <c r="A157" s="2" t="s">
        <v>175</v>
      </c>
      <c r="B157" s="2" t="s">
        <v>28</v>
      </c>
      <c r="C157" s="2" t="s">
        <v>15</v>
      </c>
      <c r="D157" s="2" t="s">
        <v>65</v>
      </c>
      <c r="E157" s="2" t="s">
        <v>19</v>
      </c>
      <c r="F157" s="2" t="s">
        <v>10</v>
      </c>
      <c r="G157" s="2" t="s">
        <v>13</v>
      </c>
      <c r="H157" s="2" t="s">
        <v>16</v>
      </c>
      <c r="I157" s="2" t="s">
        <v>17</v>
      </c>
      <c r="K157" t="s">
        <v>175</v>
      </c>
      <c r="L157" t="s">
        <v>28</v>
      </c>
      <c r="M157" t="s">
        <v>15</v>
      </c>
      <c r="N157" t="s">
        <v>65</v>
      </c>
      <c r="O157" t="s">
        <v>19</v>
      </c>
      <c r="P157" t="s">
        <v>10</v>
      </c>
      <c r="Q157" t="s">
        <v>13</v>
      </c>
      <c r="R157" t="s">
        <v>16</v>
      </c>
      <c r="S157" t="s">
        <v>17</v>
      </c>
      <c r="U157" t="b">
        <f>L157=_R32Matchups[[#This Row],[1A vs]]</f>
        <v>1</v>
      </c>
      <c r="V157" t="b">
        <f>M157=_R32Matchups[[#This Row],[1B vs]]</f>
        <v>1</v>
      </c>
      <c r="W157" t="b">
        <f>N157=_R32Matchups[[#This Row],[1D vs]]</f>
        <v>1</v>
      </c>
      <c r="X157" t="b">
        <f>O157=_R32Matchups[[#This Row],[1E vs]]</f>
        <v>1</v>
      </c>
      <c r="Y157" t="b">
        <f>P157=_R32Matchups[[#This Row],[1G vs]]</f>
        <v>1</v>
      </c>
      <c r="Z157" t="b">
        <f>Q157=_R32Matchups[[#This Row],[1I vs]]</f>
        <v>1</v>
      </c>
      <c r="AA157" t="b">
        <f>R157=_R32Matchups[[#This Row],[1K vs]]</f>
        <v>1</v>
      </c>
      <c r="AB157" t="b">
        <f>S157=_R32Matchups[[#This Row],[1L vs]]</f>
        <v>1</v>
      </c>
    </row>
    <row r="158" spans="1:28" ht="14.4">
      <c r="A158" s="2" t="s">
        <v>176</v>
      </c>
      <c r="B158" s="2" t="s">
        <v>28</v>
      </c>
      <c r="C158" s="2" t="s">
        <v>15</v>
      </c>
      <c r="D158" s="2" t="s">
        <v>65</v>
      </c>
      <c r="E158" s="2" t="s">
        <v>19</v>
      </c>
      <c r="F158" s="2" t="s">
        <v>11</v>
      </c>
      <c r="G158" s="2" t="s">
        <v>13</v>
      </c>
      <c r="H158" s="2" t="s">
        <v>16</v>
      </c>
      <c r="I158" s="2" t="s">
        <v>10</v>
      </c>
      <c r="K158" t="s">
        <v>176</v>
      </c>
      <c r="L158" t="s">
        <v>28</v>
      </c>
      <c r="M158" t="s">
        <v>15</v>
      </c>
      <c r="N158" t="s">
        <v>65</v>
      </c>
      <c r="O158" t="s">
        <v>19</v>
      </c>
      <c r="P158" t="s">
        <v>11</v>
      </c>
      <c r="Q158" t="s">
        <v>13</v>
      </c>
      <c r="R158" t="s">
        <v>16</v>
      </c>
      <c r="S158" t="s">
        <v>10</v>
      </c>
      <c r="U158" t="b">
        <f>L158=_R32Matchups[[#This Row],[1A vs]]</f>
        <v>1</v>
      </c>
      <c r="V158" t="b">
        <f>M158=_R32Matchups[[#This Row],[1B vs]]</f>
        <v>1</v>
      </c>
      <c r="W158" t="b">
        <f>N158=_R32Matchups[[#This Row],[1D vs]]</f>
        <v>1</v>
      </c>
      <c r="X158" t="b">
        <f>O158=_R32Matchups[[#This Row],[1E vs]]</f>
        <v>1</v>
      </c>
      <c r="Y158" t="b">
        <f>P158=_R32Matchups[[#This Row],[1G vs]]</f>
        <v>1</v>
      </c>
      <c r="Z158" t="b">
        <f>Q158=_R32Matchups[[#This Row],[1I vs]]</f>
        <v>1</v>
      </c>
      <c r="AA158" t="b">
        <f>R158=_R32Matchups[[#This Row],[1K vs]]</f>
        <v>1</v>
      </c>
      <c r="AB158" t="b">
        <f>S158=_R32Matchups[[#This Row],[1L vs]]</f>
        <v>1</v>
      </c>
    </row>
    <row r="159" spans="1:28" ht="14.4">
      <c r="A159" s="2" t="s">
        <v>177</v>
      </c>
      <c r="B159" s="2" t="s">
        <v>28</v>
      </c>
      <c r="C159" s="2" t="s">
        <v>15</v>
      </c>
      <c r="D159" s="2" t="s">
        <v>65</v>
      </c>
      <c r="E159" s="2" t="s">
        <v>19</v>
      </c>
      <c r="F159" s="2" t="s">
        <v>11</v>
      </c>
      <c r="G159" s="2" t="s">
        <v>13</v>
      </c>
      <c r="H159" s="2" t="s">
        <v>10</v>
      </c>
      <c r="I159" s="2" t="s">
        <v>17</v>
      </c>
      <c r="K159" t="s">
        <v>177</v>
      </c>
      <c r="L159" t="s">
        <v>28</v>
      </c>
      <c r="M159" t="s">
        <v>15</v>
      </c>
      <c r="N159" t="s">
        <v>65</v>
      </c>
      <c r="O159" t="s">
        <v>19</v>
      </c>
      <c r="P159" t="s">
        <v>11</v>
      </c>
      <c r="Q159" t="s">
        <v>13</v>
      </c>
      <c r="R159" t="s">
        <v>10</v>
      </c>
      <c r="S159" t="s">
        <v>17</v>
      </c>
      <c r="U159" t="b">
        <f>L159=_R32Matchups[[#This Row],[1A vs]]</f>
        <v>1</v>
      </c>
      <c r="V159" t="b">
        <f>M159=_R32Matchups[[#This Row],[1B vs]]</f>
        <v>1</v>
      </c>
      <c r="W159" t="b">
        <f>N159=_R32Matchups[[#This Row],[1D vs]]</f>
        <v>1</v>
      </c>
      <c r="X159" t="b">
        <f>O159=_R32Matchups[[#This Row],[1E vs]]</f>
        <v>1</v>
      </c>
      <c r="Y159" t="b">
        <f>P159=_R32Matchups[[#This Row],[1G vs]]</f>
        <v>1</v>
      </c>
      <c r="Z159" t="b">
        <f>Q159=_R32Matchups[[#This Row],[1I vs]]</f>
        <v>1</v>
      </c>
      <c r="AA159" t="b">
        <f>R159=_R32Matchups[[#This Row],[1K vs]]</f>
        <v>1</v>
      </c>
      <c r="AB159" t="b">
        <f>S159=_R32Matchups[[#This Row],[1L vs]]</f>
        <v>1</v>
      </c>
    </row>
    <row r="160" spans="1:28" ht="14.4">
      <c r="A160" s="2" t="s">
        <v>178</v>
      </c>
      <c r="B160" s="2" t="s">
        <v>28</v>
      </c>
      <c r="C160" s="2" t="s">
        <v>15</v>
      </c>
      <c r="D160" s="2" t="s">
        <v>65</v>
      </c>
      <c r="E160" s="2" t="s">
        <v>19</v>
      </c>
      <c r="F160" s="2" t="s">
        <v>10</v>
      </c>
      <c r="G160" s="2" t="s">
        <v>13</v>
      </c>
      <c r="H160" s="2" t="s">
        <v>16</v>
      </c>
      <c r="I160" s="2" t="s">
        <v>12</v>
      </c>
      <c r="K160" t="s">
        <v>178</v>
      </c>
      <c r="L160" t="s">
        <v>28</v>
      </c>
      <c r="M160" t="s">
        <v>15</v>
      </c>
      <c r="N160" t="s">
        <v>65</v>
      </c>
      <c r="O160" t="s">
        <v>19</v>
      </c>
      <c r="P160" t="s">
        <v>10</v>
      </c>
      <c r="Q160" t="s">
        <v>13</v>
      </c>
      <c r="R160" t="s">
        <v>16</v>
      </c>
      <c r="S160" t="s">
        <v>12</v>
      </c>
      <c r="U160" t="b">
        <f>L160=_R32Matchups[[#This Row],[1A vs]]</f>
        <v>1</v>
      </c>
      <c r="V160" t="b">
        <f>M160=_R32Matchups[[#This Row],[1B vs]]</f>
        <v>1</v>
      </c>
      <c r="W160" t="b">
        <f>N160=_R32Matchups[[#This Row],[1D vs]]</f>
        <v>1</v>
      </c>
      <c r="X160" t="b">
        <f>O160=_R32Matchups[[#This Row],[1E vs]]</f>
        <v>1</v>
      </c>
      <c r="Y160" t="b">
        <f>P160=_R32Matchups[[#This Row],[1G vs]]</f>
        <v>1</v>
      </c>
      <c r="Z160" t="b">
        <f>Q160=_R32Matchups[[#This Row],[1I vs]]</f>
        <v>1</v>
      </c>
      <c r="AA160" t="b">
        <f>R160=_R32Matchups[[#This Row],[1K vs]]</f>
        <v>1</v>
      </c>
      <c r="AB160" t="b">
        <f>S160=_R32Matchups[[#This Row],[1L vs]]</f>
        <v>1</v>
      </c>
    </row>
    <row r="161" spans="1:28" ht="14.4">
      <c r="A161" s="2" t="s">
        <v>179</v>
      </c>
      <c r="B161" s="2" t="s">
        <v>28</v>
      </c>
      <c r="C161" s="2" t="s">
        <v>15</v>
      </c>
      <c r="D161" s="2" t="s">
        <v>65</v>
      </c>
      <c r="E161" s="2" t="s">
        <v>19</v>
      </c>
      <c r="F161" s="2" t="s">
        <v>10</v>
      </c>
      <c r="G161" s="2" t="s">
        <v>13</v>
      </c>
      <c r="H161" s="2" t="s">
        <v>12</v>
      </c>
      <c r="I161" s="2" t="s">
        <v>17</v>
      </c>
      <c r="K161" t="s">
        <v>179</v>
      </c>
      <c r="L161" t="s">
        <v>28</v>
      </c>
      <c r="M161" t="s">
        <v>15</v>
      </c>
      <c r="N161" t="s">
        <v>65</v>
      </c>
      <c r="O161" t="s">
        <v>19</v>
      </c>
      <c r="P161" t="s">
        <v>10</v>
      </c>
      <c r="Q161" t="s">
        <v>13</v>
      </c>
      <c r="R161" t="s">
        <v>12</v>
      </c>
      <c r="S161" t="s">
        <v>17</v>
      </c>
      <c r="U161" t="b">
        <f>L161=_R32Matchups[[#This Row],[1A vs]]</f>
        <v>1</v>
      </c>
      <c r="V161" t="b">
        <f>M161=_R32Matchups[[#This Row],[1B vs]]</f>
        <v>1</v>
      </c>
      <c r="W161" t="b">
        <f>N161=_R32Matchups[[#This Row],[1D vs]]</f>
        <v>1</v>
      </c>
      <c r="X161" t="b">
        <f>O161=_R32Matchups[[#This Row],[1E vs]]</f>
        <v>1</v>
      </c>
      <c r="Y161" t="b">
        <f>P161=_R32Matchups[[#This Row],[1G vs]]</f>
        <v>1</v>
      </c>
      <c r="Z161" t="b">
        <f>Q161=_R32Matchups[[#This Row],[1I vs]]</f>
        <v>1</v>
      </c>
      <c r="AA161" t="b">
        <f>R161=_R32Matchups[[#This Row],[1K vs]]</f>
        <v>1</v>
      </c>
      <c r="AB161" t="b">
        <f>S161=_R32Matchups[[#This Row],[1L vs]]</f>
        <v>1</v>
      </c>
    </row>
    <row r="162" spans="1:28" ht="14.4">
      <c r="A162" s="2" t="s">
        <v>180</v>
      </c>
      <c r="B162" s="2" t="s">
        <v>28</v>
      </c>
      <c r="C162" s="2" t="s">
        <v>15</v>
      </c>
      <c r="D162" s="2" t="s">
        <v>65</v>
      </c>
      <c r="E162" s="2" t="s">
        <v>19</v>
      </c>
      <c r="F162" s="2" t="s">
        <v>11</v>
      </c>
      <c r="G162" s="2" t="s">
        <v>13</v>
      </c>
      <c r="H162" s="2" t="s">
        <v>10</v>
      </c>
      <c r="I162" s="2" t="s">
        <v>12</v>
      </c>
      <c r="K162" t="s">
        <v>180</v>
      </c>
      <c r="L162" t="s">
        <v>28</v>
      </c>
      <c r="M162" t="s">
        <v>15</v>
      </c>
      <c r="N162" t="s">
        <v>65</v>
      </c>
      <c r="O162" t="s">
        <v>19</v>
      </c>
      <c r="P162" t="s">
        <v>11</v>
      </c>
      <c r="Q162" t="s">
        <v>13</v>
      </c>
      <c r="R162" t="s">
        <v>10</v>
      </c>
      <c r="S162" t="s">
        <v>12</v>
      </c>
      <c r="U162" t="b">
        <f>L162=_R32Matchups[[#This Row],[1A vs]]</f>
        <v>1</v>
      </c>
      <c r="V162" t="b">
        <f>M162=_R32Matchups[[#This Row],[1B vs]]</f>
        <v>1</v>
      </c>
      <c r="W162" t="b">
        <f>N162=_R32Matchups[[#This Row],[1D vs]]</f>
        <v>1</v>
      </c>
      <c r="X162" t="b">
        <f>O162=_R32Matchups[[#This Row],[1E vs]]</f>
        <v>1</v>
      </c>
      <c r="Y162" t="b">
        <f>P162=_R32Matchups[[#This Row],[1G vs]]</f>
        <v>1</v>
      </c>
      <c r="Z162" t="b">
        <f>Q162=_R32Matchups[[#This Row],[1I vs]]</f>
        <v>1</v>
      </c>
      <c r="AA162" t="b">
        <f>R162=_R32Matchups[[#This Row],[1K vs]]</f>
        <v>1</v>
      </c>
      <c r="AB162" t="b">
        <f>S162=_R32Matchups[[#This Row],[1L vs]]</f>
        <v>1</v>
      </c>
    </row>
    <row r="163" spans="1:28" ht="14.4">
      <c r="A163" s="2" t="s">
        <v>181</v>
      </c>
      <c r="B163" s="2" t="s">
        <v>28</v>
      </c>
      <c r="C163" s="2" t="s">
        <v>15</v>
      </c>
      <c r="D163" s="2" t="s">
        <v>65</v>
      </c>
      <c r="E163" s="2" t="s">
        <v>19</v>
      </c>
      <c r="F163" s="2" t="s">
        <v>14</v>
      </c>
      <c r="G163" s="2" t="s">
        <v>13</v>
      </c>
      <c r="H163" s="2" t="s">
        <v>16</v>
      </c>
      <c r="I163" s="2" t="s">
        <v>10</v>
      </c>
      <c r="K163" t="s">
        <v>181</v>
      </c>
      <c r="L163" t="s">
        <v>28</v>
      </c>
      <c r="M163" t="s">
        <v>15</v>
      </c>
      <c r="N163" t="s">
        <v>65</v>
      </c>
      <c r="O163" t="s">
        <v>19</v>
      </c>
      <c r="P163" t="s">
        <v>14</v>
      </c>
      <c r="Q163" t="s">
        <v>13</v>
      </c>
      <c r="R163" t="s">
        <v>16</v>
      </c>
      <c r="S163" t="s">
        <v>10</v>
      </c>
      <c r="U163" t="b">
        <f>L163=_R32Matchups[[#This Row],[1A vs]]</f>
        <v>1</v>
      </c>
      <c r="V163" t="b">
        <f>M163=_R32Matchups[[#This Row],[1B vs]]</f>
        <v>1</v>
      </c>
      <c r="W163" t="b">
        <f>N163=_R32Matchups[[#This Row],[1D vs]]</f>
        <v>1</v>
      </c>
      <c r="X163" t="b">
        <f>O163=_R32Matchups[[#This Row],[1E vs]]</f>
        <v>1</v>
      </c>
      <c r="Y163" t="b">
        <f>P163=_R32Matchups[[#This Row],[1G vs]]</f>
        <v>1</v>
      </c>
      <c r="Z163" t="b">
        <f>Q163=_R32Matchups[[#This Row],[1I vs]]</f>
        <v>1</v>
      </c>
      <c r="AA163" t="b">
        <f>R163=_R32Matchups[[#This Row],[1K vs]]</f>
        <v>1</v>
      </c>
      <c r="AB163" t="b">
        <f>S163=_R32Matchups[[#This Row],[1L vs]]</f>
        <v>1</v>
      </c>
    </row>
    <row r="164" spans="1:28" ht="14.4">
      <c r="A164" s="2" t="s">
        <v>182</v>
      </c>
      <c r="B164" s="2" t="s">
        <v>28</v>
      </c>
      <c r="C164" s="2" t="s">
        <v>15</v>
      </c>
      <c r="D164" s="2" t="s">
        <v>65</v>
      </c>
      <c r="E164" s="2" t="s">
        <v>19</v>
      </c>
      <c r="F164" s="2" t="s">
        <v>14</v>
      </c>
      <c r="G164" s="2" t="s">
        <v>13</v>
      </c>
      <c r="H164" s="2" t="s">
        <v>10</v>
      </c>
      <c r="I164" s="2" t="s">
        <v>17</v>
      </c>
      <c r="K164" t="s">
        <v>182</v>
      </c>
      <c r="L164" t="s">
        <v>28</v>
      </c>
      <c r="M164" t="s">
        <v>15</v>
      </c>
      <c r="N164" t="s">
        <v>65</v>
      </c>
      <c r="O164" t="s">
        <v>19</v>
      </c>
      <c r="P164" t="s">
        <v>14</v>
      </c>
      <c r="Q164" t="s">
        <v>13</v>
      </c>
      <c r="R164" t="s">
        <v>10</v>
      </c>
      <c r="S164" t="s">
        <v>17</v>
      </c>
      <c r="U164" t="b">
        <f>L164=_R32Matchups[[#This Row],[1A vs]]</f>
        <v>1</v>
      </c>
      <c r="V164" t="b">
        <f>M164=_R32Matchups[[#This Row],[1B vs]]</f>
        <v>1</v>
      </c>
      <c r="W164" t="b">
        <f>N164=_R32Matchups[[#This Row],[1D vs]]</f>
        <v>1</v>
      </c>
      <c r="X164" t="b">
        <f>O164=_R32Matchups[[#This Row],[1E vs]]</f>
        <v>1</v>
      </c>
      <c r="Y164" t="b">
        <f>P164=_R32Matchups[[#This Row],[1G vs]]</f>
        <v>1</v>
      </c>
      <c r="Z164" t="b">
        <f>Q164=_R32Matchups[[#This Row],[1I vs]]</f>
        <v>1</v>
      </c>
      <c r="AA164" t="b">
        <f>R164=_R32Matchups[[#This Row],[1K vs]]</f>
        <v>1</v>
      </c>
      <c r="AB164" t="b">
        <f>S164=_R32Matchups[[#This Row],[1L vs]]</f>
        <v>1</v>
      </c>
    </row>
    <row r="165" spans="1:28" ht="14.4">
      <c r="A165" s="2" t="s">
        <v>183</v>
      </c>
      <c r="B165" s="2" t="s">
        <v>14</v>
      </c>
      <c r="C165" s="2" t="s">
        <v>15</v>
      </c>
      <c r="D165" s="2" t="s">
        <v>65</v>
      </c>
      <c r="E165" s="2" t="s">
        <v>28</v>
      </c>
      <c r="F165" s="2" t="s">
        <v>11</v>
      </c>
      <c r="G165" s="2" t="s">
        <v>13</v>
      </c>
      <c r="H165" s="2" t="s">
        <v>19</v>
      </c>
      <c r="I165" s="2" t="s">
        <v>10</v>
      </c>
      <c r="K165" t="s">
        <v>183</v>
      </c>
      <c r="L165" t="s">
        <v>14</v>
      </c>
      <c r="M165" t="s">
        <v>15</v>
      </c>
      <c r="N165" t="s">
        <v>65</v>
      </c>
      <c r="O165" t="s">
        <v>28</v>
      </c>
      <c r="P165" t="s">
        <v>11</v>
      </c>
      <c r="Q165" t="s">
        <v>13</v>
      </c>
      <c r="R165" t="s">
        <v>19</v>
      </c>
      <c r="S165" t="s">
        <v>10</v>
      </c>
      <c r="U165" t="b">
        <f>L165=_R32Matchups[[#This Row],[1A vs]]</f>
        <v>1</v>
      </c>
      <c r="V165" t="b">
        <f>M165=_R32Matchups[[#This Row],[1B vs]]</f>
        <v>1</v>
      </c>
      <c r="W165" t="b">
        <f>N165=_R32Matchups[[#This Row],[1D vs]]</f>
        <v>1</v>
      </c>
      <c r="X165" t="b">
        <f>O165=_R32Matchups[[#This Row],[1E vs]]</f>
        <v>1</v>
      </c>
      <c r="Y165" t="b">
        <f>P165=_R32Matchups[[#This Row],[1G vs]]</f>
        <v>1</v>
      </c>
      <c r="Z165" t="b">
        <f>Q165=_R32Matchups[[#This Row],[1I vs]]</f>
        <v>1</v>
      </c>
      <c r="AA165" t="b">
        <f>R165=_R32Matchups[[#This Row],[1K vs]]</f>
        <v>1</v>
      </c>
      <c r="AB165" t="b">
        <f>S165=_R32Matchups[[#This Row],[1L vs]]</f>
        <v>1</v>
      </c>
    </row>
    <row r="166" spans="1:28" ht="14.4">
      <c r="A166" s="2" t="s">
        <v>184</v>
      </c>
      <c r="B166" s="2" t="s">
        <v>28</v>
      </c>
      <c r="C166" s="2" t="s">
        <v>15</v>
      </c>
      <c r="D166" s="2" t="s">
        <v>65</v>
      </c>
      <c r="E166" s="2" t="s">
        <v>19</v>
      </c>
      <c r="F166" s="2" t="s">
        <v>14</v>
      </c>
      <c r="G166" s="2" t="s">
        <v>13</v>
      </c>
      <c r="H166" s="2" t="s">
        <v>10</v>
      </c>
      <c r="I166" s="2" t="s">
        <v>12</v>
      </c>
      <c r="K166" t="s">
        <v>184</v>
      </c>
      <c r="L166" t="s">
        <v>28</v>
      </c>
      <c r="M166" t="s">
        <v>15</v>
      </c>
      <c r="N166" t="s">
        <v>65</v>
      </c>
      <c r="O166" t="s">
        <v>19</v>
      </c>
      <c r="P166" t="s">
        <v>14</v>
      </c>
      <c r="Q166" t="s">
        <v>13</v>
      </c>
      <c r="R166" t="s">
        <v>10</v>
      </c>
      <c r="S166" t="s">
        <v>12</v>
      </c>
      <c r="U166" t="b">
        <f>L166=_R32Matchups[[#This Row],[1A vs]]</f>
        <v>1</v>
      </c>
      <c r="V166" t="b">
        <f>M166=_R32Matchups[[#This Row],[1B vs]]</f>
        <v>1</v>
      </c>
      <c r="W166" t="b">
        <f>N166=_R32Matchups[[#This Row],[1D vs]]</f>
        <v>1</v>
      </c>
      <c r="X166" t="b">
        <f>O166=_R32Matchups[[#This Row],[1E vs]]</f>
        <v>1</v>
      </c>
      <c r="Y166" t="b">
        <f>P166=_R32Matchups[[#This Row],[1G vs]]</f>
        <v>1</v>
      </c>
      <c r="Z166" t="b">
        <f>Q166=_R32Matchups[[#This Row],[1I vs]]</f>
        <v>1</v>
      </c>
      <c r="AA166" t="b">
        <f>R166=_R32Matchups[[#This Row],[1K vs]]</f>
        <v>1</v>
      </c>
      <c r="AB166" t="b">
        <f>S166=_R32Matchups[[#This Row],[1L vs]]</f>
        <v>1</v>
      </c>
    </row>
    <row r="167" spans="1:28" ht="14.4">
      <c r="A167" s="2" t="s">
        <v>185</v>
      </c>
      <c r="B167" s="2" t="s">
        <v>14</v>
      </c>
      <c r="C167" s="2" t="s">
        <v>11</v>
      </c>
      <c r="D167" s="2" t="s">
        <v>12</v>
      </c>
      <c r="E167" s="2" t="s">
        <v>13</v>
      </c>
      <c r="F167" s="2" t="s">
        <v>186</v>
      </c>
      <c r="G167" s="2" t="s">
        <v>15</v>
      </c>
      <c r="H167" s="2" t="s">
        <v>16</v>
      </c>
      <c r="I167" s="2" t="s">
        <v>17</v>
      </c>
      <c r="K167" t="s">
        <v>185</v>
      </c>
      <c r="L167" t="s">
        <v>14</v>
      </c>
      <c r="M167" t="s">
        <v>11</v>
      </c>
      <c r="N167" t="s">
        <v>12</v>
      </c>
      <c r="O167" t="s">
        <v>13</v>
      </c>
      <c r="P167" t="s">
        <v>186</v>
      </c>
      <c r="Q167" t="s">
        <v>15</v>
      </c>
      <c r="R167" t="s">
        <v>16</v>
      </c>
      <c r="S167" t="s">
        <v>17</v>
      </c>
      <c r="U167" t="b">
        <f>L167=_R32Matchups[[#This Row],[1A vs]]</f>
        <v>1</v>
      </c>
      <c r="V167" t="b">
        <f>M167=_R32Matchups[[#This Row],[1B vs]]</f>
        <v>1</v>
      </c>
      <c r="W167" t="b">
        <f>N167=_R32Matchups[[#This Row],[1D vs]]</f>
        <v>1</v>
      </c>
      <c r="X167" t="b">
        <f>O167=_R32Matchups[[#This Row],[1E vs]]</f>
        <v>1</v>
      </c>
      <c r="Y167" t="b">
        <f>P167=_R32Matchups[[#This Row],[1G vs]]</f>
        <v>1</v>
      </c>
      <c r="Z167" t="b">
        <f>Q167=_R32Matchups[[#This Row],[1I vs]]</f>
        <v>1</v>
      </c>
      <c r="AA167" t="b">
        <f>R167=_R32Matchups[[#This Row],[1K vs]]</f>
        <v>1</v>
      </c>
      <c r="AB167" t="b">
        <f>S167=_R32Matchups[[#This Row],[1L vs]]</f>
        <v>1</v>
      </c>
    </row>
    <row r="168" spans="1:28" ht="14.4">
      <c r="A168" s="2" t="s">
        <v>187</v>
      </c>
      <c r="B168" s="2" t="s">
        <v>10</v>
      </c>
      <c r="C168" s="2" t="s">
        <v>11</v>
      </c>
      <c r="D168" s="2" t="s">
        <v>12</v>
      </c>
      <c r="E168" s="2" t="s">
        <v>186</v>
      </c>
      <c r="F168" s="2" t="s">
        <v>14</v>
      </c>
      <c r="G168" s="2" t="s">
        <v>15</v>
      </c>
      <c r="H168" s="2" t="s">
        <v>16</v>
      </c>
      <c r="I168" s="2" t="s">
        <v>17</v>
      </c>
      <c r="K168" t="s">
        <v>187</v>
      </c>
      <c r="L168" t="s">
        <v>10</v>
      </c>
      <c r="M168" t="s">
        <v>11</v>
      </c>
      <c r="N168" t="s">
        <v>12</v>
      </c>
      <c r="O168" t="s">
        <v>186</v>
      </c>
      <c r="P168" t="s">
        <v>14</v>
      </c>
      <c r="Q168" t="s">
        <v>15</v>
      </c>
      <c r="R168" t="s">
        <v>16</v>
      </c>
      <c r="S168" t="s">
        <v>17</v>
      </c>
      <c r="U168" t="b">
        <f>L168=_R32Matchups[[#This Row],[1A vs]]</f>
        <v>1</v>
      </c>
      <c r="V168" t="b">
        <f>M168=_R32Matchups[[#This Row],[1B vs]]</f>
        <v>1</v>
      </c>
      <c r="W168" t="b">
        <f>N168=_R32Matchups[[#This Row],[1D vs]]</f>
        <v>1</v>
      </c>
      <c r="X168" t="b">
        <f>O168=_R32Matchups[[#This Row],[1E vs]]</f>
        <v>1</v>
      </c>
      <c r="Y168" t="b">
        <f>P168=_R32Matchups[[#This Row],[1G vs]]</f>
        <v>1</v>
      </c>
      <c r="Z168" t="b">
        <f>Q168=_R32Matchups[[#This Row],[1I vs]]</f>
        <v>1</v>
      </c>
      <c r="AA168" t="b">
        <f>R168=_R32Matchups[[#This Row],[1K vs]]</f>
        <v>1</v>
      </c>
      <c r="AB168" t="b">
        <f>S168=_R32Matchups[[#This Row],[1L vs]]</f>
        <v>1</v>
      </c>
    </row>
    <row r="169" spans="1:28" ht="14.4">
      <c r="A169" s="2" t="s">
        <v>188</v>
      </c>
      <c r="B169" s="2" t="s">
        <v>10</v>
      </c>
      <c r="C169" s="2" t="s">
        <v>11</v>
      </c>
      <c r="D169" s="2" t="s">
        <v>12</v>
      </c>
      <c r="E169" s="2" t="s">
        <v>13</v>
      </c>
      <c r="F169" s="2" t="s">
        <v>186</v>
      </c>
      <c r="G169" s="2" t="s">
        <v>14</v>
      </c>
      <c r="H169" s="2" t="s">
        <v>16</v>
      </c>
      <c r="I169" s="2" t="s">
        <v>17</v>
      </c>
      <c r="K169" t="s">
        <v>188</v>
      </c>
      <c r="L169" t="s">
        <v>10</v>
      </c>
      <c r="M169" t="s">
        <v>11</v>
      </c>
      <c r="N169" t="s">
        <v>12</v>
      </c>
      <c r="O169" t="s">
        <v>13</v>
      </c>
      <c r="P169" t="s">
        <v>186</v>
      </c>
      <c r="Q169" t="s">
        <v>14</v>
      </c>
      <c r="R169" t="s">
        <v>16</v>
      </c>
      <c r="S169" t="s">
        <v>17</v>
      </c>
      <c r="U169" t="b">
        <f>L169=_R32Matchups[[#This Row],[1A vs]]</f>
        <v>1</v>
      </c>
      <c r="V169" t="b">
        <f>M169=_R32Matchups[[#This Row],[1B vs]]</f>
        <v>1</v>
      </c>
      <c r="W169" t="b">
        <f>N169=_R32Matchups[[#This Row],[1D vs]]</f>
        <v>1</v>
      </c>
      <c r="X169" t="b">
        <f>O169=_R32Matchups[[#This Row],[1E vs]]</f>
        <v>1</v>
      </c>
      <c r="Y169" t="b">
        <f>P169=_R32Matchups[[#This Row],[1G vs]]</f>
        <v>1</v>
      </c>
      <c r="Z169" t="b">
        <f>Q169=_R32Matchups[[#This Row],[1I vs]]</f>
        <v>1</v>
      </c>
      <c r="AA169" t="b">
        <f>R169=_R32Matchups[[#This Row],[1K vs]]</f>
        <v>1</v>
      </c>
      <c r="AB169" t="b">
        <f>S169=_R32Matchups[[#This Row],[1L vs]]</f>
        <v>1</v>
      </c>
    </row>
    <row r="170" spans="1:28" ht="14.4">
      <c r="A170" s="2" t="s">
        <v>189</v>
      </c>
      <c r="B170" s="2" t="s">
        <v>10</v>
      </c>
      <c r="C170" s="2" t="s">
        <v>11</v>
      </c>
      <c r="D170" s="2" t="s">
        <v>12</v>
      </c>
      <c r="E170" s="2" t="s">
        <v>13</v>
      </c>
      <c r="F170" s="2" t="s">
        <v>186</v>
      </c>
      <c r="G170" s="2" t="s">
        <v>15</v>
      </c>
      <c r="H170" s="2" t="s">
        <v>16</v>
      </c>
      <c r="I170" s="2" t="s">
        <v>17</v>
      </c>
      <c r="K170" t="s">
        <v>189</v>
      </c>
      <c r="L170" t="s">
        <v>10</v>
      </c>
      <c r="M170" t="s">
        <v>11</v>
      </c>
      <c r="N170" t="s">
        <v>12</v>
      </c>
      <c r="O170" t="s">
        <v>13</v>
      </c>
      <c r="P170" t="s">
        <v>186</v>
      </c>
      <c r="Q170" t="s">
        <v>15</v>
      </c>
      <c r="R170" t="s">
        <v>16</v>
      </c>
      <c r="S170" t="s">
        <v>17</v>
      </c>
      <c r="U170" t="b">
        <f>L170=_R32Matchups[[#This Row],[1A vs]]</f>
        <v>1</v>
      </c>
      <c r="V170" t="b">
        <f>M170=_R32Matchups[[#This Row],[1B vs]]</f>
        <v>1</v>
      </c>
      <c r="W170" t="b">
        <f>N170=_R32Matchups[[#This Row],[1D vs]]</f>
        <v>1</v>
      </c>
      <c r="X170" t="b">
        <f>O170=_R32Matchups[[#This Row],[1E vs]]</f>
        <v>1</v>
      </c>
      <c r="Y170" t="b">
        <f>P170=_R32Matchups[[#This Row],[1G vs]]</f>
        <v>1</v>
      </c>
      <c r="Z170" t="b">
        <f>Q170=_R32Matchups[[#This Row],[1I vs]]</f>
        <v>1</v>
      </c>
      <c r="AA170" t="b">
        <f>R170=_R32Matchups[[#This Row],[1K vs]]</f>
        <v>1</v>
      </c>
      <c r="AB170" t="b">
        <f>S170=_R32Matchups[[#This Row],[1L vs]]</f>
        <v>1</v>
      </c>
    </row>
    <row r="171" spans="1:28" ht="14.4">
      <c r="A171" s="2" t="s">
        <v>190</v>
      </c>
      <c r="B171" s="2" t="s">
        <v>10</v>
      </c>
      <c r="C171" s="2" t="s">
        <v>15</v>
      </c>
      <c r="D171" s="2" t="s">
        <v>11</v>
      </c>
      <c r="E171" s="2" t="s">
        <v>13</v>
      </c>
      <c r="F171" s="2" t="s">
        <v>186</v>
      </c>
      <c r="G171" s="2" t="s">
        <v>14</v>
      </c>
      <c r="H171" s="2" t="s">
        <v>16</v>
      </c>
      <c r="I171" s="2" t="s">
        <v>17</v>
      </c>
      <c r="K171" t="s">
        <v>190</v>
      </c>
      <c r="L171" t="s">
        <v>10</v>
      </c>
      <c r="M171" t="s">
        <v>15</v>
      </c>
      <c r="N171" t="s">
        <v>11</v>
      </c>
      <c r="O171" t="s">
        <v>13</v>
      </c>
      <c r="P171" t="s">
        <v>186</v>
      </c>
      <c r="Q171" t="s">
        <v>14</v>
      </c>
      <c r="R171" t="s">
        <v>16</v>
      </c>
      <c r="S171" t="s">
        <v>17</v>
      </c>
      <c r="U171" t="b">
        <f>L171=_R32Matchups[[#This Row],[1A vs]]</f>
        <v>1</v>
      </c>
      <c r="V171" t="b">
        <f>M171=_R32Matchups[[#This Row],[1B vs]]</f>
        <v>1</v>
      </c>
      <c r="W171" t="b">
        <f>N171=_R32Matchups[[#This Row],[1D vs]]</f>
        <v>1</v>
      </c>
      <c r="X171" t="b">
        <f>O171=_R32Matchups[[#This Row],[1E vs]]</f>
        <v>1</v>
      </c>
      <c r="Y171" t="b">
        <f>P171=_R32Matchups[[#This Row],[1G vs]]</f>
        <v>1</v>
      </c>
      <c r="Z171" t="b">
        <f>Q171=_R32Matchups[[#This Row],[1I vs]]</f>
        <v>1</v>
      </c>
      <c r="AA171" t="b">
        <f>R171=_R32Matchups[[#This Row],[1K vs]]</f>
        <v>1</v>
      </c>
      <c r="AB171" t="b">
        <f>S171=_R32Matchups[[#This Row],[1L vs]]</f>
        <v>1</v>
      </c>
    </row>
    <row r="172" spans="1:28" ht="14.4">
      <c r="A172" s="2" t="s">
        <v>191</v>
      </c>
      <c r="B172" s="2" t="s">
        <v>10</v>
      </c>
      <c r="C172" s="2" t="s">
        <v>15</v>
      </c>
      <c r="D172" s="2" t="s">
        <v>12</v>
      </c>
      <c r="E172" s="2" t="s">
        <v>13</v>
      </c>
      <c r="F172" s="2" t="s">
        <v>186</v>
      </c>
      <c r="G172" s="2" t="s">
        <v>14</v>
      </c>
      <c r="H172" s="2" t="s">
        <v>16</v>
      </c>
      <c r="I172" s="2" t="s">
        <v>17</v>
      </c>
      <c r="K172" t="s">
        <v>191</v>
      </c>
      <c r="L172" t="s">
        <v>10</v>
      </c>
      <c r="M172" t="s">
        <v>15</v>
      </c>
      <c r="N172" t="s">
        <v>12</v>
      </c>
      <c r="O172" t="s">
        <v>13</v>
      </c>
      <c r="P172" t="s">
        <v>186</v>
      </c>
      <c r="Q172" t="s">
        <v>14</v>
      </c>
      <c r="R172" t="s">
        <v>16</v>
      </c>
      <c r="S172" t="s">
        <v>17</v>
      </c>
      <c r="U172" t="b">
        <f>L172=_R32Matchups[[#This Row],[1A vs]]</f>
        <v>1</v>
      </c>
      <c r="V172" t="b">
        <f>M172=_R32Matchups[[#This Row],[1B vs]]</f>
        <v>1</v>
      </c>
      <c r="W172" t="b">
        <f>N172=_R32Matchups[[#This Row],[1D vs]]</f>
        <v>1</v>
      </c>
      <c r="X172" t="b">
        <f>O172=_R32Matchups[[#This Row],[1E vs]]</f>
        <v>1</v>
      </c>
      <c r="Y172" t="b">
        <f>P172=_R32Matchups[[#This Row],[1G vs]]</f>
        <v>1</v>
      </c>
      <c r="Z172" t="b">
        <f>Q172=_R32Matchups[[#This Row],[1I vs]]</f>
        <v>1</v>
      </c>
      <c r="AA172" t="b">
        <f>R172=_R32Matchups[[#This Row],[1K vs]]</f>
        <v>1</v>
      </c>
      <c r="AB172" t="b">
        <f>S172=_R32Matchups[[#This Row],[1L vs]]</f>
        <v>1</v>
      </c>
    </row>
    <row r="173" spans="1:28" ht="14.4">
      <c r="A173" s="2" t="s">
        <v>192</v>
      </c>
      <c r="B173" s="2" t="s">
        <v>10</v>
      </c>
      <c r="C173" s="2" t="s">
        <v>15</v>
      </c>
      <c r="D173" s="2" t="s">
        <v>11</v>
      </c>
      <c r="E173" s="2" t="s">
        <v>13</v>
      </c>
      <c r="F173" s="2" t="s">
        <v>186</v>
      </c>
      <c r="G173" s="2" t="s">
        <v>14</v>
      </c>
      <c r="H173" s="2" t="s">
        <v>16</v>
      </c>
      <c r="I173" s="2" t="s">
        <v>12</v>
      </c>
      <c r="K173" t="s">
        <v>192</v>
      </c>
      <c r="L173" t="s">
        <v>10</v>
      </c>
      <c r="M173" t="s">
        <v>15</v>
      </c>
      <c r="N173" t="s">
        <v>11</v>
      </c>
      <c r="O173" t="s">
        <v>13</v>
      </c>
      <c r="P173" t="s">
        <v>186</v>
      </c>
      <c r="Q173" t="s">
        <v>14</v>
      </c>
      <c r="R173" t="s">
        <v>16</v>
      </c>
      <c r="S173" t="s">
        <v>12</v>
      </c>
      <c r="U173" t="b">
        <f>L173=_R32Matchups[[#This Row],[1A vs]]</f>
        <v>1</v>
      </c>
      <c r="V173" t="b">
        <f>M173=_R32Matchups[[#This Row],[1B vs]]</f>
        <v>1</v>
      </c>
      <c r="W173" t="b">
        <f>N173=_R32Matchups[[#This Row],[1D vs]]</f>
        <v>1</v>
      </c>
      <c r="X173" t="b">
        <f>O173=_R32Matchups[[#This Row],[1E vs]]</f>
        <v>1</v>
      </c>
      <c r="Y173" t="b">
        <f>P173=_R32Matchups[[#This Row],[1G vs]]</f>
        <v>1</v>
      </c>
      <c r="Z173" t="b">
        <f>Q173=_R32Matchups[[#This Row],[1I vs]]</f>
        <v>1</v>
      </c>
      <c r="AA173" t="b">
        <f>R173=_R32Matchups[[#This Row],[1K vs]]</f>
        <v>1</v>
      </c>
      <c r="AB173" t="b">
        <f>S173=_R32Matchups[[#This Row],[1L vs]]</f>
        <v>1</v>
      </c>
    </row>
    <row r="174" spans="1:28" ht="14.4">
      <c r="A174" s="2" t="s">
        <v>193</v>
      </c>
      <c r="B174" s="2" t="s">
        <v>10</v>
      </c>
      <c r="C174" s="2" t="s">
        <v>15</v>
      </c>
      <c r="D174" s="2" t="s">
        <v>11</v>
      </c>
      <c r="E174" s="2" t="s">
        <v>13</v>
      </c>
      <c r="F174" s="2" t="s">
        <v>186</v>
      </c>
      <c r="G174" s="2" t="s">
        <v>14</v>
      </c>
      <c r="H174" s="2" t="s">
        <v>12</v>
      </c>
      <c r="I174" s="2" t="s">
        <v>17</v>
      </c>
      <c r="K174" t="s">
        <v>193</v>
      </c>
      <c r="L174" t="s">
        <v>10</v>
      </c>
      <c r="M174" t="s">
        <v>15</v>
      </c>
      <c r="N174" t="s">
        <v>11</v>
      </c>
      <c r="O174" t="s">
        <v>13</v>
      </c>
      <c r="P174" t="s">
        <v>186</v>
      </c>
      <c r="Q174" t="s">
        <v>14</v>
      </c>
      <c r="R174" t="s">
        <v>12</v>
      </c>
      <c r="S174" t="s">
        <v>17</v>
      </c>
      <c r="U174" t="b">
        <f>L174=_R32Matchups[[#This Row],[1A vs]]</f>
        <v>1</v>
      </c>
      <c r="V174" t="b">
        <f>M174=_R32Matchups[[#This Row],[1B vs]]</f>
        <v>1</v>
      </c>
      <c r="W174" t="b">
        <f>N174=_R32Matchups[[#This Row],[1D vs]]</f>
        <v>1</v>
      </c>
      <c r="X174" t="b">
        <f>O174=_R32Matchups[[#This Row],[1E vs]]</f>
        <v>1</v>
      </c>
      <c r="Y174" t="b">
        <f>P174=_R32Matchups[[#This Row],[1G vs]]</f>
        <v>1</v>
      </c>
      <c r="Z174" t="b">
        <f>Q174=_R32Matchups[[#This Row],[1I vs]]</f>
        <v>1</v>
      </c>
      <c r="AA174" t="b">
        <f>R174=_R32Matchups[[#This Row],[1K vs]]</f>
        <v>1</v>
      </c>
      <c r="AB174" t="b">
        <f>S174=_R32Matchups[[#This Row],[1L vs]]</f>
        <v>1</v>
      </c>
    </row>
    <row r="175" spans="1:28" ht="14.4">
      <c r="A175" s="2" t="s">
        <v>194</v>
      </c>
      <c r="B175" s="2" t="s">
        <v>14</v>
      </c>
      <c r="C175" s="2" t="s">
        <v>11</v>
      </c>
      <c r="D175" s="2" t="s">
        <v>12</v>
      </c>
      <c r="E175" s="2" t="s">
        <v>19</v>
      </c>
      <c r="F175" s="2" t="s">
        <v>186</v>
      </c>
      <c r="G175" s="2" t="s">
        <v>15</v>
      </c>
      <c r="H175" s="2" t="s">
        <v>16</v>
      </c>
      <c r="I175" s="2" t="s">
        <v>17</v>
      </c>
      <c r="K175" t="s">
        <v>194</v>
      </c>
      <c r="L175" t="s">
        <v>14</v>
      </c>
      <c r="M175" t="s">
        <v>11</v>
      </c>
      <c r="N175" t="s">
        <v>12</v>
      </c>
      <c r="O175" t="s">
        <v>19</v>
      </c>
      <c r="P175" t="s">
        <v>186</v>
      </c>
      <c r="Q175" t="s">
        <v>15</v>
      </c>
      <c r="R175" t="s">
        <v>16</v>
      </c>
      <c r="S175" t="s">
        <v>17</v>
      </c>
      <c r="U175" t="b">
        <f>L175=_R32Matchups[[#This Row],[1A vs]]</f>
        <v>1</v>
      </c>
      <c r="V175" t="b">
        <f>M175=_R32Matchups[[#This Row],[1B vs]]</f>
        <v>1</v>
      </c>
      <c r="W175" t="b">
        <f>N175=_R32Matchups[[#This Row],[1D vs]]</f>
        <v>1</v>
      </c>
      <c r="X175" t="b">
        <f>O175=_R32Matchups[[#This Row],[1E vs]]</f>
        <v>1</v>
      </c>
      <c r="Y175" t="b">
        <f>P175=_R32Matchups[[#This Row],[1G vs]]</f>
        <v>1</v>
      </c>
      <c r="Z175" t="b">
        <f>Q175=_R32Matchups[[#This Row],[1I vs]]</f>
        <v>1</v>
      </c>
      <c r="AA175" t="b">
        <f>R175=_R32Matchups[[#This Row],[1K vs]]</f>
        <v>1</v>
      </c>
      <c r="AB175" t="b">
        <f>S175=_R32Matchups[[#This Row],[1L vs]]</f>
        <v>1</v>
      </c>
    </row>
    <row r="176" spans="1:28" ht="14.4">
      <c r="A176" s="2" t="s">
        <v>195</v>
      </c>
      <c r="B176" s="2" t="s">
        <v>14</v>
      </c>
      <c r="C176" s="2" t="s">
        <v>11</v>
      </c>
      <c r="D176" s="2" t="s">
        <v>12</v>
      </c>
      <c r="E176" s="2" t="s">
        <v>19</v>
      </c>
      <c r="F176" s="2" t="s">
        <v>186</v>
      </c>
      <c r="G176" s="2" t="s">
        <v>13</v>
      </c>
      <c r="H176" s="2" t="s">
        <v>16</v>
      </c>
      <c r="I176" s="2" t="s">
        <v>17</v>
      </c>
      <c r="K176" t="s">
        <v>195</v>
      </c>
      <c r="L176" t="s">
        <v>14</v>
      </c>
      <c r="M176" t="s">
        <v>11</v>
      </c>
      <c r="N176" t="s">
        <v>12</v>
      </c>
      <c r="O176" t="s">
        <v>19</v>
      </c>
      <c r="P176" t="s">
        <v>186</v>
      </c>
      <c r="Q176" t="s">
        <v>13</v>
      </c>
      <c r="R176" t="s">
        <v>16</v>
      </c>
      <c r="S176" t="s">
        <v>17</v>
      </c>
      <c r="U176" t="b">
        <f>L176=_R32Matchups[[#This Row],[1A vs]]</f>
        <v>1</v>
      </c>
      <c r="V176" t="b">
        <f>M176=_R32Matchups[[#This Row],[1B vs]]</f>
        <v>1</v>
      </c>
      <c r="W176" t="b">
        <f>N176=_R32Matchups[[#This Row],[1D vs]]</f>
        <v>1</v>
      </c>
      <c r="X176" t="b">
        <f>O176=_R32Matchups[[#This Row],[1E vs]]</f>
        <v>1</v>
      </c>
      <c r="Y176" t="b">
        <f>P176=_R32Matchups[[#This Row],[1G vs]]</f>
        <v>1</v>
      </c>
      <c r="Z176" t="b">
        <f>Q176=_R32Matchups[[#This Row],[1I vs]]</f>
        <v>1</v>
      </c>
      <c r="AA176" t="b">
        <f>R176=_R32Matchups[[#This Row],[1K vs]]</f>
        <v>1</v>
      </c>
      <c r="AB176" t="b">
        <f>S176=_R32Matchups[[#This Row],[1L vs]]</f>
        <v>1</v>
      </c>
    </row>
    <row r="177" spans="1:28" ht="14.4">
      <c r="A177" s="2" t="s">
        <v>196</v>
      </c>
      <c r="B177" s="2" t="s">
        <v>12</v>
      </c>
      <c r="C177" s="2" t="s">
        <v>15</v>
      </c>
      <c r="D177" s="2" t="s">
        <v>11</v>
      </c>
      <c r="E177" s="2" t="s">
        <v>19</v>
      </c>
      <c r="F177" s="2" t="s">
        <v>186</v>
      </c>
      <c r="G177" s="2" t="s">
        <v>13</v>
      </c>
      <c r="H177" s="2" t="s">
        <v>16</v>
      </c>
      <c r="I177" s="2" t="s">
        <v>17</v>
      </c>
      <c r="K177" t="s">
        <v>196</v>
      </c>
      <c r="L177" t="s">
        <v>12</v>
      </c>
      <c r="M177" t="s">
        <v>15</v>
      </c>
      <c r="N177" t="s">
        <v>11</v>
      </c>
      <c r="O177" t="s">
        <v>19</v>
      </c>
      <c r="P177" t="s">
        <v>186</v>
      </c>
      <c r="Q177" t="s">
        <v>13</v>
      </c>
      <c r="R177" t="s">
        <v>16</v>
      </c>
      <c r="S177" t="s">
        <v>17</v>
      </c>
      <c r="U177" t="b">
        <f>L177=_R32Matchups[[#This Row],[1A vs]]</f>
        <v>1</v>
      </c>
      <c r="V177" t="b">
        <f>M177=_R32Matchups[[#This Row],[1B vs]]</f>
        <v>1</v>
      </c>
      <c r="W177" t="b">
        <f>N177=_R32Matchups[[#This Row],[1D vs]]</f>
        <v>1</v>
      </c>
      <c r="X177" t="b">
        <f>O177=_R32Matchups[[#This Row],[1E vs]]</f>
        <v>1</v>
      </c>
      <c r="Y177" t="b">
        <f>P177=_R32Matchups[[#This Row],[1G vs]]</f>
        <v>1</v>
      </c>
      <c r="Z177" t="b">
        <f>Q177=_R32Matchups[[#This Row],[1I vs]]</f>
        <v>1</v>
      </c>
      <c r="AA177" t="b">
        <f>R177=_R32Matchups[[#This Row],[1K vs]]</f>
        <v>1</v>
      </c>
      <c r="AB177" t="b">
        <f>S177=_R32Matchups[[#This Row],[1L vs]]</f>
        <v>1</v>
      </c>
    </row>
    <row r="178" spans="1:28" ht="14.4">
      <c r="A178" s="2" t="s">
        <v>197</v>
      </c>
      <c r="B178" s="2" t="s">
        <v>14</v>
      </c>
      <c r="C178" s="2" t="s">
        <v>15</v>
      </c>
      <c r="D178" s="2" t="s">
        <v>11</v>
      </c>
      <c r="E178" s="2" t="s">
        <v>19</v>
      </c>
      <c r="F178" s="2" t="s">
        <v>186</v>
      </c>
      <c r="G178" s="2" t="s">
        <v>13</v>
      </c>
      <c r="H178" s="2" t="s">
        <v>16</v>
      </c>
      <c r="I178" s="2" t="s">
        <v>17</v>
      </c>
      <c r="K178" t="s">
        <v>197</v>
      </c>
      <c r="L178" t="s">
        <v>14</v>
      </c>
      <c r="M178" t="s">
        <v>15</v>
      </c>
      <c r="N178" t="s">
        <v>11</v>
      </c>
      <c r="O178" t="s">
        <v>19</v>
      </c>
      <c r="P178" t="s">
        <v>186</v>
      </c>
      <c r="Q178" t="s">
        <v>13</v>
      </c>
      <c r="R178" t="s">
        <v>16</v>
      </c>
      <c r="S178" t="s">
        <v>17</v>
      </c>
      <c r="U178" t="b">
        <f>L178=_R32Matchups[[#This Row],[1A vs]]</f>
        <v>1</v>
      </c>
      <c r="V178" t="b">
        <f>M178=_R32Matchups[[#This Row],[1B vs]]</f>
        <v>1</v>
      </c>
      <c r="W178" t="b">
        <f>N178=_R32Matchups[[#This Row],[1D vs]]</f>
        <v>1</v>
      </c>
      <c r="X178" t="b">
        <f>O178=_R32Matchups[[#This Row],[1E vs]]</f>
        <v>1</v>
      </c>
      <c r="Y178" t="b">
        <f>P178=_R32Matchups[[#This Row],[1G vs]]</f>
        <v>1</v>
      </c>
      <c r="Z178" t="b">
        <f>Q178=_R32Matchups[[#This Row],[1I vs]]</f>
        <v>1</v>
      </c>
      <c r="AA178" t="b">
        <f>R178=_R32Matchups[[#This Row],[1K vs]]</f>
        <v>1</v>
      </c>
      <c r="AB178" t="b">
        <f>S178=_R32Matchups[[#This Row],[1L vs]]</f>
        <v>1</v>
      </c>
    </row>
    <row r="179" spans="1:28" ht="14.4">
      <c r="A179" s="2" t="s">
        <v>198</v>
      </c>
      <c r="B179" s="2" t="s">
        <v>14</v>
      </c>
      <c r="C179" s="2" t="s">
        <v>15</v>
      </c>
      <c r="D179" s="2" t="s">
        <v>12</v>
      </c>
      <c r="E179" s="2" t="s">
        <v>19</v>
      </c>
      <c r="F179" s="2" t="s">
        <v>186</v>
      </c>
      <c r="G179" s="2" t="s">
        <v>13</v>
      </c>
      <c r="H179" s="2" t="s">
        <v>16</v>
      </c>
      <c r="I179" s="2" t="s">
        <v>17</v>
      </c>
      <c r="K179" t="s">
        <v>198</v>
      </c>
      <c r="L179" t="s">
        <v>14</v>
      </c>
      <c r="M179" t="s">
        <v>15</v>
      </c>
      <c r="N179" t="s">
        <v>12</v>
      </c>
      <c r="O179" t="s">
        <v>19</v>
      </c>
      <c r="P179" t="s">
        <v>186</v>
      </c>
      <c r="Q179" t="s">
        <v>13</v>
      </c>
      <c r="R179" t="s">
        <v>16</v>
      </c>
      <c r="S179" t="s">
        <v>17</v>
      </c>
      <c r="U179" t="b">
        <f>L179=_R32Matchups[[#This Row],[1A vs]]</f>
        <v>1</v>
      </c>
      <c r="V179" t="b">
        <f>M179=_R32Matchups[[#This Row],[1B vs]]</f>
        <v>1</v>
      </c>
      <c r="W179" t="b">
        <f>N179=_R32Matchups[[#This Row],[1D vs]]</f>
        <v>1</v>
      </c>
      <c r="X179" t="b">
        <f>O179=_R32Matchups[[#This Row],[1E vs]]</f>
        <v>1</v>
      </c>
      <c r="Y179" t="b">
        <f>P179=_R32Matchups[[#This Row],[1G vs]]</f>
        <v>1</v>
      </c>
      <c r="Z179" t="b">
        <f>Q179=_R32Matchups[[#This Row],[1I vs]]</f>
        <v>1</v>
      </c>
      <c r="AA179" t="b">
        <f>R179=_R32Matchups[[#This Row],[1K vs]]</f>
        <v>1</v>
      </c>
      <c r="AB179" t="b">
        <f>S179=_R32Matchups[[#This Row],[1L vs]]</f>
        <v>1</v>
      </c>
    </row>
    <row r="180" spans="1:28" ht="14.4">
      <c r="A180" s="2" t="s">
        <v>199</v>
      </c>
      <c r="B180" s="2" t="s">
        <v>14</v>
      </c>
      <c r="C180" s="2" t="s">
        <v>15</v>
      </c>
      <c r="D180" s="2" t="s">
        <v>11</v>
      </c>
      <c r="E180" s="2" t="s">
        <v>19</v>
      </c>
      <c r="F180" s="2" t="s">
        <v>186</v>
      </c>
      <c r="G180" s="2" t="s">
        <v>13</v>
      </c>
      <c r="H180" s="2" t="s">
        <v>16</v>
      </c>
      <c r="I180" s="2" t="s">
        <v>12</v>
      </c>
      <c r="K180" t="s">
        <v>199</v>
      </c>
      <c r="L180" t="s">
        <v>14</v>
      </c>
      <c r="M180" t="s">
        <v>15</v>
      </c>
      <c r="N180" t="s">
        <v>11</v>
      </c>
      <c r="O180" t="s">
        <v>19</v>
      </c>
      <c r="P180" t="s">
        <v>186</v>
      </c>
      <c r="Q180" t="s">
        <v>13</v>
      </c>
      <c r="R180" t="s">
        <v>16</v>
      </c>
      <c r="S180" t="s">
        <v>12</v>
      </c>
      <c r="U180" t="b">
        <f>L180=_R32Matchups[[#This Row],[1A vs]]</f>
        <v>1</v>
      </c>
      <c r="V180" t="b">
        <f>M180=_R32Matchups[[#This Row],[1B vs]]</f>
        <v>1</v>
      </c>
      <c r="W180" t="b">
        <f>N180=_R32Matchups[[#This Row],[1D vs]]</f>
        <v>1</v>
      </c>
      <c r="X180" t="b">
        <f>O180=_R32Matchups[[#This Row],[1E vs]]</f>
        <v>1</v>
      </c>
      <c r="Y180" t="b">
        <f>P180=_R32Matchups[[#This Row],[1G vs]]</f>
        <v>1</v>
      </c>
      <c r="Z180" t="b">
        <f>Q180=_R32Matchups[[#This Row],[1I vs]]</f>
        <v>1</v>
      </c>
      <c r="AA180" t="b">
        <f>R180=_R32Matchups[[#This Row],[1K vs]]</f>
        <v>1</v>
      </c>
      <c r="AB180" t="b">
        <f>S180=_R32Matchups[[#This Row],[1L vs]]</f>
        <v>1</v>
      </c>
    </row>
    <row r="181" spans="1:28" ht="14.4">
      <c r="A181" s="2" t="s">
        <v>200</v>
      </c>
      <c r="B181" s="2" t="s">
        <v>14</v>
      </c>
      <c r="C181" s="2" t="s">
        <v>15</v>
      </c>
      <c r="D181" s="2" t="s">
        <v>11</v>
      </c>
      <c r="E181" s="2" t="s">
        <v>19</v>
      </c>
      <c r="F181" s="2" t="s">
        <v>186</v>
      </c>
      <c r="G181" s="2" t="s">
        <v>13</v>
      </c>
      <c r="H181" s="2" t="s">
        <v>12</v>
      </c>
      <c r="I181" s="2" t="s">
        <v>17</v>
      </c>
      <c r="K181" t="s">
        <v>200</v>
      </c>
      <c r="L181" t="s">
        <v>14</v>
      </c>
      <c r="M181" t="s">
        <v>15</v>
      </c>
      <c r="N181" t="s">
        <v>11</v>
      </c>
      <c r="O181" t="s">
        <v>19</v>
      </c>
      <c r="P181" t="s">
        <v>186</v>
      </c>
      <c r="Q181" t="s">
        <v>13</v>
      </c>
      <c r="R181" t="s">
        <v>12</v>
      </c>
      <c r="S181" t="s">
        <v>17</v>
      </c>
      <c r="U181" t="b">
        <f>L181=_R32Matchups[[#This Row],[1A vs]]</f>
        <v>1</v>
      </c>
      <c r="V181" t="b">
        <f>M181=_R32Matchups[[#This Row],[1B vs]]</f>
        <v>1</v>
      </c>
      <c r="W181" t="b">
        <f>N181=_R32Matchups[[#This Row],[1D vs]]</f>
        <v>1</v>
      </c>
      <c r="X181" t="b">
        <f>O181=_R32Matchups[[#This Row],[1E vs]]</f>
        <v>1</v>
      </c>
      <c r="Y181" t="b">
        <f>P181=_R32Matchups[[#This Row],[1G vs]]</f>
        <v>1</v>
      </c>
      <c r="Z181" t="b">
        <f>Q181=_R32Matchups[[#This Row],[1I vs]]</f>
        <v>1</v>
      </c>
      <c r="AA181" t="b">
        <f>R181=_R32Matchups[[#This Row],[1K vs]]</f>
        <v>1</v>
      </c>
      <c r="AB181" t="b">
        <f>S181=_R32Matchups[[#This Row],[1L vs]]</f>
        <v>1</v>
      </c>
    </row>
    <row r="182" spans="1:28" ht="14.4">
      <c r="A182" s="2" t="s">
        <v>201</v>
      </c>
      <c r="B182" s="2" t="s">
        <v>10</v>
      </c>
      <c r="C182" s="2" t="s">
        <v>11</v>
      </c>
      <c r="D182" s="2" t="s">
        <v>12</v>
      </c>
      <c r="E182" s="2" t="s">
        <v>19</v>
      </c>
      <c r="F182" s="2" t="s">
        <v>186</v>
      </c>
      <c r="G182" s="2" t="s">
        <v>14</v>
      </c>
      <c r="H182" s="2" t="s">
        <v>16</v>
      </c>
      <c r="I182" s="2" t="s">
        <v>17</v>
      </c>
      <c r="K182" t="s">
        <v>201</v>
      </c>
      <c r="L182" t="s">
        <v>10</v>
      </c>
      <c r="M182" t="s">
        <v>11</v>
      </c>
      <c r="N182" t="s">
        <v>12</v>
      </c>
      <c r="O182" t="s">
        <v>19</v>
      </c>
      <c r="P182" t="s">
        <v>186</v>
      </c>
      <c r="Q182" t="s">
        <v>14</v>
      </c>
      <c r="R182" t="s">
        <v>16</v>
      </c>
      <c r="S182" t="s">
        <v>17</v>
      </c>
      <c r="U182" t="b">
        <f>L182=_R32Matchups[[#This Row],[1A vs]]</f>
        <v>1</v>
      </c>
      <c r="V182" t="b">
        <f>M182=_R32Matchups[[#This Row],[1B vs]]</f>
        <v>1</v>
      </c>
      <c r="W182" t="b">
        <f>N182=_R32Matchups[[#This Row],[1D vs]]</f>
        <v>1</v>
      </c>
      <c r="X182" t="b">
        <f>O182=_R32Matchups[[#This Row],[1E vs]]</f>
        <v>1</v>
      </c>
      <c r="Y182" t="b">
        <f>P182=_R32Matchups[[#This Row],[1G vs]]</f>
        <v>1</v>
      </c>
      <c r="Z182" t="b">
        <f>Q182=_R32Matchups[[#This Row],[1I vs]]</f>
        <v>1</v>
      </c>
      <c r="AA182" t="b">
        <f>R182=_R32Matchups[[#This Row],[1K vs]]</f>
        <v>1</v>
      </c>
      <c r="AB182" t="b">
        <f>S182=_R32Matchups[[#This Row],[1L vs]]</f>
        <v>1</v>
      </c>
    </row>
    <row r="183" spans="1:28" ht="14.4">
      <c r="A183" s="2" t="s">
        <v>202</v>
      </c>
      <c r="B183" s="2" t="s">
        <v>10</v>
      </c>
      <c r="C183" s="2" t="s">
        <v>11</v>
      </c>
      <c r="D183" s="2" t="s">
        <v>12</v>
      </c>
      <c r="E183" s="2" t="s">
        <v>19</v>
      </c>
      <c r="F183" s="2" t="s">
        <v>186</v>
      </c>
      <c r="G183" s="2" t="s">
        <v>15</v>
      </c>
      <c r="H183" s="2" t="s">
        <v>16</v>
      </c>
      <c r="I183" s="2" t="s">
        <v>17</v>
      </c>
      <c r="K183" t="s">
        <v>202</v>
      </c>
      <c r="L183" t="s">
        <v>10</v>
      </c>
      <c r="M183" t="s">
        <v>11</v>
      </c>
      <c r="N183" t="s">
        <v>12</v>
      </c>
      <c r="O183" t="s">
        <v>19</v>
      </c>
      <c r="P183" t="s">
        <v>186</v>
      </c>
      <c r="Q183" t="s">
        <v>15</v>
      </c>
      <c r="R183" t="s">
        <v>16</v>
      </c>
      <c r="S183" t="s">
        <v>17</v>
      </c>
      <c r="U183" t="b">
        <f>L183=_R32Matchups[[#This Row],[1A vs]]</f>
        <v>1</v>
      </c>
      <c r="V183" t="b">
        <f>M183=_R32Matchups[[#This Row],[1B vs]]</f>
        <v>1</v>
      </c>
      <c r="W183" t="b">
        <f>N183=_R32Matchups[[#This Row],[1D vs]]</f>
        <v>1</v>
      </c>
      <c r="X183" t="b">
        <f>O183=_R32Matchups[[#This Row],[1E vs]]</f>
        <v>1</v>
      </c>
      <c r="Y183" t="b">
        <f>P183=_R32Matchups[[#This Row],[1G vs]]</f>
        <v>1</v>
      </c>
      <c r="Z183" t="b">
        <f>Q183=_R32Matchups[[#This Row],[1I vs]]</f>
        <v>1</v>
      </c>
      <c r="AA183" t="b">
        <f>R183=_R32Matchups[[#This Row],[1K vs]]</f>
        <v>1</v>
      </c>
      <c r="AB183" t="b">
        <f>S183=_R32Matchups[[#This Row],[1L vs]]</f>
        <v>1</v>
      </c>
    </row>
    <row r="184" spans="1:28" ht="14.4">
      <c r="A184" s="2" t="s">
        <v>203</v>
      </c>
      <c r="B184" s="2" t="s">
        <v>10</v>
      </c>
      <c r="C184" s="2" t="s">
        <v>15</v>
      </c>
      <c r="D184" s="2" t="s">
        <v>11</v>
      </c>
      <c r="E184" s="2" t="s">
        <v>19</v>
      </c>
      <c r="F184" s="2" t="s">
        <v>186</v>
      </c>
      <c r="G184" s="2" t="s">
        <v>14</v>
      </c>
      <c r="H184" s="2" t="s">
        <v>16</v>
      </c>
      <c r="I184" s="2" t="s">
        <v>17</v>
      </c>
      <c r="K184" t="s">
        <v>203</v>
      </c>
      <c r="L184" t="s">
        <v>10</v>
      </c>
      <c r="M184" t="s">
        <v>15</v>
      </c>
      <c r="N184" t="s">
        <v>11</v>
      </c>
      <c r="O184" t="s">
        <v>19</v>
      </c>
      <c r="P184" t="s">
        <v>186</v>
      </c>
      <c r="Q184" t="s">
        <v>14</v>
      </c>
      <c r="R184" t="s">
        <v>16</v>
      </c>
      <c r="S184" t="s">
        <v>17</v>
      </c>
      <c r="U184" t="b">
        <f>L184=_R32Matchups[[#This Row],[1A vs]]</f>
        <v>1</v>
      </c>
      <c r="V184" t="b">
        <f>M184=_R32Matchups[[#This Row],[1B vs]]</f>
        <v>1</v>
      </c>
      <c r="W184" t="b">
        <f>N184=_R32Matchups[[#This Row],[1D vs]]</f>
        <v>1</v>
      </c>
      <c r="X184" t="b">
        <f>O184=_R32Matchups[[#This Row],[1E vs]]</f>
        <v>1</v>
      </c>
      <c r="Y184" t="b">
        <f>P184=_R32Matchups[[#This Row],[1G vs]]</f>
        <v>1</v>
      </c>
      <c r="Z184" t="b">
        <f>Q184=_R32Matchups[[#This Row],[1I vs]]</f>
        <v>1</v>
      </c>
      <c r="AA184" t="b">
        <f>R184=_R32Matchups[[#This Row],[1K vs]]</f>
        <v>1</v>
      </c>
      <c r="AB184" t="b">
        <f>S184=_R32Matchups[[#This Row],[1L vs]]</f>
        <v>1</v>
      </c>
    </row>
    <row r="185" spans="1:28" ht="14.4">
      <c r="A185" s="2" t="s">
        <v>204</v>
      </c>
      <c r="B185" s="2" t="s">
        <v>10</v>
      </c>
      <c r="C185" s="2" t="s">
        <v>15</v>
      </c>
      <c r="D185" s="2" t="s">
        <v>12</v>
      </c>
      <c r="E185" s="2" t="s">
        <v>19</v>
      </c>
      <c r="F185" s="2" t="s">
        <v>186</v>
      </c>
      <c r="G185" s="2" t="s">
        <v>14</v>
      </c>
      <c r="H185" s="2" t="s">
        <v>16</v>
      </c>
      <c r="I185" s="2" t="s">
        <v>17</v>
      </c>
      <c r="K185" t="s">
        <v>204</v>
      </c>
      <c r="L185" t="s">
        <v>10</v>
      </c>
      <c r="M185" t="s">
        <v>15</v>
      </c>
      <c r="N185" t="s">
        <v>12</v>
      </c>
      <c r="O185" t="s">
        <v>19</v>
      </c>
      <c r="P185" t="s">
        <v>186</v>
      </c>
      <c r="Q185" t="s">
        <v>14</v>
      </c>
      <c r="R185" t="s">
        <v>16</v>
      </c>
      <c r="S185" t="s">
        <v>17</v>
      </c>
      <c r="U185" t="b">
        <f>L185=_R32Matchups[[#This Row],[1A vs]]</f>
        <v>1</v>
      </c>
      <c r="V185" t="b">
        <f>M185=_R32Matchups[[#This Row],[1B vs]]</f>
        <v>1</v>
      </c>
      <c r="W185" t="b">
        <f>N185=_R32Matchups[[#This Row],[1D vs]]</f>
        <v>1</v>
      </c>
      <c r="X185" t="b">
        <f>O185=_R32Matchups[[#This Row],[1E vs]]</f>
        <v>1</v>
      </c>
      <c r="Y185" t="b">
        <f>P185=_R32Matchups[[#This Row],[1G vs]]</f>
        <v>1</v>
      </c>
      <c r="Z185" t="b">
        <f>Q185=_R32Matchups[[#This Row],[1I vs]]</f>
        <v>1</v>
      </c>
      <c r="AA185" t="b">
        <f>R185=_R32Matchups[[#This Row],[1K vs]]</f>
        <v>1</v>
      </c>
      <c r="AB185" t="b">
        <f>S185=_R32Matchups[[#This Row],[1L vs]]</f>
        <v>1</v>
      </c>
    </row>
    <row r="186" spans="1:28" ht="14.4">
      <c r="A186" s="2" t="s">
        <v>205</v>
      </c>
      <c r="B186" s="2" t="s">
        <v>10</v>
      </c>
      <c r="C186" s="2" t="s">
        <v>15</v>
      </c>
      <c r="D186" s="2" t="s">
        <v>11</v>
      </c>
      <c r="E186" s="2" t="s">
        <v>19</v>
      </c>
      <c r="F186" s="2" t="s">
        <v>186</v>
      </c>
      <c r="G186" s="2" t="s">
        <v>14</v>
      </c>
      <c r="H186" s="2" t="s">
        <v>16</v>
      </c>
      <c r="I186" s="2" t="s">
        <v>12</v>
      </c>
      <c r="K186" t="s">
        <v>205</v>
      </c>
      <c r="L186" t="s">
        <v>10</v>
      </c>
      <c r="M186" t="s">
        <v>15</v>
      </c>
      <c r="N186" t="s">
        <v>11</v>
      </c>
      <c r="O186" t="s">
        <v>19</v>
      </c>
      <c r="P186" t="s">
        <v>186</v>
      </c>
      <c r="Q186" t="s">
        <v>14</v>
      </c>
      <c r="R186" t="s">
        <v>16</v>
      </c>
      <c r="S186" t="s">
        <v>12</v>
      </c>
      <c r="U186" t="b">
        <f>L186=_R32Matchups[[#This Row],[1A vs]]</f>
        <v>1</v>
      </c>
      <c r="V186" t="b">
        <f>M186=_R32Matchups[[#This Row],[1B vs]]</f>
        <v>1</v>
      </c>
      <c r="W186" t="b">
        <f>N186=_R32Matchups[[#This Row],[1D vs]]</f>
        <v>1</v>
      </c>
      <c r="X186" t="b">
        <f>O186=_R32Matchups[[#This Row],[1E vs]]</f>
        <v>1</v>
      </c>
      <c r="Y186" t="b">
        <f>P186=_R32Matchups[[#This Row],[1G vs]]</f>
        <v>1</v>
      </c>
      <c r="Z186" t="b">
        <f>Q186=_R32Matchups[[#This Row],[1I vs]]</f>
        <v>1</v>
      </c>
      <c r="AA186" t="b">
        <f>R186=_R32Matchups[[#This Row],[1K vs]]</f>
        <v>1</v>
      </c>
      <c r="AB186" t="b">
        <f>S186=_R32Matchups[[#This Row],[1L vs]]</f>
        <v>1</v>
      </c>
    </row>
    <row r="187" spans="1:28" ht="14.4">
      <c r="A187" s="2" t="s">
        <v>206</v>
      </c>
      <c r="B187" s="2" t="s">
        <v>10</v>
      </c>
      <c r="C187" s="2" t="s">
        <v>15</v>
      </c>
      <c r="D187" s="2" t="s">
        <v>11</v>
      </c>
      <c r="E187" s="2" t="s">
        <v>19</v>
      </c>
      <c r="F187" s="2" t="s">
        <v>186</v>
      </c>
      <c r="G187" s="2" t="s">
        <v>14</v>
      </c>
      <c r="H187" s="2" t="s">
        <v>12</v>
      </c>
      <c r="I187" s="2" t="s">
        <v>17</v>
      </c>
      <c r="K187" t="s">
        <v>206</v>
      </c>
      <c r="L187" t="s">
        <v>10</v>
      </c>
      <c r="M187" t="s">
        <v>15</v>
      </c>
      <c r="N187" t="s">
        <v>11</v>
      </c>
      <c r="O187" t="s">
        <v>19</v>
      </c>
      <c r="P187" t="s">
        <v>186</v>
      </c>
      <c r="Q187" t="s">
        <v>14</v>
      </c>
      <c r="R187" t="s">
        <v>12</v>
      </c>
      <c r="S187" t="s">
        <v>17</v>
      </c>
      <c r="U187" t="b">
        <f>L187=_R32Matchups[[#This Row],[1A vs]]</f>
        <v>1</v>
      </c>
      <c r="V187" t="b">
        <f>M187=_R32Matchups[[#This Row],[1B vs]]</f>
        <v>1</v>
      </c>
      <c r="W187" t="b">
        <f>N187=_R32Matchups[[#This Row],[1D vs]]</f>
        <v>1</v>
      </c>
      <c r="X187" t="b">
        <f>O187=_R32Matchups[[#This Row],[1E vs]]</f>
        <v>1</v>
      </c>
      <c r="Y187" t="b">
        <f>P187=_R32Matchups[[#This Row],[1G vs]]</f>
        <v>1</v>
      </c>
      <c r="Z187" t="b">
        <f>Q187=_R32Matchups[[#This Row],[1I vs]]</f>
        <v>1</v>
      </c>
      <c r="AA187" t="b">
        <f>R187=_R32Matchups[[#This Row],[1K vs]]</f>
        <v>1</v>
      </c>
      <c r="AB187" t="b">
        <f>S187=_R32Matchups[[#This Row],[1L vs]]</f>
        <v>1</v>
      </c>
    </row>
    <row r="188" spans="1:28" ht="14.4">
      <c r="A188" s="2" t="s">
        <v>207</v>
      </c>
      <c r="B188" s="2" t="s">
        <v>10</v>
      </c>
      <c r="C188" s="2" t="s">
        <v>11</v>
      </c>
      <c r="D188" s="2" t="s">
        <v>12</v>
      </c>
      <c r="E188" s="2" t="s">
        <v>19</v>
      </c>
      <c r="F188" s="2" t="s">
        <v>186</v>
      </c>
      <c r="G188" s="2" t="s">
        <v>13</v>
      </c>
      <c r="H188" s="2" t="s">
        <v>16</v>
      </c>
      <c r="I188" s="2" t="s">
        <v>17</v>
      </c>
      <c r="K188" t="s">
        <v>207</v>
      </c>
      <c r="L188" t="s">
        <v>10</v>
      </c>
      <c r="M188" t="s">
        <v>11</v>
      </c>
      <c r="N188" t="s">
        <v>12</v>
      </c>
      <c r="O188" t="s">
        <v>19</v>
      </c>
      <c r="P188" t="s">
        <v>186</v>
      </c>
      <c r="Q188" t="s">
        <v>13</v>
      </c>
      <c r="R188" t="s">
        <v>16</v>
      </c>
      <c r="S188" t="s">
        <v>17</v>
      </c>
      <c r="U188" t="b">
        <f>L188=_R32Matchups[[#This Row],[1A vs]]</f>
        <v>1</v>
      </c>
      <c r="V188" t="b">
        <f>M188=_R32Matchups[[#This Row],[1B vs]]</f>
        <v>1</v>
      </c>
      <c r="W188" t="b">
        <f>N188=_R32Matchups[[#This Row],[1D vs]]</f>
        <v>1</v>
      </c>
      <c r="X188" t="b">
        <f>O188=_R32Matchups[[#This Row],[1E vs]]</f>
        <v>1</v>
      </c>
      <c r="Y188" t="b">
        <f>P188=_R32Matchups[[#This Row],[1G vs]]</f>
        <v>1</v>
      </c>
      <c r="Z188" t="b">
        <f>Q188=_R32Matchups[[#This Row],[1I vs]]</f>
        <v>1</v>
      </c>
      <c r="AA188" t="b">
        <f>R188=_R32Matchups[[#This Row],[1K vs]]</f>
        <v>1</v>
      </c>
      <c r="AB188" t="b">
        <f>S188=_R32Matchups[[#This Row],[1L vs]]</f>
        <v>1</v>
      </c>
    </row>
    <row r="189" spans="1:28" ht="14.4">
      <c r="A189" s="2" t="s">
        <v>208</v>
      </c>
      <c r="B189" s="2" t="s">
        <v>14</v>
      </c>
      <c r="C189" s="2" t="s">
        <v>11</v>
      </c>
      <c r="D189" s="2" t="s">
        <v>10</v>
      </c>
      <c r="E189" s="2" t="s">
        <v>19</v>
      </c>
      <c r="F189" s="2" t="s">
        <v>186</v>
      </c>
      <c r="G189" s="2" t="s">
        <v>13</v>
      </c>
      <c r="H189" s="2" t="s">
        <v>16</v>
      </c>
      <c r="I189" s="2" t="s">
        <v>17</v>
      </c>
      <c r="K189" t="s">
        <v>208</v>
      </c>
      <c r="L189" t="s">
        <v>14</v>
      </c>
      <c r="M189" t="s">
        <v>11</v>
      </c>
      <c r="N189" t="s">
        <v>10</v>
      </c>
      <c r="O189" t="s">
        <v>19</v>
      </c>
      <c r="P189" t="s">
        <v>186</v>
      </c>
      <c r="Q189" t="s">
        <v>13</v>
      </c>
      <c r="R189" t="s">
        <v>16</v>
      </c>
      <c r="S189" t="s">
        <v>17</v>
      </c>
      <c r="U189" t="b">
        <f>L189=_R32Matchups[[#This Row],[1A vs]]</f>
        <v>1</v>
      </c>
      <c r="V189" t="b">
        <f>M189=_R32Matchups[[#This Row],[1B vs]]</f>
        <v>1</v>
      </c>
      <c r="W189" t="b">
        <f>N189=_R32Matchups[[#This Row],[1D vs]]</f>
        <v>1</v>
      </c>
      <c r="X189" t="b">
        <f>O189=_R32Matchups[[#This Row],[1E vs]]</f>
        <v>1</v>
      </c>
      <c r="Y189" t="b">
        <f>P189=_R32Matchups[[#This Row],[1G vs]]</f>
        <v>1</v>
      </c>
      <c r="Z189" t="b">
        <f>Q189=_R32Matchups[[#This Row],[1I vs]]</f>
        <v>1</v>
      </c>
      <c r="AA189" t="b">
        <f>R189=_R32Matchups[[#This Row],[1K vs]]</f>
        <v>1</v>
      </c>
      <c r="AB189" t="b">
        <f>S189=_R32Matchups[[#This Row],[1L vs]]</f>
        <v>1</v>
      </c>
    </row>
    <row r="190" spans="1:28" ht="14.4">
      <c r="A190" s="2" t="s">
        <v>209</v>
      </c>
      <c r="B190" s="2" t="s">
        <v>14</v>
      </c>
      <c r="C190" s="2" t="s">
        <v>10</v>
      </c>
      <c r="D190" s="2" t="s">
        <v>12</v>
      </c>
      <c r="E190" s="2" t="s">
        <v>19</v>
      </c>
      <c r="F190" s="2" t="s">
        <v>186</v>
      </c>
      <c r="G190" s="2" t="s">
        <v>13</v>
      </c>
      <c r="H190" s="2" t="s">
        <v>16</v>
      </c>
      <c r="I190" s="2" t="s">
        <v>17</v>
      </c>
      <c r="K190" t="s">
        <v>209</v>
      </c>
      <c r="L190" t="s">
        <v>14</v>
      </c>
      <c r="M190" t="s">
        <v>10</v>
      </c>
      <c r="N190" t="s">
        <v>12</v>
      </c>
      <c r="O190" t="s">
        <v>19</v>
      </c>
      <c r="P190" t="s">
        <v>186</v>
      </c>
      <c r="Q190" t="s">
        <v>13</v>
      </c>
      <c r="R190" t="s">
        <v>16</v>
      </c>
      <c r="S190" t="s">
        <v>17</v>
      </c>
      <c r="U190" t="b">
        <f>L190=_R32Matchups[[#This Row],[1A vs]]</f>
        <v>1</v>
      </c>
      <c r="V190" t="b">
        <f>M190=_R32Matchups[[#This Row],[1B vs]]</f>
        <v>1</v>
      </c>
      <c r="W190" t="b">
        <f>N190=_R32Matchups[[#This Row],[1D vs]]</f>
        <v>1</v>
      </c>
      <c r="X190" t="b">
        <f>O190=_R32Matchups[[#This Row],[1E vs]]</f>
        <v>1</v>
      </c>
      <c r="Y190" t="b">
        <f>P190=_R32Matchups[[#This Row],[1G vs]]</f>
        <v>1</v>
      </c>
      <c r="Z190" t="b">
        <f>Q190=_R32Matchups[[#This Row],[1I vs]]</f>
        <v>1</v>
      </c>
      <c r="AA190" t="b">
        <f>R190=_R32Matchups[[#This Row],[1K vs]]</f>
        <v>1</v>
      </c>
      <c r="AB190" t="b">
        <f>S190=_R32Matchups[[#This Row],[1L vs]]</f>
        <v>1</v>
      </c>
    </row>
    <row r="191" spans="1:28" ht="14.4">
      <c r="A191" s="2" t="s">
        <v>210</v>
      </c>
      <c r="B191" s="2" t="s">
        <v>14</v>
      </c>
      <c r="C191" s="2" t="s">
        <v>11</v>
      </c>
      <c r="D191" s="2" t="s">
        <v>10</v>
      </c>
      <c r="E191" s="2" t="s">
        <v>19</v>
      </c>
      <c r="F191" s="2" t="s">
        <v>186</v>
      </c>
      <c r="G191" s="2" t="s">
        <v>13</v>
      </c>
      <c r="H191" s="2" t="s">
        <v>16</v>
      </c>
      <c r="I191" s="2" t="s">
        <v>12</v>
      </c>
      <c r="K191" t="s">
        <v>210</v>
      </c>
      <c r="L191" t="s">
        <v>14</v>
      </c>
      <c r="M191" t="s">
        <v>11</v>
      </c>
      <c r="N191" t="s">
        <v>10</v>
      </c>
      <c r="O191" t="s">
        <v>19</v>
      </c>
      <c r="P191" t="s">
        <v>186</v>
      </c>
      <c r="Q191" t="s">
        <v>13</v>
      </c>
      <c r="R191" t="s">
        <v>16</v>
      </c>
      <c r="S191" t="s">
        <v>12</v>
      </c>
      <c r="U191" t="b">
        <f>L191=_R32Matchups[[#This Row],[1A vs]]</f>
        <v>1</v>
      </c>
      <c r="V191" t="b">
        <f>M191=_R32Matchups[[#This Row],[1B vs]]</f>
        <v>1</v>
      </c>
      <c r="W191" t="b">
        <f>N191=_R32Matchups[[#This Row],[1D vs]]</f>
        <v>1</v>
      </c>
      <c r="X191" t="b">
        <f>O191=_R32Matchups[[#This Row],[1E vs]]</f>
        <v>1</v>
      </c>
      <c r="Y191" t="b">
        <f>P191=_R32Matchups[[#This Row],[1G vs]]</f>
        <v>1</v>
      </c>
      <c r="Z191" t="b">
        <f>Q191=_R32Matchups[[#This Row],[1I vs]]</f>
        <v>1</v>
      </c>
      <c r="AA191" t="b">
        <f>R191=_R32Matchups[[#This Row],[1K vs]]</f>
        <v>1</v>
      </c>
      <c r="AB191" t="b">
        <f>S191=_R32Matchups[[#This Row],[1L vs]]</f>
        <v>1</v>
      </c>
    </row>
    <row r="192" spans="1:28" ht="14.4">
      <c r="A192" s="2" t="s">
        <v>211</v>
      </c>
      <c r="B192" s="2" t="s">
        <v>14</v>
      </c>
      <c r="C192" s="2" t="s">
        <v>11</v>
      </c>
      <c r="D192" s="2" t="s">
        <v>10</v>
      </c>
      <c r="E192" s="2" t="s">
        <v>19</v>
      </c>
      <c r="F192" s="2" t="s">
        <v>186</v>
      </c>
      <c r="G192" s="2" t="s">
        <v>13</v>
      </c>
      <c r="H192" s="2" t="s">
        <v>12</v>
      </c>
      <c r="I192" s="2" t="s">
        <v>17</v>
      </c>
      <c r="K192" t="s">
        <v>211</v>
      </c>
      <c r="L192" t="s">
        <v>14</v>
      </c>
      <c r="M192" t="s">
        <v>11</v>
      </c>
      <c r="N192" t="s">
        <v>10</v>
      </c>
      <c r="O192" t="s">
        <v>19</v>
      </c>
      <c r="P192" t="s">
        <v>186</v>
      </c>
      <c r="Q192" t="s">
        <v>13</v>
      </c>
      <c r="R192" t="s">
        <v>12</v>
      </c>
      <c r="S192" t="s">
        <v>17</v>
      </c>
      <c r="U192" t="b">
        <f>L192=_R32Matchups[[#This Row],[1A vs]]</f>
        <v>1</v>
      </c>
      <c r="V192" t="b">
        <f>M192=_R32Matchups[[#This Row],[1B vs]]</f>
        <v>1</v>
      </c>
      <c r="W192" t="b">
        <f>N192=_R32Matchups[[#This Row],[1D vs]]</f>
        <v>1</v>
      </c>
      <c r="X192" t="b">
        <f>O192=_R32Matchups[[#This Row],[1E vs]]</f>
        <v>1</v>
      </c>
      <c r="Y192" t="b">
        <f>P192=_R32Matchups[[#This Row],[1G vs]]</f>
        <v>1</v>
      </c>
      <c r="Z192" t="b">
        <f>Q192=_R32Matchups[[#This Row],[1I vs]]</f>
        <v>1</v>
      </c>
      <c r="AA192" t="b">
        <f>R192=_R32Matchups[[#This Row],[1K vs]]</f>
        <v>1</v>
      </c>
      <c r="AB192" t="b">
        <f>S192=_R32Matchups[[#This Row],[1L vs]]</f>
        <v>1</v>
      </c>
    </row>
    <row r="193" spans="1:28" ht="14.4">
      <c r="A193" s="2" t="s">
        <v>212</v>
      </c>
      <c r="B193" s="2" t="s">
        <v>10</v>
      </c>
      <c r="C193" s="2" t="s">
        <v>15</v>
      </c>
      <c r="D193" s="2" t="s">
        <v>11</v>
      </c>
      <c r="E193" s="2" t="s">
        <v>19</v>
      </c>
      <c r="F193" s="2" t="s">
        <v>186</v>
      </c>
      <c r="G193" s="2" t="s">
        <v>13</v>
      </c>
      <c r="H193" s="2" t="s">
        <v>16</v>
      </c>
      <c r="I193" s="2" t="s">
        <v>17</v>
      </c>
      <c r="K193" t="s">
        <v>212</v>
      </c>
      <c r="L193" t="s">
        <v>10</v>
      </c>
      <c r="M193" t="s">
        <v>15</v>
      </c>
      <c r="N193" t="s">
        <v>11</v>
      </c>
      <c r="O193" t="s">
        <v>19</v>
      </c>
      <c r="P193" t="s">
        <v>186</v>
      </c>
      <c r="Q193" t="s">
        <v>13</v>
      </c>
      <c r="R193" t="s">
        <v>16</v>
      </c>
      <c r="S193" t="s">
        <v>17</v>
      </c>
      <c r="U193" t="b">
        <f>L193=_R32Matchups[[#This Row],[1A vs]]</f>
        <v>1</v>
      </c>
      <c r="V193" t="b">
        <f>M193=_R32Matchups[[#This Row],[1B vs]]</f>
        <v>1</v>
      </c>
      <c r="W193" t="b">
        <f>N193=_R32Matchups[[#This Row],[1D vs]]</f>
        <v>1</v>
      </c>
      <c r="X193" t="b">
        <f>O193=_R32Matchups[[#This Row],[1E vs]]</f>
        <v>1</v>
      </c>
      <c r="Y193" t="b">
        <f>P193=_R32Matchups[[#This Row],[1G vs]]</f>
        <v>1</v>
      </c>
      <c r="Z193" t="b">
        <f>Q193=_R32Matchups[[#This Row],[1I vs]]</f>
        <v>1</v>
      </c>
      <c r="AA193" t="b">
        <f>R193=_R32Matchups[[#This Row],[1K vs]]</f>
        <v>1</v>
      </c>
      <c r="AB193" t="b">
        <f>S193=_R32Matchups[[#This Row],[1L vs]]</f>
        <v>1</v>
      </c>
    </row>
    <row r="194" spans="1:28" ht="14.4">
      <c r="A194" s="2" t="s">
        <v>213</v>
      </c>
      <c r="B194" s="2" t="s">
        <v>10</v>
      </c>
      <c r="C194" s="2" t="s">
        <v>15</v>
      </c>
      <c r="D194" s="2" t="s">
        <v>12</v>
      </c>
      <c r="E194" s="2" t="s">
        <v>19</v>
      </c>
      <c r="F194" s="2" t="s">
        <v>186</v>
      </c>
      <c r="G194" s="2" t="s">
        <v>13</v>
      </c>
      <c r="H194" s="2" t="s">
        <v>16</v>
      </c>
      <c r="I194" s="2" t="s">
        <v>17</v>
      </c>
      <c r="K194" t="s">
        <v>213</v>
      </c>
      <c r="L194" t="s">
        <v>10</v>
      </c>
      <c r="M194" t="s">
        <v>15</v>
      </c>
      <c r="N194" t="s">
        <v>12</v>
      </c>
      <c r="O194" t="s">
        <v>19</v>
      </c>
      <c r="P194" t="s">
        <v>186</v>
      </c>
      <c r="Q194" t="s">
        <v>13</v>
      </c>
      <c r="R194" t="s">
        <v>16</v>
      </c>
      <c r="S194" t="s">
        <v>17</v>
      </c>
      <c r="U194" t="b">
        <f>L194=_R32Matchups[[#This Row],[1A vs]]</f>
        <v>1</v>
      </c>
      <c r="V194" t="b">
        <f>M194=_R32Matchups[[#This Row],[1B vs]]</f>
        <v>1</v>
      </c>
      <c r="W194" t="b">
        <f>N194=_R32Matchups[[#This Row],[1D vs]]</f>
        <v>1</v>
      </c>
      <c r="X194" t="b">
        <f>O194=_R32Matchups[[#This Row],[1E vs]]</f>
        <v>1</v>
      </c>
      <c r="Y194" t="b">
        <f>P194=_R32Matchups[[#This Row],[1G vs]]</f>
        <v>1</v>
      </c>
      <c r="Z194" t="b">
        <f>Q194=_R32Matchups[[#This Row],[1I vs]]</f>
        <v>1</v>
      </c>
      <c r="AA194" t="b">
        <f>R194=_R32Matchups[[#This Row],[1K vs]]</f>
        <v>1</v>
      </c>
      <c r="AB194" t="b">
        <f>S194=_R32Matchups[[#This Row],[1L vs]]</f>
        <v>1</v>
      </c>
    </row>
    <row r="195" spans="1:28" ht="14.4">
      <c r="A195" s="2" t="s">
        <v>214</v>
      </c>
      <c r="B195" s="2" t="s">
        <v>10</v>
      </c>
      <c r="C195" s="2" t="s">
        <v>15</v>
      </c>
      <c r="D195" s="2" t="s">
        <v>11</v>
      </c>
      <c r="E195" s="2" t="s">
        <v>19</v>
      </c>
      <c r="F195" s="2" t="s">
        <v>186</v>
      </c>
      <c r="G195" s="2" t="s">
        <v>13</v>
      </c>
      <c r="H195" s="2" t="s">
        <v>16</v>
      </c>
      <c r="I195" s="2" t="s">
        <v>12</v>
      </c>
      <c r="K195" t="s">
        <v>214</v>
      </c>
      <c r="L195" t="s">
        <v>10</v>
      </c>
      <c r="M195" t="s">
        <v>15</v>
      </c>
      <c r="N195" t="s">
        <v>11</v>
      </c>
      <c r="O195" t="s">
        <v>19</v>
      </c>
      <c r="P195" t="s">
        <v>186</v>
      </c>
      <c r="Q195" t="s">
        <v>13</v>
      </c>
      <c r="R195" t="s">
        <v>16</v>
      </c>
      <c r="S195" t="s">
        <v>12</v>
      </c>
      <c r="U195" t="b">
        <f>L195=_R32Matchups[[#This Row],[1A vs]]</f>
        <v>1</v>
      </c>
      <c r="V195" t="b">
        <f>M195=_R32Matchups[[#This Row],[1B vs]]</f>
        <v>1</v>
      </c>
      <c r="W195" t="b">
        <f>N195=_R32Matchups[[#This Row],[1D vs]]</f>
        <v>1</v>
      </c>
      <c r="X195" t="b">
        <f>O195=_R32Matchups[[#This Row],[1E vs]]</f>
        <v>1</v>
      </c>
      <c r="Y195" t="b">
        <f>P195=_R32Matchups[[#This Row],[1G vs]]</f>
        <v>1</v>
      </c>
      <c r="Z195" t="b">
        <f>Q195=_R32Matchups[[#This Row],[1I vs]]</f>
        <v>1</v>
      </c>
      <c r="AA195" t="b">
        <f>R195=_R32Matchups[[#This Row],[1K vs]]</f>
        <v>1</v>
      </c>
      <c r="AB195" t="b">
        <f>S195=_R32Matchups[[#This Row],[1L vs]]</f>
        <v>1</v>
      </c>
    </row>
    <row r="196" spans="1:28" ht="14.4">
      <c r="A196" s="2" t="s">
        <v>215</v>
      </c>
      <c r="B196" s="2" t="s">
        <v>10</v>
      </c>
      <c r="C196" s="2" t="s">
        <v>15</v>
      </c>
      <c r="D196" s="2" t="s">
        <v>11</v>
      </c>
      <c r="E196" s="2" t="s">
        <v>19</v>
      </c>
      <c r="F196" s="2" t="s">
        <v>186</v>
      </c>
      <c r="G196" s="2" t="s">
        <v>13</v>
      </c>
      <c r="H196" s="2" t="s">
        <v>12</v>
      </c>
      <c r="I196" s="2" t="s">
        <v>17</v>
      </c>
      <c r="K196" t="s">
        <v>215</v>
      </c>
      <c r="L196" t="s">
        <v>10</v>
      </c>
      <c r="M196" t="s">
        <v>15</v>
      </c>
      <c r="N196" t="s">
        <v>11</v>
      </c>
      <c r="O196" t="s">
        <v>19</v>
      </c>
      <c r="P196" t="s">
        <v>186</v>
      </c>
      <c r="Q196" t="s">
        <v>13</v>
      </c>
      <c r="R196" t="s">
        <v>12</v>
      </c>
      <c r="S196" t="s">
        <v>17</v>
      </c>
      <c r="U196" t="b">
        <f>L196=_R32Matchups[[#This Row],[1A vs]]</f>
        <v>1</v>
      </c>
      <c r="V196" t="b">
        <f>M196=_R32Matchups[[#This Row],[1B vs]]</f>
        <v>1</v>
      </c>
      <c r="W196" t="b">
        <f>N196=_R32Matchups[[#This Row],[1D vs]]</f>
        <v>1</v>
      </c>
      <c r="X196" t="b">
        <f>O196=_R32Matchups[[#This Row],[1E vs]]</f>
        <v>1</v>
      </c>
      <c r="Y196" t="b">
        <f>P196=_R32Matchups[[#This Row],[1G vs]]</f>
        <v>1</v>
      </c>
      <c r="Z196" t="b">
        <f>Q196=_R32Matchups[[#This Row],[1I vs]]</f>
        <v>1</v>
      </c>
      <c r="AA196" t="b">
        <f>R196=_R32Matchups[[#This Row],[1K vs]]</f>
        <v>1</v>
      </c>
      <c r="AB196" t="b">
        <f>S196=_R32Matchups[[#This Row],[1L vs]]</f>
        <v>1</v>
      </c>
    </row>
    <row r="197" spans="1:28" ht="14.4">
      <c r="A197" s="2" t="s">
        <v>216</v>
      </c>
      <c r="B197" s="2" t="s">
        <v>14</v>
      </c>
      <c r="C197" s="2" t="s">
        <v>15</v>
      </c>
      <c r="D197" s="2" t="s">
        <v>10</v>
      </c>
      <c r="E197" s="2" t="s">
        <v>19</v>
      </c>
      <c r="F197" s="2" t="s">
        <v>186</v>
      </c>
      <c r="G197" s="2" t="s">
        <v>13</v>
      </c>
      <c r="H197" s="2" t="s">
        <v>16</v>
      </c>
      <c r="I197" s="2" t="s">
        <v>17</v>
      </c>
      <c r="K197" t="s">
        <v>216</v>
      </c>
      <c r="L197" t="s">
        <v>14</v>
      </c>
      <c r="M197" t="s">
        <v>15</v>
      </c>
      <c r="N197" t="s">
        <v>10</v>
      </c>
      <c r="O197" t="s">
        <v>19</v>
      </c>
      <c r="P197" t="s">
        <v>186</v>
      </c>
      <c r="Q197" t="s">
        <v>13</v>
      </c>
      <c r="R197" t="s">
        <v>16</v>
      </c>
      <c r="S197" t="s">
        <v>17</v>
      </c>
      <c r="U197" t="b">
        <f>L197=_R32Matchups[[#This Row],[1A vs]]</f>
        <v>1</v>
      </c>
      <c r="V197" t="b">
        <f>M197=_R32Matchups[[#This Row],[1B vs]]</f>
        <v>1</v>
      </c>
      <c r="W197" t="b">
        <f>N197=_R32Matchups[[#This Row],[1D vs]]</f>
        <v>1</v>
      </c>
      <c r="X197" t="b">
        <f>O197=_R32Matchups[[#This Row],[1E vs]]</f>
        <v>1</v>
      </c>
      <c r="Y197" t="b">
        <f>P197=_R32Matchups[[#This Row],[1G vs]]</f>
        <v>1</v>
      </c>
      <c r="Z197" t="b">
        <f>Q197=_R32Matchups[[#This Row],[1I vs]]</f>
        <v>1</v>
      </c>
      <c r="AA197" t="b">
        <f>R197=_R32Matchups[[#This Row],[1K vs]]</f>
        <v>1</v>
      </c>
      <c r="AB197" t="b">
        <f>S197=_R32Matchups[[#This Row],[1L vs]]</f>
        <v>1</v>
      </c>
    </row>
    <row r="198" spans="1:28" ht="14.4">
      <c r="A198" s="2" t="s">
        <v>217</v>
      </c>
      <c r="B198" s="2" t="s">
        <v>14</v>
      </c>
      <c r="C198" s="2" t="s">
        <v>15</v>
      </c>
      <c r="D198" s="2" t="s">
        <v>11</v>
      </c>
      <c r="E198" s="2" t="s">
        <v>19</v>
      </c>
      <c r="F198" s="2" t="s">
        <v>186</v>
      </c>
      <c r="G198" s="2" t="s">
        <v>13</v>
      </c>
      <c r="H198" s="2" t="s">
        <v>16</v>
      </c>
      <c r="I198" s="2" t="s">
        <v>10</v>
      </c>
      <c r="K198" t="s">
        <v>217</v>
      </c>
      <c r="L198" t="s">
        <v>14</v>
      </c>
      <c r="M198" t="s">
        <v>15</v>
      </c>
      <c r="N198" t="s">
        <v>11</v>
      </c>
      <c r="O198" t="s">
        <v>19</v>
      </c>
      <c r="P198" t="s">
        <v>186</v>
      </c>
      <c r="Q198" t="s">
        <v>13</v>
      </c>
      <c r="R198" t="s">
        <v>16</v>
      </c>
      <c r="S198" t="s">
        <v>10</v>
      </c>
      <c r="U198" t="b">
        <f>L198=_R32Matchups[[#This Row],[1A vs]]</f>
        <v>1</v>
      </c>
      <c r="V198" t="b">
        <f>M198=_R32Matchups[[#This Row],[1B vs]]</f>
        <v>1</v>
      </c>
      <c r="W198" t="b">
        <f>N198=_R32Matchups[[#This Row],[1D vs]]</f>
        <v>1</v>
      </c>
      <c r="X198" t="b">
        <f>O198=_R32Matchups[[#This Row],[1E vs]]</f>
        <v>1</v>
      </c>
      <c r="Y198" t="b">
        <f>P198=_R32Matchups[[#This Row],[1G vs]]</f>
        <v>1</v>
      </c>
      <c r="Z198" t="b">
        <f>Q198=_R32Matchups[[#This Row],[1I vs]]</f>
        <v>1</v>
      </c>
      <c r="AA198" t="b">
        <f>R198=_R32Matchups[[#This Row],[1K vs]]</f>
        <v>1</v>
      </c>
      <c r="AB198" t="b">
        <f>S198=_R32Matchups[[#This Row],[1L vs]]</f>
        <v>1</v>
      </c>
    </row>
    <row r="199" spans="1:28" ht="14.4">
      <c r="A199" s="2" t="s">
        <v>218</v>
      </c>
      <c r="B199" s="2" t="s">
        <v>14</v>
      </c>
      <c r="C199" s="2" t="s">
        <v>15</v>
      </c>
      <c r="D199" s="2" t="s">
        <v>11</v>
      </c>
      <c r="E199" s="2" t="s">
        <v>19</v>
      </c>
      <c r="F199" s="2" t="s">
        <v>186</v>
      </c>
      <c r="G199" s="2" t="s">
        <v>13</v>
      </c>
      <c r="H199" s="2" t="s">
        <v>10</v>
      </c>
      <c r="I199" s="2" t="s">
        <v>17</v>
      </c>
      <c r="K199" t="s">
        <v>218</v>
      </c>
      <c r="L199" t="s">
        <v>14</v>
      </c>
      <c r="M199" t="s">
        <v>15</v>
      </c>
      <c r="N199" t="s">
        <v>11</v>
      </c>
      <c r="O199" t="s">
        <v>19</v>
      </c>
      <c r="P199" t="s">
        <v>186</v>
      </c>
      <c r="Q199" t="s">
        <v>13</v>
      </c>
      <c r="R199" t="s">
        <v>10</v>
      </c>
      <c r="S199" t="s">
        <v>17</v>
      </c>
      <c r="U199" t="b">
        <f>L199=_R32Matchups[[#This Row],[1A vs]]</f>
        <v>1</v>
      </c>
      <c r="V199" t="b">
        <f>M199=_R32Matchups[[#This Row],[1B vs]]</f>
        <v>1</v>
      </c>
      <c r="W199" t="b">
        <f>N199=_R32Matchups[[#This Row],[1D vs]]</f>
        <v>1</v>
      </c>
      <c r="X199" t="b">
        <f>O199=_R32Matchups[[#This Row],[1E vs]]</f>
        <v>1</v>
      </c>
      <c r="Y199" t="b">
        <f>P199=_R32Matchups[[#This Row],[1G vs]]</f>
        <v>1</v>
      </c>
      <c r="Z199" t="b">
        <f>Q199=_R32Matchups[[#This Row],[1I vs]]</f>
        <v>1</v>
      </c>
      <c r="AA199" t="b">
        <f>R199=_R32Matchups[[#This Row],[1K vs]]</f>
        <v>1</v>
      </c>
      <c r="AB199" t="b">
        <f>S199=_R32Matchups[[#This Row],[1L vs]]</f>
        <v>1</v>
      </c>
    </row>
    <row r="200" spans="1:28" ht="14.4">
      <c r="A200" s="2" t="s">
        <v>219</v>
      </c>
      <c r="B200" s="2" t="s">
        <v>14</v>
      </c>
      <c r="C200" s="2" t="s">
        <v>15</v>
      </c>
      <c r="D200" s="2" t="s">
        <v>10</v>
      </c>
      <c r="E200" s="2" t="s">
        <v>19</v>
      </c>
      <c r="F200" s="2" t="s">
        <v>186</v>
      </c>
      <c r="G200" s="2" t="s">
        <v>13</v>
      </c>
      <c r="H200" s="2" t="s">
        <v>16</v>
      </c>
      <c r="I200" s="2" t="s">
        <v>12</v>
      </c>
      <c r="K200" t="s">
        <v>219</v>
      </c>
      <c r="L200" t="s">
        <v>14</v>
      </c>
      <c r="M200" t="s">
        <v>15</v>
      </c>
      <c r="N200" t="s">
        <v>10</v>
      </c>
      <c r="O200" t="s">
        <v>19</v>
      </c>
      <c r="P200" t="s">
        <v>186</v>
      </c>
      <c r="Q200" t="s">
        <v>13</v>
      </c>
      <c r="R200" t="s">
        <v>16</v>
      </c>
      <c r="S200" t="s">
        <v>12</v>
      </c>
      <c r="U200" t="b">
        <f>L200=_R32Matchups[[#This Row],[1A vs]]</f>
        <v>1</v>
      </c>
      <c r="V200" t="b">
        <f>M200=_R32Matchups[[#This Row],[1B vs]]</f>
        <v>1</v>
      </c>
      <c r="W200" t="b">
        <f>N200=_R32Matchups[[#This Row],[1D vs]]</f>
        <v>1</v>
      </c>
      <c r="X200" t="b">
        <f>O200=_R32Matchups[[#This Row],[1E vs]]</f>
        <v>1</v>
      </c>
      <c r="Y200" t="b">
        <f>P200=_R32Matchups[[#This Row],[1G vs]]</f>
        <v>1</v>
      </c>
      <c r="Z200" t="b">
        <f>Q200=_R32Matchups[[#This Row],[1I vs]]</f>
        <v>1</v>
      </c>
      <c r="AA200" t="b">
        <f>R200=_R32Matchups[[#This Row],[1K vs]]</f>
        <v>1</v>
      </c>
      <c r="AB200" t="b">
        <f>S200=_R32Matchups[[#This Row],[1L vs]]</f>
        <v>1</v>
      </c>
    </row>
    <row r="201" spans="1:28" ht="14.4">
      <c r="A201" s="2" t="s">
        <v>220</v>
      </c>
      <c r="B201" s="2" t="s">
        <v>14</v>
      </c>
      <c r="C201" s="2" t="s">
        <v>15</v>
      </c>
      <c r="D201" s="2" t="s">
        <v>10</v>
      </c>
      <c r="E201" s="2" t="s">
        <v>19</v>
      </c>
      <c r="F201" s="2" t="s">
        <v>186</v>
      </c>
      <c r="G201" s="2" t="s">
        <v>13</v>
      </c>
      <c r="H201" s="2" t="s">
        <v>12</v>
      </c>
      <c r="I201" s="2" t="s">
        <v>17</v>
      </c>
      <c r="K201" t="s">
        <v>220</v>
      </c>
      <c r="L201" t="s">
        <v>14</v>
      </c>
      <c r="M201" t="s">
        <v>15</v>
      </c>
      <c r="N201" t="s">
        <v>10</v>
      </c>
      <c r="O201" t="s">
        <v>19</v>
      </c>
      <c r="P201" t="s">
        <v>186</v>
      </c>
      <c r="Q201" t="s">
        <v>13</v>
      </c>
      <c r="R201" t="s">
        <v>12</v>
      </c>
      <c r="S201" t="s">
        <v>17</v>
      </c>
      <c r="U201" t="b">
        <f>L201=_R32Matchups[[#This Row],[1A vs]]</f>
        <v>1</v>
      </c>
      <c r="V201" t="b">
        <f>M201=_R32Matchups[[#This Row],[1B vs]]</f>
        <v>1</v>
      </c>
      <c r="W201" t="b">
        <f>N201=_R32Matchups[[#This Row],[1D vs]]</f>
        <v>1</v>
      </c>
      <c r="X201" t="b">
        <f>O201=_R32Matchups[[#This Row],[1E vs]]</f>
        <v>1</v>
      </c>
      <c r="Y201" t="b">
        <f>P201=_R32Matchups[[#This Row],[1G vs]]</f>
        <v>1</v>
      </c>
      <c r="Z201" t="b">
        <f>Q201=_R32Matchups[[#This Row],[1I vs]]</f>
        <v>1</v>
      </c>
      <c r="AA201" t="b">
        <f>R201=_R32Matchups[[#This Row],[1K vs]]</f>
        <v>1</v>
      </c>
      <c r="AB201" t="b">
        <f>S201=_R32Matchups[[#This Row],[1L vs]]</f>
        <v>1</v>
      </c>
    </row>
    <row r="202" spans="1:28" ht="14.4">
      <c r="A202" s="2" t="s">
        <v>221</v>
      </c>
      <c r="B202" s="2" t="s">
        <v>14</v>
      </c>
      <c r="C202" s="2" t="s">
        <v>15</v>
      </c>
      <c r="D202" s="2" t="s">
        <v>11</v>
      </c>
      <c r="E202" s="2" t="s">
        <v>19</v>
      </c>
      <c r="F202" s="2" t="s">
        <v>186</v>
      </c>
      <c r="G202" s="2" t="s">
        <v>13</v>
      </c>
      <c r="H202" s="2" t="s">
        <v>10</v>
      </c>
      <c r="I202" s="2" t="s">
        <v>12</v>
      </c>
      <c r="K202" t="s">
        <v>221</v>
      </c>
      <c r="L202" t="s">
        <v>14</v>
      </c>
      <c r="M202" t="s">
        <v>15</v>
      </c>
      <c r="N202" t="s">
        <v>11</v>
      </c>
      <c r="O202" t="s">
        <v>19</v>
      </c>
      <c r="P202" t="s">
        <v>186</v>
      </c>
      <c r="Q202" t="s">
        <v>13</v>
      </c>
      <c r="R202" t="s">
        <v>10</v>
      </c>
      <c r="S202" t="s">
        <v>12</v>
      </c>
      <c r="U202" t="b">
        <f>L202=_R32Matchups[[#This Row],[1A vs]]</f>
        <v>1</v>
      </c>
      <c r="V202" t="b">
        <f>M202=_R32Matchups[[#This Row],[1B vs]]</f>
        <v>1</v>
      </c>
      <c r="W202" t="b">
        <f>N202=_R32Matchups[[#This Row],[1D vs]]</f>
        <v>1</v>
      </c>
      <c r="X202" t="b">
        <f>O202=_R32Matchups[[#This Row],[1E vs]]</f>
        <v>1</v>
      </c>
      <c r="Y202" t="b">
        <f>P202=_R32Matchups[[#This Row],[1G vs]]</f>
        <v>1</v>
      </c>
      <c r="Z202" t="b">
        <f>Q202=_R32Matchups[[#This Row],[1I vs]]</f>
        <v>1</v>
      </c>
      <c r="AA202" t="b">
        <f>R202=_R32Matchups[[#This Row],[1K vs]]</f>
        <v>1</v>
      </c>
      <c r="AB202" t="b">
        <f>S202=_R32Matchups[[#This Row],[1L vs]]</f>
        <v>1</v>
      </c>
    </row>
    <row r="203" spans="1:28" ht="14.4">
      <c r="A203" s="2" t="s">
        <v>222</v>
      </c>
      <c r="B203" s="2" t="s">
        <v>14</v>
      </c>
      <c r="C203" s="2" t="s">
        <v>11</v>
      </c>
      <c r="D203" s="2" t="s">
        <v>12</v>
      </c>
      <c r="E203" s="2" t="s">
        <v>28</v>
      </c>
      <c r="F203" s="2" t="s">
        <v>186</v>
      </c>
      <c r="G203" s="2" t="s">
        <v>15</v>
      </c>
      <c r="H203" s="2" t="s">
        <v>16</v>
      </c>
      <c r="I203" s="2" t="s">
        <v>17</v>
      </c>
      <c r="K203" t="s">
        <v>222</v>
      </c>
      <c r="L203" t="s">
        <v>14</v>
      </c>
      <c r="M203" t="s">
        <v>11</v>
      </c>
      <c r="N203" t="s">
        <v>12</v>
      </c>
      <c r="O203" t="s">
        <v>28</v>
      </c>
      <c r="P203" t="s">
        <v>186</v>
      </c>
      <c r="Q203" t="s">
        <v>15</v>
      </c>
      <c r="R203" t="s">
        <v>16</v>
      </c>
      <c r="S203" t="s">
        <v>17</v>
      </c>
      <c r="U203" t="b">
        <f>L203=_R32Matchups[[#This Row],[1A vs]]</f>
        <v>1</v>
      </c>
      <c r="V203" t="b">
        <f>M203=_R32Matchups[[#This Row],[1B vs]]</f>
        <v>1</v>
      </c>
      <c r="W203" t="b">
        <f>N203=_R32Matchups[[#This Row],[1D vs]]</f>
        <v>1</v>
      </c>
      <c r="X203" t="b">
        <f>O203=_R32Matchups[[#This Row],[1E vs]]</f>
        <v>1</v>
      </c>
      <c r="Y203" t="b">
        <f>P203=_R32Matchups[[#This Row],[1G vs]]</f>
        <v>1</v>
      </c>
      <c r="Z203" t="b">
        <f>Q203=_R32Matchups[[#This Row],[1I vs]]</f>
        <v>1</v>
      </c>
      <c r="AA203" t="b">
        <f>R203=_R32Matchups[[#This Row],[1K vs]]</f>
        <v>1</v>
      </c>
      <c r="AB203" t="b">
        <f>S203=_R32Matchups[[#This Row],[1L vs]]</f>
        <v>1</v>
      </c>
    </row>
    <row r="204" spans="1:28" ht="14.4">
      <c r="A204" s="2" t="s">
        <v>223</v>
      </c>
      <c r="B204" s="2" t="s">
        <v>14</v>
      </c>
      <c r="C204" s="2" t="s">
        <v>11</v>
      </c>
      <c r="D204" s="2" t="s">
        <v>12</v>
      </c>
      <c r="E204" s="2" t="s">
        <v>28</v>
      </c>
      <c r="F204" s="2" t="s">
        <v>186</v>
      </c>
      <c r="G204" s="2" t="s">
        <v>13</v>
      </c>
      <c r="H204" s="2" t="s">
        <v>16</v>
      </c>
      <c r="I204" s="2" t="s">
        <v>17</v>
      </c>
      <c r="K204" t="s">
        <v>223</v>
      </c>
      <c r="L204" t="s">
        <v>14</v>
      </c>
      <c r="M204" t="s">
        <v>11</v>
      </c>
      <c r="N204" t="s">
        <v>12</v>
      </c>
      <c r="O204" t="s">
        <v>28</v>
      </c>
      <c r="P204" t="s">
        <v>186</v>
      </c>
      <c r="Q204" t="s">
        <v>13</v>
      </c>
      <c r="R204" t="s">
        <v>16</v>
      </c>
      <c r="S204" t="s">
        <v>17</v>
      </c>
      <c r="U204" t="b">
        <f>L204=_R32Matchups[[#This Row],[1A vs]]</f>
        <v>1</v>
      </c>
      <c r="V204" t="b">
        <f>M204=_R32Matchups[[#This Row],[1B vs]]</f>
        <v>1</v>
      </c>
      <c r="W204" t="b">
        <f>N204=_R32Matchups[[#This Row],[1D vs]]</f>
        <v>1</v>
      </c>
      <c r="X204" t="b">
        <f>O204=_R32Matchups[[#This Row],[1E vs]]</f>
        <v>1</v>
      </c>
      <c r="Y204" t="b">
        <f>P204=_R32Matchups[[#This Row],[1G vs]]</f>
        <v>1</v>
      </c>
      <c r="Z204" t="b">
        <f>Q204=_R32Matchups[[#This Row],[1I vs]]</f>
        <v>1</v>
      </c>
      <c r="AA204" t="b">
        <f>R204=_R32Matchups[[#This Row],[1K vs]]</f>
        <v>1</v>
      </c>
      <c r="AB204" t="b">
        <f>S204=_R32Matchups[[#This Row],[1L vs]]</f>
        <v>1</v>
      </c>
    </row>
    <row r="205" spans="1:28" ht="14.4">
      <c r="A205" s="2" t="s">
        <v>224</v>
      </c>
      <c r="B205" s="2" t="s">
        <v>12</v>
      </c>
      <c r="C205" s="2" t="s">
        <v>15</v>
      </c>
      <c r="D205" s="2" t="s">
        <v>11</v>
      </c>
      <c r="E205" s="2" t="s">
        <v>28</v>
      </c>
      <c r="F205" s="2" t="s">
        <v>186</v>
      </c>
      <c r="G205" s="2" t="s">
        <v>13</v>
      </c>
      <c r="H205" s="2" t="s">
        <v>16</v>
      </c>
      <c r="I205" s="2" t="s">
        <v>17</v>
      </c>
      <c r="K205" t="s">
        <v>224</v>
      </c>
      <c r="L205" t="s">
        <v>12</v>
      </c>
      <c r="M205" t="s">
        <v>15</v>
      </c>
      <c r="N205" t="s">
        <v>11</v>
      </c>
      <c r="O205" t="s">
        <v>28</v>
      </c>
      <c r="P205" t="s">
        <v>186</v>
      </c>
      <c r="Q205" t="s">
        <v>13</v>
      </c>
      <c r="R205" t="s">
        <v>16</v>
      </c>
      <c r="S205" t="s">
        <v>17</v>
      </c>
      <c r="U205" t="b">
        <f>L205=_R32Matchups[[#This Row],[1A vs]]</f>
        <v>1</v>
      </c>
      <c r="V205" t="b">
        <f>M205=_R32Matchups[[#This Row],[1B vs]]</f>
        <v>1</v>
      </c>
      <c r="W205" t="b">
        <f>N205=_R32Matchups[[#This Row],[1D vs]]</f>
        <v>1</v>
      </c>
      <c r="X205" t="b">
        <f>O205=_R32Matchups[[#This Row],[1E vs]]</f>
        <v>1</v>
      </c>
      <c r="Y205" t="b">
        <f>P205=_R32Matchups[[#This Row],[1G vs]]</f>
        <v>1</v>
      </c>
      <c r="Z205" t="b">
        <f>Q205=_R32Matchups[[#This Row],[1I vs]]</f>
        <v>1</v>
      </c>
      <c r="AA205" t="b">
        <f>R205=_R32Matchups[[#This Row],[1K vs]]</f>
        <v>1</v>
      </c>
      <c r="AB205" t="b">
        <f>S205=_R32Matchups[[#This Row],[1L vs]]</f>
        <v>1</v>
      </c>
    </row>
    <row r="206" spans="1:28" ht="14.4">
      <c r="A206" s="2" t="s">
        <v>225</v>
      </c>
      <c r="B206" s="2" t="s">
        <v>14</v>
      </c>
      <c r="C206" s="2" t="s">
        <v>15</v>
      </c>
      <c r="D206" s="2" t="s">
        <v>11</v>
      </c>
      <c r="E206" s="2" t="s">
        <v>28</v>
      </c>
      <c r="F206" s="2" t="s">
        <v>186</v>
      </c>
      <c r="G206" s="2" t="s">
        <v>13</v>
      </c>
      <c r="H206" s="2" t="s">
        <v>16</v>
      </c>
      <c r="I206" s="2" t="s">
        <v>17</v>
      </c>
      <c r="K206" t="s">
        <v>225</v>
      </c>
      <c r="L206" t="s">
        <v>14</v>
      </c>
      <c r="M206" t="s">
        <v>15</v>
      </c>
      <c r="N206" t="s">
        <v>11</v>
      </c>
      <c r="O206" t="s">
        <v>28</v>
      </c>
      <c r="P206" t="s">
        <v>186</v>
      </c>
      <c r="Q206" t="s">
        <v>13</v>
      </c>
      <c r="R206" t="s">
        <v>16</v>
      </c>
      <c r="S206" t="s">
        <v>17</v>
      </c>
      <c r="U206" t="b">
        <f>L206=_R32Matchups[[#This Row],[1A vs]]</f>
        <v>1</v>
      </c>
      <c r="V206" t="b">
        <f>M206=_R32Matchups[[#This Row],[1B vs]]</f>
        <v>1</v>
      </c>
      <c r="W206" t="b">
        <f>N206=_R32Matchups[[#This Row],[1D vs]]</f>
        <v>1</v>
      </c>
      <c r="X206" t="b">
        <f>O206=_R32Matchups[[#This Row],[1E vs]]</f>
        <v>1</v>
      </c>
      <c r="Y206" t="b">
        <f>P206=_R32Matchups[[#This Row],[1G vs]]</f>
        <v>1</v>
      </c>
      <c r="Z206" t="b">
        <f>Q206=_R32Matchups[[#This Row],[1I vs]]</f>
        <v>1</v>
      </c>
      <c r="AA206" t="b">
        <f>R206=_R32Matchups[[#This Row],[1K vs]]</f>
        <v>1</v>
      </c>
      <c r="AB206" t="b">
        <f>S206=_R32Matchups[[#This Row],[1L vs]]</f>
        <v>1</v>
      </c>
    </row>
    <row r="207" spans="1:28" ht="14.4">
      <c r="A207" s="2" t="s">
        <v>226</v>
      </c>
      <c r="B207" s="2" t="s">
        <v>14</v>
      </c>
      <c r="C207" s="2" t="s">
        <v>15</v>
      </c>
      <c r="D207" s="2" t="s">
        <v>12</v>
      </c>
      <c r="E207" s="2" t="s">
        <v>28</v>
      </c>
      <c r="F207" s="2" t="s">
        <v>186</v>
      </c>
      <c r="G207" s="2" t="s">
        <v>13</v>
      </c>
      <c r="H207" s="2" t="s">
        <v>16</v>
      </c>
      <c r="I207" s="2" t="s">
        <v>17</v>
      </c>
      <c r="K207" t="s">
        <v>226</v>
      </c>
      <c r="L207" t="s">
        <v>14</v>
      </c>
      <c r="M207" t="s">
        <v>15</v>
      </c>
      <c r="N207" t="s">
        <v>12</v>
      </c>
      <c r="O207" t="s">
        <v>28</v>
      </c>
      <c r="P207" t="s">
        <v>186</v>
      </c>
      <c r="Q207" t="s">
        <v>13</v>
      </c>
      <c r="R207" t="s">
        <v>16</v>
      </c>
      <c r="S207" t="s">
        <v>17</v>
      </c>
      <c r="U207" t="b">
        <f>L207=_R32Matchups[[#This Row],[1A vs]]</f>
        <v>1</v>
      </c>
      <c r="V207" t="b">
        <f>M207=_R32Matchups[[#This Row],[1B vs]]</f>
        <v>1</v>
      </c>
      <c r="W207" t="b">
        <f>N207=_R32Matchups[[#This Row],[1D vs]]</f>
        <v>1</v>
      </c>
      <c r="X207" t="b">
        <f>O207=_R32Matchups[[#This Row],[1E vs]]</f>
        <v>1</v>
      </c>
      <c r="Y207" t="b">
        <f>P207=_R32Matchups[[#This Row],[1G vs]]</f>
        <v>1</v>
      </c>
      <c r="Z207" t="b">
        <f>Q207=_R32Matchups[[#This Row],[1I vs]]</f>
        <v>1</v>
      </c>
      <c r="AA207" t="b">
        <f>R207=_R32Matchups[[#This Row],[1K vs]]</f>
        <v>1</v>
      </c>
      <c r="AB207" t="b">
        <f>S207=_R32Matchups[[#This Row],[1L vs]]</f>
        <v>1</v>
      </c>
    </row>
    <row r="208" spans="1:28" ht="14.4">
      <c r="A208" s="2" t="s">
        <v>227</v>
      </c>
      <c r="B208" s="2" t="s">
        <v>14</v>
      </c>
      <c r="C208" s="2" t="s">
        <v>15</v>
      </c>
      <c r="D208" s="2" t="s">
        <v>11</v>
      </c>
      <c r="E208" s="2" t="s">
        <v>28</v>
      </c>
      <c r="F208" s="2" t="s">
        <v>186</v>
      </c>
      <c r="G208" s="2" t="s">
        <v>13</v>
      </c>
      <c r="H208" s="2" t="s">
        <v>16</v>
      </c>
      <c r="I208" s="2" t="s">
        <v>12</v>
      </c>
      <c r="K208" t="s">
        <v>227</v>
      </c>
      <c r="L208" t="s">
        <v>14</v>
      </c>
      <c r="M208" t="s">
        <v>15</v>
      </c>
      <c r="N208" t="s">
        <v>11</v>
      </c>
      <c r="O208" t="s">
        <v>28</v>
      </c>
      <c r="P208" t="s">
        <v>186</v>
      </c>
      <c r="Q208" t="s">
        <v>13</v>
      </c>
      <c r="R208" t="s">
        <v>16</v>
      </c>
      <c r="S208" t="s">
        <v>12</v>
      </c>
      <c r="U208" t="b">
        <f>L208=_R32Matchups[[#This Row],[1A vs]]</f>
        <v>1</v>
      </c>
      <c r="V208" t="b">
        <f>M208=_R32Matchups[[#This Row],[1B vs]]</f>
        <v>1</v>
      </c>
      <c r="W208" t="b">
        <f>N208=_R32Matchups[[#This Row],[1D vs]]</f>
        <v>1</v>
      </c>
      <c r="X208" t="b">
        <f>O208=_R32Matchups[[#This Row],[1E vs]]</f>
        <v>1</v>
      </c>
      <c r="Y208" t="b">
        <f>P208=_R32Matchups[[#This Row],[1G vs]]</f>
        <v>1</v>
      </c>
      <c r="Z208" t="b">
        <f>Q208=_R32Matchups[[#This Row],[1I vs]]</f>
        <v>1</v>
      </c>
      <c r="AA208" t="b">
        <f>R208=_R32Matchups[[#This Row],[1K vs]]</f>
        <v>1</v>
      </c>
      <c r="AB208" t="b">
        <f>S208=_R32Matchups[[#This Row],[1L vs]]</f>
        <v>1</v>
      </c>
    </row>
    <row r="209" spans="1:28" ht="14.4">
      <c r="A209" s="2" t="s">
        <v>228</v>
      </c>
      <c r="B209" s="2" t="s">
        <v>14</v>
      </c>
      <c r="C209" s="2" t="s">
        <v>15</v>
      </c>
      <c r="D209" s="2" t="s">
        <v>11</v>
      </c>
      <c r="E209" s="2" t="s">
        <v>28</v>
      </c>
      <c r="F209" s="2" t="s">
        <v>186</v>
      </c>
      <c r="G209" s="2" t="s">
        <v>13</v>
      </c>
      <c r="H209" s="2" t="s">
        <v>12</v>
      </c>
      <c r="I209" s="2" t="s">
        <v>17</v>
      </c>
      <c r="K209" t="s">
        <v>228</v>
      </c>
      <c r="L209" t="s">
        <v>14</v>
      </c>
      <c r="M209" t="s">
        <v>15</v>
      </c>
      <c r="N209" t="s">
        <v>11</v>
      </c>
      <c r="O209" t="s">
        <v>28</v>
      </c>
      <c r="P209" t="s">
        <v>186</v>
      </c>
      <c r="Q209" t="s">
        <v>13</v>
      </c>
      <c r="R209" t="s">
        <v>12</v>
      </c>
      <c r="S209" t="s">
        <v>17</v>
      </c>
      <c r="U209" t="b">
        <f>L209=_R32Matchups[[#This Row],[1A vs]]</f>
        <v>1</v>
      </c>
      <c r="V209" t="b">
        <f>M209=_R32Matchups[[#This Row],[1B vs]]</f>
        <v>1</v>
      </c>
      <c r="W209" t="b">
        <f>N209=_R32Matchups[[#This Row],[1D vs]]</f>
        <v>1</v>
      </c>
      <c r="X209" t="b">
        <f>O209=_R32Matchups[[#This Row],[1E vs]]</f>
        <v>1</v>
      </c>
      <c r="Y209" t="b">
        <f>P209=_R32Matchups[[#This Row],[1G vs]]</f>
        <v>1</v>
      </c>
      <c r="Z209" t="b">
        <f>Q209=_R32Matchups[[#This Row],[1I vs]]</f>
        <v>1</v>
      </c>
      <c r="AA209" t="b">
        <f>R209=_R32Matchups[[#This Row],[1K vs]]</f>
        <v>1</v>
      </c>
      <c r="AB209" t="b">
        <f>S209=_R32Matchups[[#This Row],[1L vs]]</f>
        <v>1</v>
      </c>
    </row>
    <row r="210" spans="1:28" ht="14.4">
      <c r="A210" s="2" t="s">
        <v>229</v>
      </c>
      <c r="B210" s="2" t="s">
        <v>10</v>
      </c>
      <c r="C210" s="2" t="s">
        <v>11</v>
      </c>
      <c r="D210" s="2" t="s">
        <v>12</v>
      </c>
      <c r="E210" s="2" t="s">
        <v>28</v>
      </c>
      <c r="F210" s="2" t="s">
        <v>186</v>
      </c>
      <c r="G210" s="2" t="s">
        <v>14</v>
      </c>
      <c r="H210" s="2" t="s">
        <v>16</v>
      </c>
      <c r="I210" s="2" t="s">
        <v>17</v>
      </c>
      <c r="K210" t="s">
        <v>229</v>
      </c>
      <c r="L210" t="s">
        <v>10</v>
      </c>
      <c r="M210" t="s">
        <v>11</v>
      </c>
      <c r="N210" t="s">
        <v>12</v>
      </c>
      <c r="O210" t="s">
        <v>28</v>
      </c>
      <c r="P210" t="s">
        <v>186</v>
      </c>
      <c r="Q210" t="s">
        <v>14</v>
      </c>
      <c r="R210" t="s">
        <v>16</v>
      </c>
      <c r="S210" t="s">
        <v>17</v>
      </c>
      <c r="U210" t="b">
        <f>L210=_R32Matchups[[#This Row],[1A vs]]</f>
        <v>1</v>
      </c>
      <c r="V210" t="b">
        <f>M210=_R32Matchups[[#This Row],[1B vs]]</f>
        <v>1</v>
      </c>
      <c r="W210" t="b">
        <f>N210=_R32Matchups[[#This Row],[1D vs]]</f>
        <v>1</v>
      </c>
      <c r="X210" t="b">
        <f>O210=_R32Matchups[[#This Row],[1E vs]]</f>
        <v>1</v>
      </c>
      <c r="Y210" t="b">
        <f>P210=_R32Matchups[[#This Row],[1G vs]]</f>
        <v>1</v>
      </c>
      <c r="Z210" t="b">
        <f>Q210=_R32Matchups[[#This Row],[1I vs]]</f>
        <v>1</v>
      </c>
      <c r="AA210" t="b">
        <f>R210=_R32Matchups[[#This Row],[1K vs]]</f>
        <v>1</v>
      </c>
      <c r="AB210" t="b">
        <f>S210=_R32Matchups[[#This Row],[1L vs]]</f>
        <v>1</v>
      </c>
    </row>
    <row r="211" spans="1:28" ht="14.4">
      <c r="A211" s="2" t="s">
        <v>230</v>
      </c>
      <c r="B211" s="2" t="s">
        <v>10</v>
      </c>
      <c r="C211" s="2" t="s">
        <v>11</v>
      </c>
      <c r="D211" s="2" t="s">
        <v>12</v>
      </c>
      <c r="E211" s="2" t="s">
        <v>28</v>
      </c>
      <c r="F211" s="2" t="s">
        <v>186</v>
      </c>
      <c r="G211" s="2" t="s">
        <v>15</v>
      </c>
      <c r="H211" s="2" t="s">
        <v>16</v>
      </c>
      <c r="I211" s="2" t="s">
        <v>17</v>
      </c>
      <c r="K211" t="s">
        <v>230</v>
      </c>
      <c r="L211" t="s">
        <v>10</v>
      </c>
      <c r="M211" t="s">
        <v>11</v>
      </c>
      <c r="N211" t="s">
        <v>12</v>
      </c>
      <c r="O211" t="s">
        <v>28</v>
      </c>
      <c r="P211" t="s">
        <v>186</v>
      </c>
      <c r="Q211" t="s">
        <v>15</v>
      </c>
      <c r="R211" t="s">
        <v>16</v>
      </c>
      <c r="S211" t="s">
        <v>17</v>
      </c>
      <c r="U211" t="b">
        <f>L211=_R32Matchups[[#This Row],[1A vs]]</f>
        <v>1</v>
      </c>
      <c r="V211" t="b">
        <f>M211=_R32Matchups[[#This Row],[1B vs]]</f>
        <v>1</v>
      </c>
      <c r="W211" t="b">
        <f>N211=_R32Matchups[[#This Row],[1D vs]]</f>
        <v>1</v>
      </c>
      <c r="X211" t="b">
        <f>O211=_R32Matchups[[#This Row],[1E vs]]</f>
        <v>1</v>
      </c>
      <c r="Y211" t="b">
        <f>P211=_R32Matchups[[#This Row],[1G vs]]</f>
        <v>1</v>
      </c>
      <c r="Z211" t="b">
        <f>Q211=_R32Matchups[[#This Row],[1I vs]]</f>
        <v>1</v>
      </c>
      <c r="AA211" t="b">
        <f>R211=_R32Matchups[[#This Row],[1K vs]]</f>
        <v>1</v>
      </c>
      <c r="AB211" t="b">
        <f>S211=_R32Matchups[[#This Row],[1L vs]]</f>
        <v>1</v>
      </c>
    </row>
    <row r="212" spans="1:28" ht="14.4">
      <c r="A212" s="2" t="s">
        <v>231</v>
      </c>
      <c r="B212" s="2" t="s">
        <v>10</v>
      </c>
      <c r="C212" s="2" t="s">
        <v>15</v>
      </c>
      <c r="D212" s="2" t="s">
        <v>11</v>
      </c>
      <c r="E212" s="2" t="s">
        <v>28</v>
      </c>
      <c r="F212" s="2" t="s">
        <v>186</v>
      </c>
      <c r="G212" s="2" t="s">
        <v>14</v>
      </c>
      <c r="H212" s="2" t="s">
        <v>16</v>
      </c>
      <c r="I212" s="2" t="s">
        <v>17</v>
      </c>
      <c r="K212" t="s">
        <v>231</v>
      </c>
      <c r="L212" t="s">
        <v>10</v>
      </c>
      <c r="M212" t="s">
        <v>15</v>
      </c>
      <c r="N212" t="s">
        <v>11</v>
      </c>
      <c r="O212" t="s">
        <v>28</v>
      </c>
      <c r="P212" t="s">
        <v>186</v>
      </c>
      <c r="Q212" t="s">
        <v>14</v>
      </c>
      <c r="R212" t="s">
        <v>16</v>
      </c>
      <c r="S212" t="s">
        <v>17</v>
      </c>
      <c r="U212" t="b">
        <f>L212=_R32Matchups[[#This Row],[1A vs]]</f>
        <v>1</v>
      </c>
      <c r="V212" t="b">
        <f>M212=_R32Matchups[[#This Row],[1B vs]]</f>
        <v>1</v>
      </c>
      <c r="W212" t="b">
        <f>N212=_R32Matchups[[#This Row],[1D vs]]</f>
        <v>1</v>
      </c>
      <c r="X212" t="b">
        <f>O212=_R32Matchups[[#This Row],[1E vs]]</f>
        <v>1</v>
      </c>
      <c r="Y212" t="b">
        <f>P212=_R32Matchups[[#This Row],[1G vs]]</f>
        <v>1</v>
      </c>
      <c r="Z212" t="b">
        <f>Q212=_R32Matchups[[#This Row],[1I vs]]</f>
        <v>1</v>
      </c>
      <c r="AA212" t="b">
        <f>R212=_R32Matchups[[#This Row],[1K vs]]</f>
        <v>1</v>
      </c>
      <c r="AB212" t="b">
        <f>S212=_R32Matchups[[#This Row],[1L vs]]</f>
        <v>1</v>
      </c>
    </row>
    <row r="213" spans="1:28" ht="14.4">
      <c r="A213" s="2" t="s">
        <v>232</v>
      </c>
      <c r="B213" s="2" t="s">
        <v>10</v>
      </c>
      <c r="C213" s="2" t="s">
        <v>15</v>
      </c>
      <c r="D213" s="2" t="s">
        <v>12</v>
      </c>
      <c r="E213" s="2" t="s">
        <v>28</v>
      </c>
      <c r="F213" s="2" t="s">
        <v>186</v>
      </c>
      <c r="G213" s="2" t="s">
        <v>14</v>
      </c>
      <c r="H213" s="2" t="s">
        <v>16</v>
      </c>
      <c r="I213" s="2" t="s">
        <v>17</v>
      </c>
      <c r="K213" t="s">
        <v>232</v>
      </c>
      <c r="L213" t="s">
        <v>10</v>
      </c>
      <c r="M213" t="s">
        <v>15</v>
      </c>
      <c r="N213" t="s">
        <v>12</v>
      </c>
      <c r="O213" t="s">
        <v>28</v>
      </c>
      <c r="P213" t="s">
        <v>186</v>
      </c>
      <c r="Q213" t="s">
        <v>14</v>
      </c>
      <c r="R213" t="s">
        <v>16</v>
      </c>
      <c r="S213" t="s">
        <v>17</v>
      </c>
      <c r="U213" t="b">
        <f>L213=_R32Matchups[[#This Row],[1A vs]]</f>
        <v>1</v>
      </c>
      <c r="V213" t="b">
        <f>M213=_R32Matchups[[#This Row],[1B vs]]</f>
        <v>1</v>
      </c>
      <c r="W213" t="b">
        <f>N213=_R32Matchups[[#This Row],[1D vs]]</f>
        <v>1</v>
      </c>
      <c r="X213" t="b">
        <f>O213=_R32Matchups[[#This Row],[1E vs]]</f>
        <v>1</v>
      </c>
      <c r="Y213" t="b">
        <f>P213=_R32Matchups[[#This Row],[1G vs]]</f>
        <v>1</v>
      </c>
      <c r="Z213" t="b">
        <f>Q213=_R32Matchups[[#This Row],[1I vs]]</f>
        <v>1</v>
      </c>
      <c r="AA213" t="b">
        <f>R213=_R32Matchups[[#This Row],[1K vs]]</f>
        <v>1</v>
      </c>
      <c r="AB213" t="b">
        <f>S213=_R32Matchups[[#This Row],[1L vs]]</f>
        <v>1</v>
      </c>
    </row>
    <row r="214" spans="1:28" ht="14.4">
      <c r="A214" s="2" t="s">
        <v>233</v>
      </c>
      <c r="B214" s="2" t="s">
        <v>10</v>
      </c>
      <c r="C214" s="2" t="s">
        <v>15</v>
      </c>
      <c r="D214" s="2" t="s">
        <v>11</v>
      </c>
      <c r="E214" s="2" t="s">
        <v>28</v>
      </c>
      <c r="F214" s="2" t="s">
        <v>186</v>
      </c>
      <c r="G214" s="2" t="s">
        <v>14</v>
      </c>
      <c r="H214" s="2" t="s">
        <v>16</v>
      </c>
      <c r="I214" s="2" t="s">
        <v>12</v>
      </c>
      <c r="K214" t="s">
        <v>233</v>
      </c>
      <c r="L214" t="s">
        <v>10</v>
      </c>
      <c r="M214" t="s">
        <v>15</v>
      </c>
      <c r="N214" t="s">
        <v>11</v>
      </c>
      <c r="O214" t="s">
        <v>28</v>
      </c>
      <c r="P214" t="s">
        <v>186</v>
      </c>
      <c r="Q214" t="s">
        <v>14</v>
      </c>
      <c r="R214" t="s">
        <v>16</v>
      </c>
      <c r="S214" t="s">
        <v>12</v>
      </c>
      <c r="U214" t="b">
        <f>L214=_R32Matchups[[#This Row],[1A vs]]</f>
        <v>1</v>
      </c>
      <c r="V214" t="b">
        <f>M214=_R32Matchups[[#This Row],[1B vs]]</f>
        <v>1</v>
      </c>
      <c r="W214" t="b">
        <f>N214=_R32Matchups[[#This Row],[1D vs]]</f>
        <v>1</v>
      </c>
      <c r="X214" t="b">
        <f>O214=_R32Matchups[[#This Row],[1E vs]]</f>
        <v>1</v>
      </c>
      <c r="Y214" t="b">
        <f>P214=_R32Matchups[[#This Row],[1G vs]]</f>
        <v>1</v>
      </c>
      <c r="Z214" t="b">
        <f>Q214=_R32Matchups[[#This Row],[1I vs]]</f>
        <v>1</v>
      </c>
      <c r="AA214" t="b">
        <f>R214=_R32Matchups[[#This Row],[1K vs]]</f>
        <v>1</v>
      </c>
      <c r="AB214" t="b">
        <f>S214=_R32Matchups[[#This Row],[1L vs]]</f>
        <v>1</v>
      </c>
    </row>
    <row r="215" spans="1:28" ht="14.4">
      <c r="A215" s="2" t="s">
        <v>234</v>
      </c>
      <c r="B215" s="2" t="s">
        <v>10</v>
      </c>
      <c r="C215" s="2" t="s">
        <v>15</v>
      </c>
      <c r="D215" s="2" t="s">
        <v>11</v>
      </c>
      <c r="E215" s="2" t="s">
        <v>28</v>
      </c>
      <c r="F215" s="2" t="s">
        <v>186</v>
      </c>
      <c r="G215" s="2" t="s">
        <v>14</v>
      </c>
      <c r="H215" s="2" t="s">
        <v>12</v>
      </c>
      <c r="I215" s="2" t="s">
        <v>17</v>
      </c>
      <c r="K215" t="s">
        <v>234</v>
      </c>
      <c r="L215" t="s">
        <v>10</v>
      </c>
      <c r="M215" t="s">
        <v>15</v>
      </c>
      <c r="N215" t="s">
        <v>11</v>
      </c>
      <c r="O215" t="s">
        <v>28</v>
      </c>
      <c r="P215" t="s">
        <v>186</v>
      </c>
      <c r="Q215" t="s">
        <v>14</v>
      </c>
      <c r="R215" t="s">
        <v>12</v>
      </c>
      <c r="S215" t="s">
        <v>17</v>
      </c>
      <c r="U215" t="b">
        <f>L215=_R32Matchups[[#This Row],[1A vs]]</f>
        <v>1</v>
      </c>
      <c r="V215" t="b">
        <f>M215=_R32Matchups[[#This Row],[1B vs]]</f>
        <v>1</v>
      </c>
      <c r="W215" t="b">
        <f>N215=_R32Matchups[[#This Row],[1D vs]]</f>
        <v>1</v>
      </c>
      <c r="X215" t="b">
        <f>O215=_R32Matchups[[#This Row],[1E vs]]</f>
        <v>1</v>
      </c>
      <c r="Y215" t="b">
        <f>P215=_R32Matchups[[#This Row],[1G vs]]</f>
        <v>1</v>
      </c>
      <c r="Z215" t="b">
        <f>Q215=_R32Matchups[[#This Row],[1I vs]]</f>
        <v>1</v>
      </c>
      <c r="AA215" t="b">
        <f>R215=_R32Matchups[[#This Row],[1K vs]]</f>
        <v>1</v>
      </c>
      <c r="AB215" t="b">
        <f>S215=_R32Matchups[[#This Row],[1L vs]]</f>
        <v>1</v>
      </c>
    </row>
    <row r="216" spans="1:28" ht="14.4">
      <c r="A216" s="2" t="s">
        <v>235</v>
      </c>
      <c r="B216" s="2" t="s">
        <v>10</v>
      </c>
      <c r="C216" s="2" t="s">
        <v>11</v>
      </c>
      <c r="D216" s="2" t="s">
        <v>12</v>
      </c>
      <c r="E216" s="2" t="s">
        <v>28</v>
      </c>
      <c r="F216" s="2" t="s">
        <v>186</v>
      </c>
      <c r="G216" s="2" t="s">
        <v>13</v>
      </c>
      <c r="H216" s="2" t="s">
        <v>16</v>
      </c>
      <c r="I216" s="2" t="s">
        <v>17</v>
      </c>
      <c r="K216" t="s">
        <v>235</v>
      </c>
      <c r="L216" t="s">
        <v>10</v>
      </c>
      <c r="M216" t="s">
        <v>11</v>
      </c>
      <c r="N216" t="s">
        <v>12</v>
      </c>
      <c r="O216" t="s">
        <v>28</v>
      </c>
      <c r="P216" t="s">
        <v>186</v>
      </c>
      <c r="Q216" t="s">
        <v>13</v>
      </c>
      <c r="R216" t="s">
        <v>16</v>
      </c>
      <c r="S216" t="s">
        <v>17</v>
      </c>
      <c r="U216" t="b">
        <f>L216=_R32Matchups[[#This Row],[1A vs]]</f>
        <v>1</v>
      </c>
      <c r="V216" t="b">
        <f>M216=_R32Matchups[[#This Row],[1B vs]]</f>
        <v>1</v>
      </c>
      <c r="W216" t="b">
        <f>N216=_R32Matchups[[#This Row],[1D vs]]</f>
        <v>1</v>
      </c>
      <c r="X216" t="b">
        <f>O216=_R32Matchups[[#This Row],[1E vs]]</f>
        <v>1</v>
      </c>
      <c r="Y216" t="b">
        <f>P216=_R32Matchups[[#This Row],[1G vs]]</f>
        <v>1</v>
      </c>
      <c r="Z216" t="b">
        <f>Q216=_R32Matchups[[#This Row],[1I vs]]</f>
        <v>1</v>
      </c>
      <c r="AA216" t="b">
        <f>R216=_R32Matchups[[#This Row],[1K vs]]</f>
        <v>1</v>
      </c>
      <c r="AB216" t="b">
        <f>S216=_R32Matchups[[#This Row],[1L vs]]</f>
        <v>1</v>
      </c>
    </row>
    <row r="217" spans="1:28" ht="14.4">
      <c r="A217" s="2" t="s">
        <v>236</v>
      </c>
      <c r="B217" s="2" t="s">
        <v>14</v>
      </c>
      <c r="C217" s="2" t="s">
        <v>11</v>
      </c>
      <c r="D217" s="2" t="s">
        <v>10</v>
      </c>
      <c r="E217" s="2" t="s">
        <v>28</v>
      </c>
      <c r="F217" s="2" t="s">
        <v>186</v>
      </c>
      <c r="G217" s="2" t="s">
        <v>13</v>
      </c>
      <c r="H217" s="2" t="s">
        <v>16</v>
      </c>
      <c r="I217" s="2" t="s">
        <v>17</v>
      </c>
      <c r="K217" t="s">
        <v>236</v>
      </c>
      <c r="L217" t="s">
        <v>14</v>
      </c>
      <c r="M217" t="s">
        <v>11</v>
      </c>
      <c r="N217" t="s">
        <v>10</v>
      </c>
      <c r="O217" t="s">
        <v>28</v>
      </c>
      <c r="P217" t="s">
        <v>186</v>
      </c>
      <c r="Q217" t="s">
        <v>13</v>
      </c>
      <c r="R217" t="s">
        <v>16</v>
      </c>
      <c r="S217" t="s">
        <v>17</v>
      </c>
      <c r="U217" t="b">
        <f>L217=_R32Matchups[[#This Row],[1A vs]]</f>
        <v>1</v>
      </c>
      <c r="V217" t="b">
        <f>M217=_R32Matchups[[#This Row],[1B vs]]</f>
        <v>1</v>
      </c>
      <c r="W217" t="b">
        <f>N217=_R32Matchups[[#This Row],[1D vs]]</f>
        <v>1</v>
      </c>
      <c r="X217" t="b">
        <f>O217=_R32Matchups[[#This Row],[1E vs]]</f>
        <v>1</v>
      </c>
      <c r="Y217" t="b">
        <f>P217=_R32Matchups[[#This Row],[1G vs]]</f>
        <v>1</v>
      </c>
      <c r="Z217" t="b">
        <f>Q217=_R32Matchups[[#This Row],[1I vs]]</f>
        <v>1</v>
      </c>
      <c r="AA217" t="b">
        <f>R217=_R32Matchups[[#This Row],[1K vs]]</f>
        <v>1</v>
      </c>
      <c r="AB217" t="b">
        <f>S217=_R32Matchups[[#This Row],[1L vs]]</f>
        <v>1</v>
      </c>
    </row>
    <row r="218" spans="1:28" ht="14.4">
      <c r="A218" s="2" t="s">
        <v>237</v>
      </c>
      <c r="B218" s="2" t="s">
        <v>14</v>
      </c>
      <c r="C218" s="2" t="s">
        <v>10</v>
      </c>
      <c r="D218" s="2" t="s">
        <v>12</v>
      </c>
      <c r="E218" s="2" t="s">
        <v>28</v>
      </c>
      <c r="F218" s="2" t="s">
        <v>186</v>
      </c>
      <c r="G218" s="2" t="s">
        <v>13</v>
      </c>
      <c r="H218" s="2" t="s">
        <v>16</v>
      </c>
      <c r="I218" s="2" t="s">
        <v>17</v>
      </c>
      <c r="K218" t="s">
        <v>237</v>
      </c>
      <c r="L218" t="s">
        <v>14</v>
      </c>
      <c r="M218" t="s">
        <v>10</v>
      </c>
      <c r="N218" t="s">
        <v>12</v>
      </c>
      <c r="O218" t="s">
        <v>28</v>
      </c>
      <c r="P218" t="s">
        <v>186</v>
      </c>
      <c r="Q218" t="s">
        <v>13</v>
      </c>
      <c r="R218" t="s">
        <v>16</v>
      </c>
      <c r="S218" t="s">
        <v>17</v>
      </c>
      <c r="U218" t="b">
        <f>L218=_R32Matchups[[#This Row],[1A vs]]</f>
        <v>1</v>
      </c>
      <c r="V218" t="b">
        <f>M218=_R32Matchups[[#This Row],[1B vs]]</f>
        <v>1</v>
      </c>
      <c r="W218" t="b">
        <f>N218=_R32Matchups[[#This Row],[1D vs]]</f>
        <v>1</v>
      </c>
      <c r="X218" t="b">
        <f>O218=_R32Matchups[[#This Row],[1E vs]]</f>
        <v>1</v>
      </c>
      <c r="Y218" t="b">
        <f>P218=_R32Matchups[[#This Row],[1G vs]]</f>
        <v>1</v>
      </c>
      <c r="Z218" t="b">
        <f>Q218=_R32Matchups[[#This Row],[1I vs]]</f>
        <v>1</v>
      </c>
      <c r="AA218" t="b">
        <f>R218=_R32Matchups[[#This Row],[1K vs]]</f>
        <v>1</v>
      </c>
      <c r="AB218" t="b">
        <f>S218=_R32Matchups[[#This Row],[1L vs]]</f>
        <v>1</v>
      </c>
    </row>
    <row r="219" spans="1:28" ht="14.4">
      <c r="A219" s="2" t="s">
        <v>238</v>
      </c>
      <c r="B219" s="2" t="s">
        <v>14</v>
      </c>
      <c r="C219" s="2" t="s">
        <v>11</v>
      </c>
      <c r="D219" s="2" t="s">
        <v>10</v>
      </c>
      <c r="E219" s="2" t="s">
        <v>28</v>
      </c>
      <c r="F219" s="2" t="s">
        <v>186</v>
      </c>
      <c r="G219" s="2" t="s">
        <v>13</v>
      </c>
      <c r="H219" s="2" t="s">
        <v>16</v>
      </c>
      <c r="I219" s="2" t="s">
        <v>12</v>
      </c>
      <c r="K219" t="s">
        <v>238</v>
      </c>
      <c r="L219" t="s">
        <v>14</v>
      </c>
      <c r="M219" t="s">
        <v>11</v>
      </c>
      <c r="N219" t="s">
        <v>10</v>
      </c>
      <c r="O219" t="s">
        <v>28</v>
      </c>
      <c r="P219" t="s">
        <v>186</v>
      </c>
      <c r="Q219" t="s">
        <v>13</v>
      </c>
      <c r="R219" t="s">
        <v>16</v>
      </c>
      <c r="S219" t="s">
        <v>12</v>
      </c>
      <c r="U219" t="b">
        <f>L219=_R32Matchups[[#This Row],[1A vs]]</f>
        <v>1</v>
      </c>
      <c r="V219" t="b">
        <f>M219=_R32Matchups[[#This Row],[1B vs]]</f>
        <v>1</v>
      </c>
      <c r="W219" t="b">
        <f>N219=_R32Matchups[[#This Row],[1D vs]]</f>
        <v>1</v>
      </c>
      <c r="X219" t="b">
        <f>O219=_R32Matchups[[#This Row],[1E vs]]</f>
        <v>1</v>
      </c>
      <c r="Y219" t="b">
        <f>P219=_R32Matchups[[#This Row],[1G vs]]</f>
        <v>1</v>
      </c>
      <c r="Z219" t="b">
        <f>Q219=_R32Matchups[[#This Row],[1I vs]]</f>
        <v>1</v>
      </c>
      <c r="AA219" t="b">
        <f>R219=_R32Matchups[[#This Row],[1K vs]]</f>
        <v>1</v>
      </c>
      <c r="AB219" t="b">
        <f>S219=_R32Matchups[[#This Row],[1L vs]]</f>
        <v>1</v>
      </c>
    </row>
    <row r="220" spans="1:28" ht="14.4">
      <c r="A220" s="2" t="s">
        <v>239</v>
      </c>
      <c r="B220" s="2" t="s">
        <v>14</v>
      </c>
      <c r="C220" s="2" t="s">
        <v>11</v>
      </c>
      <c r="D220" s="2" t="s">
        <v>10</v>
      </c>
      <c r="E220" s="2" t="s">
        <v>28</v>
      </c>
      <c r="F220" s="2" t="s">
        <v>186</v>
      </c>
      <c r="G220" s="2" t="s">
        <v>13</v>
      </c>
      <c r="H220" s="2" t="s">
        <v>12</v>
      </c>
      <c r="I220" s="2" t="s">
        <v>17</v>
      </c>
      <c r="K220" t="s">
        <v>239</v>
      </c>
      <c r="L220" t="s">
        <v>14</v>
      </c>
      <c r="M220" t="s">
        <v>11</v>
      </c>
      <c r="N220" t="s">
        <v>10</v>
      </c>
      <c r="O220" t="s">
        <v>28</v>
      </c>
      <c r="P220" t="s">
        <v>186</v>
      </c>
      <c r="Q220" t="s">
        <v>13</v>
      </c>
      <c r="R220" t="s">
        <v>12</v>
      </c>
      <c r="S220" t="s">
        <v>17</v>
      </c>
      <c r="U220" t="b">
        <f>L220=_R32Matchups[[#This Row],[1A vs]]</f>
        <v>1</v>
      </c>
      <c r="V220" t="b">
        <f>M220=_R32Matchups[[#This Row],[1B vs]]</f>
        <v>1</v>
      </c>
      <c r="W220" t="b">
        <f>N220=_R32Matchups[[#This Row],[1D vs]]</f>
        <v>1</v>
      </c>
      <c r="X220" t="b">
        <f>O220=_R32Matchups[[#This Row],[1E vs]]</f>
        <v>1</v>
      </c>
      <c r="Y220" t="b">
        <f>P220=_R32Matchups[[#This Row],[1G vs]]</f>
        <v>1</v>
      </c>
      <c r="Z220" t="b">
        <f>Q220=_R32Matchups[[#This Row],[1I vs]]</f>
        <v>1</v>
      </c>
      <c r="AA220" t="b">
        <f>R220=_R32Matchups[[#This Row],[1K vs]]</f>
        <v>1</v>
      </c>
      <c r="AB220" t="b">
        <f>S220=_R32Matchups[[#This Row],[1L vs]]</f>
        <v>1</v>
      </c>
    </row>
    <row r="221" spans="1:28" ht="14.4">
      <c r="A221" s="2" t="s">
        <v>240</v>
      </c>
      <c r="B221" s="2" t="s">
        <v>10</v>
      </c>
      <c r="C221" s="2" t="s">
        <v>15</v>
      </c>
      <c r="D221" s="2" t="s">
        <v>11</v>
      </c>
      <c r="E221" s="2" t="s">
        <v>28</v>
      </c>
      <c r="F221" s="2" t="s">
        <v>186</v>
      </c>
      <c r="G221" s="2" t="s">
        <v>13</v>
      </c>
      <c r="H221" s="2" t="s">
        <v>16</v>
      </c>
      <c r="I221" s="2" t="s">
        <v>17</v>
      </c>
      <c r="K221" t="s">
        <v>240</v>
      </c>
      <c r="L221" t="s">
        <v>10</v>
      </c>
      <c r="M221" t="s">
        <v>15</v>
      </c>
      <c r="N221" t="s">
        <v>11</v>
      </c>
      <c r="O221" t="s">
        <v>28</v>
      </c>
      <c r="P221" t="s">
        <v>186</v>
      </c>
      <c r="Q221" t="s">
        <v>13</v>
      </c>
      <c r="R221" t="s">
        <v>16</v>
      </c>
      <c r="S221" t="s">
        <v>17</v>
      </c>
      <c r="U221" t="b">
        <f>L221=_R32Matchups[[#This Row],[1A vs]]</f>
        <v>1</v>
      </c>
      <c r="V221" t="b">
        <f>M221=_R32Matchups[[#This Row],[1B vs]]</f>
        <v>1</v>
      </c>
      <c r="W221" t="b">
        <f>N221=_R32Matchups[[#This Row],[1D vs]]</f>
        <v>1</v>
      </c>
      <c r="X221" t="b">
        <f>O221=_R32Matchups[[#This Row],[1E vs]]</f>
        <v>1</v>
      </c>
      <c r="Y221" t="b">
        <f>P221=_R32Matchups[[#This Row],[1G vs]]</f>
        <v>1</v>
      </c>
      <c r="Z221" t="b">
        <f>Q221=_R32Matchups[[#This Row],[1I vs]]</f>
        <v>1</v>
      </c>
      <c r="AA221" t="b">
        <f>R221=_R32Matchups[[#This Row],[1K vs]]</f>
        <v>1</v>
      </c>
      <c r="AB221" t="b">
        <f>S221=_R32Matchups[[#This Row],[1L vs]]</f>
        <v>1</v>
      </c>
    </row>
    <row r="222" spans="1:28" ht="14.4">
      <c r="A222" s="2" t="s">
        <v>241</v>
      </c>
      <c r="B222" s="2" t="s">
        <v>10</v>
      </c>
      <c r="C222" s="2" t="s">
        <v>15</v>
      </c>
      <c r="D222" s="2" t="s">
        <v>12</v>
      </c>
      <c r="E222" s="2" t="s">
        <v>28</v>
      </c>
      <c r="F222" s="2" t="s">
        <v>186</v>
      </c>
      <c r="G222" s="2" t="s">
        <v>13</v>
      </c>
      <c r="H222" s="2" t="s">
        <v>16</v>
      </c>
      <c r="I222" s="2" t="s">
        <v>17</v>
      </c>
      <c r="K222" t="s">
        <v>241</v>
      </c>
      <c r="L222" t="s">
        <v>10</v>
      </c>
      <c r="M222" t="s">
        <v>15</v>
      </c>
      <c r="N222" t="s">
        <v>12</v>
      </c>
      <c r="O222" t="s">
        <v>28</v>
      </c>
      <c r="P222" t="s">
        <v>186</v>
      </c>
      <c r="Q222" t="s">
        <v>13</v>
      </c>
      <c r="R222" t="s">
        <v>16</v>
      </c>
      <c r="S222" t="s">
        <v>17</v>
      </c>
      <c r="U222" t="b">
        <f>L222=_R32Matchups[[#This Row],[1A vs]]</f>
        <v>1</v>
      </c>
      <c r="V222" t="b">
        <f>M222=_R32Matchups[[#This Row],[1B vs]]</f>
        <v>1</v>
      </c>
      <c r="W222" t="b">
        <f>N222=_R32Matchups[[#This Row],[1D vs]]</f>
        <v>1</v>
      </c>
      <c r="X222" t="b">
        <f>O222=_R32Matchups[[#This Row],[1E vs]]</f>
        <v>1</v>
      </c>
      <c r="Y222" t="b">
        <f>P222=_R32Matchups[[#This Row],[1G vs]]</f>
        <v>1</v>
      </c>
      <c r="Z222" t="b">
        <f>Q222=_R32Matchups[[#This Row],[1I vs]]</f>
        <v>1</v>
      </c>
      <c r="AA222" t="b">
        <f>R222=_R32Matchups[[#This Row],[1K vs]]</f>
        <v>1</v>
      </c>
      <c r="AB222" t="b">
        <f>S222=_R32Matchups[[#This Row],[1L vs]]</f>
        <v>1</v>
      </c>
    </row>
    <row r="223" spans="1:28" ht="14.4">
      <c r="A223" s="2" t="s">
        <v>242</v>
      </c>
      <c r="B223" s="2" t="s">
        <v>10</v>
      </c>
      <c r="C223" s="2" t="s">
        <v>15</v>
      </c>
      <c r="D223" s="2" t="s">
        <v>11</v>
      </c>
      <c r="E223" s="2" t="s">
        <v>28</v>
      </c>
      <c r="F223" s="2" t="s">
        <v>186</v>
      </c>
      <c r="G223" s="2" t="s">
        <v>13</v>
      </c>
      <c r="H223" s="2" t="s">
        <v>16</v>
      </c>
      <c r="I223" s="2" t="s">
        <v>12</v>
      </c>
      <c r="K223" t="s">
        <v>242</v>
      </c>
      <c r="L223" t="s">
        <v>10</v>
      </c>
      <c r="M223" t="s">
        <v>15</v>
      </c>
      <c r="N223" t="s">
        <v>11</v>
      </c>
      <c r="O223" t="s">
        <v>28</v>
      </c>
      <c r="P223" t="s">
        <v>186</v>
      </c>
      <c r="Q223" t="s">
        <v>13</v>
      </c>
      <c r="R223" t="s">
        <v>16</v>
      </c>
      <c r="S223" t="s">
        <v>12</v>
      </c>
      <c r="U223" t="b">
        <f>L223=_R32Matchups[[#This Row],[1A vs]]</f>
        <v>1</v>
      </c>
      <c r="V223" t="b">
        <f>M223=_R32Matchups[[#This Row],[1B vs]]</f>
        <v>1</v>
      </c>
      <c r="W223" t="b">
        <f>N223=_R32Matchups[[#This Row],[1D vs]]</f>
        <v>1</v>
      </c>
      <c r="X223" t="b">
        <f>O223=_R32Matchups[[#This Row],[1E vs]]</f>
        <v>1</v>
      </c>
      <c r="Y223" t="b">
        <f>P223=_R32Matchups[[#This Row],[1G vs]]</f>
        <v>1</v>
      </c>
      <c r="Z223" t="b">
        <f>Q223=_R32Matchups[[#This Row],[1I vs]]</f>
        <v>1</v>
      </c>
      <c r="AA223" t="b">
        <f>R223=_R32Matchups[[#This Row],[1K vs]]</f>
        <v>1</v>
      </c>
      <c r="AB223" t="b">
        <f>S223=_R32Matchups[[#This Row],[1L vs]]</f>
        <v>1</v>
      </c>
    </row>
    <row r="224" spans="1:28" ht="14.4">
      <c r="A224" s="2" t="s">
        <v>243</v>
      </c>
      <c r="B224" s="2" t="s">
        <v>10</v>
      </c>
      <c r="C224" s="2" t="s">
        <v>15</v>
      </c>
      <c r="D224" s="2" t="s">
        <v>11</v>
      </c>
      <c r="E224" s="2" t="s">
        <v>28</v>
      </c>
      <c r="F224" s="2" t="s">
        <v>186</v>
      </c>
      <c r="G224" s="2" t="s">
        <v>13</v>
      </c>
      <c r="H224" s="2" t="s">
        <v>12</v>
      </c>
      <c r="I224" s="2" t="s">
        <v>17</v>
      </c>
      <c r="K224" t="s">
        <v>243</v>
      </c>
      <c r="L224" t="s">
        <v>10</v>
      </c>
      <c r="M224" t="s">
        <v>15</v>
      </c>
      <c r="N224" t="s">
        <v>11</v>
      </c>
      <c r="O224" t="s">
        <v>28</v>
      </c>
      <c r="P224" t="s">
        <v>186</v>
      </c>
      <c r="Q224" t="s">
        <v>13</v>
      </c>
      <c r="R224" t="s">
        <v>12</v>
      </c>
      <c r="S224" t="s">
        <v>17</v>
      </c>
      <c r="U224" t="b">
        <f>L224=_R32Matchups[[#This Row],[1A vs]]</f>
        <v>1</v>
      </c>
      <c r="V224" t="b">
        <f>M224=_R32Matchups[[#This Row],[1B vs]]</f>
        <v>1</v>
      </c>
      <c r="W224" t="b">
        <f>N224=_R32Matchups[[#This Row],[1D vs]]</f>
        <v>1</v>
      </c>
      <c r="X224" t="b">
        <f>O224=_R32Matchups[[#This Row],[1E vs]]</f>
        <v>1</v>
      </c>
      <c r="Y224" t="b">
        <f>P224=_R32Matchups[[#This Row],[1G vs]]</f>
        <v>1</v>
      </c>
      <c r="Z224" t="b">
        <f>Q224=_R32Matchups[[#This Row],[1I vs]]</f>
        <v>1</v>
      </c>
      <c r="AA224" t="b">
        <f>R224=_R32Matchups[[#This Row],[1K vs]]</f>
        <v>1</v>
      </c>
      <c r="AB224" t="b">
        <f>S224=_R32Matchups[[#This Row],[1L vs]]</f>
        <v>1</v>
      </c>
    </row>
    <row r="225" spans="1:28" ht="14.4">
      <c r="A225" s="2" t="s">
        <v>244</v>
      </c>
      <c r="B225" s="2" t="s">
        <v>14</v>
      </c>
      <c r="C225" s="2" t="s">
        <v>15</v>
      </c>
      <c r="D225" s="2" t="s">
        <v>10</v>
      </c>
      <c r="E225" s="2" t="s">
        <v>28</v>
      </c>
      <c r="F225" s="2" t="s">
        <v>186</v>
      </c>
      <c r="G225" s="2" t="s">
        <v>13</v>
      </c>
      <c r="H225" s="2" t="s">
        <v>16</v>
      </c>
      <c r="I225" s="2" t="s">
        <v>17</v>
      </c>
      <c r="K225" t="s">
        <v>244</v>
      </c>
      <c r="L225" t="s">
        <v>14</v>
      </c>
      <c r="M225" t="s">
        <v>15</v>
      </c>
      <c r="N225" t="s">
        <v>10</v>
      </c>
      <c r="O225" t="s">
        <v>28</v>
      </c>
      <c r="P225" t="s">
        <v>186</v>
      </c>
      <c r="Q225" t="s">
        <v>13</v>
      </c>
      <c r="R225" t="s">
        <v>16</v>
      </c>
      <c r="S225" t="s">
        <v>17</v>
      </c>
      <c r="U225" t="b">
        <f>L225=_R32Matchups[[#This Row],[1A vs]]</f>
        <v>1</v>
      </c>
      <c r="V225" t="b">
        <f>M225=_R32Matchups[[#This Row],[1B vs]]</f>
        <v>1</v>
      </c>
      <c r="W225" t="b">
        <f>N225=_R32Matchups[[#This Row],[1D vs]]</f>
        <v>1</v>
      </c>
      <c r="X225" t="b">
        <f>O225=_R32Matchups[[#This Row],[1E vs]]</f>
        <v>1</v>
      </c>
      <c r="Y225" t="b">
        <f>P225=_R32Matchups[[#This Row],[1G vs]]</f>
        <v>1</v>
      </c>
      <c r="Z225" t="b">
        <f>Q225=_R32Matchups[[#This Row],[1I vs]]</f>
        <v>1</v>
      </c>
      <c r="AA225" t="b">
        <f>R225=_R32Matchups[[#This Row],[1K vs]]</f>
        <v>1</v>
      </c>
      <c r="AB225" t="b">
        <f>S225=_R32Matchups[[#This Row],[1L vs]]</f>
        <v>1</v>
      </c>
    </row>
    <row r="226" spans="1:28" ht="14.4">
      <c r="A226" s="2" t="s">
        <v>245</v>
      </c>
      <c r="B226" s="2" t="s">
        <v>14</v>
      </c>
      <c r="C226" s="2" t="s">
        <v>15</v>
      </c>
      <c r="D226" s="2" t="s">
        <v>11</v>
      </c>
      <c r="E226" s="2" t="s">
        <v>28</v>
      </c>
      <c r="F226" s="2" t="s">
        <v>186</v>
      </c>
      <c r="G226" s="2" t="s">
        <v>13</v>
      </c>
      <c r="H226" s="2" t="s">
        <v>16</v>
      </c>
      <c r="I226" s="2" t="s">
        <v>10</v>
      </c>
      <c r="K226" t="s">
        <v>245</v>
      </c>
      <c r="L226" t="s">
        <v>14</v>
      </c>
      <c r="M226" t="s">
        <v>15</v>
      </c>
      <c r="N226" t="s">
        <v>11</v>
      </c>
      <c r="O226" t="s">
        <v>28</v>
      </c>
      <c r="P226" t="s">
        <v>186</v>
      </c>
      <c r="Q226" t="s">
        <v>13</v>
      </c>
      <c r="R226" t="s">
        <v>16</v>
      </c>
      <c r="S226" t="s">
        <v>10</v>
      </c>
      <c r="U226" t="b">
        <f>L226=_R32Matchups[[#This Row],[1A vs]]</f>
        <v>1</v>
      </c>
      <c r="V226" t="b">
        <f>M226=_R32Matchups[[#This Row],[1B vs]]</f>
        <v>1</v>
      </c>
      <c r="W226" t="b">
        <f>N226=_R32Matchups[[#This Row],[1D vs]]</f>
        <v>1</v>
      </c>
      <c r="X226" t="b">
        <f>O226=_R32Matchups[[#This Row],[1E vs]]</f>
        <v>1</v>
      </c>
      <c r="Y226" t="b">
        <f>P226=_R32Matchups[[#This Row],[1G vs]]</f>
        <v>1</v>
      </c>
      <c r="Z226" t="b">
        <f>Q226=_R32Matchups[[#This Row],[1I vs]]</f>
        <v>1</v>
      </c>
      <c r="AA226" t="b">
        <f>R226=_R32Matchups[[#This Row],[1K vs]]</f>
        <v>1</v>
      </c>
      <c r="AB226" t="b">
        <f>S226=_R32Matchups[[#This Row],[1L vs]]</f>
        <v>1</v>
      </c>
    </row>
    <row r="227" spans="1:28" ht="14.4">
      <c r="A227" s="2" t="s">
        <v>246</v>
      </c>
      <c r="B227" s="2" t="s">
        <v>14</v>
      </c>
      <c r="C227" s="2" t="s">
        <v>15</v>
      </c>
      <c r="D227" s="2" t="s">
        <v>11</v>
      </c>
      <c r="E227" s="2" t="s">
        <v>28</v>
      </c>
      <c r="F227" s="2" t="s">
        <v>186</v>
      </c>
      <c r="G227" s="2" t="s">
        <v>13</v>
      </c>
      <c r="H227" s="2" t="s">
        <v>10</v>
      </c>
      <c r="I227" s="2" t="s">
        <v>17</v>
      </c>
      <c r="K227" t="s">
        <v>246</v>
      </c>
      <c r="L227" t="s">
        <v>14</v>
      </c>
      <c r="M227" t="s">
        <v>15</v>
      </c>
      <c r="N227" t="s">
        <v>11</v>
      </c>
      <c r="O227" t="s">
        <v>28</v>
      </c>
      <c r="P227" t="s">
        <v>186</v>
      </c>
      <c r="Q227" t="s">
        <v>13</v>
      </c>
      <c r="R227" t="s">
        <v>10</v>
      </c>
      <c r="S227" t="s">
        <v>17</v>
      </c>
      <c r="U227" t="b">
        <f>L227=_R32Matchups[[#This Row],[1A vs]]</f>
        <v>1</v>
      </c>
      <c r="V227" t="b">
        <f>M227=_R32Matchups[[#This Row],[1B vs]]</f>
        <v>1</v>
      </c>
      <c r="W227" t="b">
        <f>N227=_R32Matchups[[#This Row],[1D vs]]</f>
        <v>1</v>
      </c>
      <c r="X227" t="b">
        <f>O227=_R32Matchups[[#This Row],[1E vs]]</f>
        <v>1</v>
      </c>
      <c r="Y227" t="b">
        <f>P227=_R32Matchups[[#This Row],[1G vs]]</f>
        <v>1</v>
      </c>
      <c r="Z227" t="b">
        <f>Q227=_R32Matchups[[#This Row],[1I vs]]</f>
        <v>1</v>
      </c>
      <c r="AA227" t="b">
        <f>R227=_R32Matchups[[#This Row],[1K vs]]</f>
        <v>1</v>
      </c>
      <c r="AB227" t="b">
        <f>S227=_R32Matchups[[#This Row],[1L vs]]</f>
        <v>1</v>
      </c>
    </row>
    <row r="228" spans="1:28" ht="14.4">
      <c r="A228" s="2" t="s">
        <v>247</v>
      </c>
      <c r="B228" s="2" t="s">
        <v>14</v>
      </c>
      <c r="C228" s="2" t="s">
        <v>15</v>
      </c>
      <c r="D228" s="2" t="s">
        <v>10</v>
      </c>
      <c r="E228" s="2" t="s">
        <v>28</v>
      </c>
      <c r="F228" s="2" t="s">
        <v>186</v>
      </c>
      <c r="G228" s="2" t="s">
        <v>13</v>
      </c>
      <c r="H228" s="2" t="s">
        <v>16</v>
      </c>
      <c r="I228" s="2" t="s">
        <v>12</v>
      </c>
      <c r="K228" t="s">
        <v>247</v>
      </c>
      <c r="L228" t="s">
        <v>14</v>
      </c>
      <c r="M228" t="s">
        <v>15</v>
      </c>
      <c r="N228" t="s">
        <v>10</v>
      </c>
      <c r="O228" t="s">
        <v>28</v>
      </c>
      <c r="P228" t="s">
        <v>186</v>
      </c>
      <c r="Q228" t="s">
        <v>13</v>
      </c>
      <c r="R228" t="s">
        <v>16</v>
      </c>
      <c r="S228" t="s">
        <v>12</v>
      </c>
      <c r="U228" t="b">
        <f>L228=_R32Matchups[[#This Row],[1A vs]]</f>
        <v>1</v>
      </c>
      <c r="V228" t="b">
        <f>M228=_R32Matchups[[#This Row],[1B vs]]</f>
        <v>1</v>
      </c>
      <c r="W228" t="b">
        <f>N228=_R32Matchups[[#This Row],[1D vs]]</f>
        <v>1</v>
      </c>
      <c r="X228" t="b">
        <f>O228=_R32Matchups[[#This Row],[1E vs]]</f>
        <v>1</v>
      </c>
      <c r="Y228" t="b">
        <f>P228=_R32Matchups[[#This Row],[1G vs]]</f>
        <v>1</v>
      </c>
      <c r="Z228" t="b">
        <f>Q228=_R32Matchups[[#This Row],[1I vs]]</f>
        <v>1</v>
      </c>
      <c r="AA228" t="b">
        <f>R228=_R32Matchups[[#This Row],[1K vs]]</f>
        <v>1</v>
      </c>
      <c r="AB228" t="b">
        <f>S228=_R32Matchups[[#This Row],[1L vs]]</f>
        <v>1</v>
      </c>
    </row>
    <row r="229" spans="1:28" ht="14.4">
      <c r="A229" s="2" t="s">
        <v>248</v>
      </c>
      <c r="B229" s="2" t="s">
        <v>14</v>
      </c>
      <c r="C229" s="2" t="s">
        <v>15</v>
      </c>
      <c r="D229" s="2" t="s">
        <v>10</v>
      </c>
      <c r="E229" s="2" t="s">
        <v>28</v>
      </c>
      <c r="F229" s="2" t="s">
        <v>186</v>
      </c>
      <c r="G229" s="2" t="s">
        <v>13</v>
      </c>
      <c r="H229" s="2" t="s">
        <v>12</v>
      </c>
      <c r="I229" s="2" t="s">
        <v>17</v>
      </c>
      <c r="K229" t="s">
        <v>248</v>
      </c>
      <c r="L229" t="s">
        <v>14</v>
      </c>
      <c r="M229" t="s">
        <v>15</v>
      </c>
      <c r="N229" t="s">
        <v>10</v>
      </c>
      <c r="O229" t="s">
        <v>28</v>
      </c>
      <c r="P229" t="s">
        <v>186</v>
      </c>
      <c r="Q229" t="s">
        <v>13</v>
      </c>
      <c r="R229" t="s">
        <v>12</v>
      </c>
      <c r="S229" t="s">
        <v>17</v>
      </c>
      <c r="U229" t="b">
        <f>L229=_R32Matchups[[#This Row],[1A vs]]</f>
        <v>1</v>
      </c>
      <c r="V229" t="b">
        <f>M229=_R32Matchups[[#This Row],[1B vs]]</f>
        <v>1</v>
      </c>
      <c r="W229" t="b">
        <f>N229=_R32Matchups[[#This Row],[1D vs]]</f>
        <v>1</v>
      </c>
      <c r="X229" t="b">
        <f>O229=_R32Matchups[[#This Row],[1E vs]]</f>
        <v>1</v>
      </c>
      <c r="Y229" t="b">
        <f>P229=_R32Matchups[[#This Row],[1G vs]]</f>
        <v>1</v>
      </c>
      <c r="Z229" t="b">
        <f>Q229=_R32Matchups[[#This Row],[1I vs]]</f>
        <v>1</v>
      </c>
      <c r="AA229" t="b">
        <f>R229=_R32Matchups[[#This Row],[1K vs]]</f>
        <v>1</v>
      </c>
      <c r="AB229" t="b">
        <f>S229=_R32Matchups[[#This Row],[1L vs]]</f>
        <v>1</v>
      </c>
    </row>
    <row r="230" spans="1:28" ht="14.4">
      <c r="A230" s="2" t="s">
        <v>249</v>
      </c>
      <c r="B230" s="2" t="s">
        <v>14</v>
      </c>
      <c r="C230" s="2" t="s">
        <v>15</v>
      </c>
      <c r="D230" s="2" t="s">
        <v>11</v>
      </c>
      <c r="E230" s="2" t="s">
        <v>28</v>
      </c>
      <c r="F230" s="2" t="s">
        <v>186</v>
      </c>
      <c r="G230" s="2" t="s">
        <v>13</v>
      </c>
      <c r="H230" s="2" t="s">
        <v>10</v>
      </c>
      <c r="I230" s="2" t="s">
        <v>12</v>
      </c>
      <c r="K230" t="s">
        <v>249</v>
      </c>
      <c r="L230" t="s">
        <v>14</v>
      </c>
      <c r="M230" t="s">
        <v>15</v>
      </c>
      <c r="N230" t="s">
        <v>11</v>
      </c>
      <c r="O230" t="s">
        <v>28</v>
      </c>
      <c r="P230" t="s">
        <v>186</v>
      </c>
      <c r="Q230" t="s">
        <v>13</v>
      </c>
      <c r="R230" t="s">
        <v>10</v>
      </c>
      <c r="S230" t="s">
        <v>12</v>
      </c>
      <c r="U230" t="b">
        <f>L230=_R32Matchups[[#This Row],[1A vs]]</f>
        <v>1</v>
      </c>
      <c r="V230" t="b">
        <f>M230=_R32Matchups[[#This Row],[1B vs]]</f>
        <v>1</v>
      </c>
      <c r="W230" t="b">
        <f>N230=_R32Matchups[[#This Row],[1D vs]]</f>
        <v>1</v>
      </c>
      <c r="X230" t="b">
        <f>O230=_R32Matchups[[#This Row],[1E vs]]</f>
        <v>1</v>
      </c>
      <c r="Y230" t="b">
        <f>P230=_R32Matchups[[#This Row],[1G vs]]</f>
        <v>1</v>
      </c>
      <c r="Z230" t="b">
        <f>Q230=_R32Matchups[[#This Row],[1I vs]]</f>
        <v>1</v>
      </c>
      <c r="AA230" t="b">
        <f>R230=_R32Matchups[[#This Row],[1K vs]]</f>
        <v>1</v>
      </c>
      <c r="AB230" t="b">
        <f>S230=_R32Matchups[[#This Row],[1L vs]]</f>
        <v>1</v>
      </c>
    </row>
    <row r="231" spans="1:28" ht="14.4">
      <c r="A231" s="2" t="s">
        <v>250</v>
      </c>
      <c r="B231" s="2" t="s">
        <v>14</v>
      </c>
      <c r="C231" s="2" t="s">
        <v>11</v>
      </c>
      <c r="D231" s="2" t="s">
        <v>12</v>
      </c>
      <c r="E231" s="2" t="s">
        <v>28</v>
      </c>
      <c r="F231" s="2" t="s">
        <v>186</v>
      </c>
      <c r="G231" s="2" t="s">
        <v>19</v>
      </c>
      <c r="H231" s="2" t="s">
        <v>16</v>
      </c>
      <c r="I231" s="2" t="s">
        <v>17</v>
      </c>
      <c r="K231" t="s">
        <v>250</v>
      </c>
      <c r="L231" t="s">
        <v>14</v>
      </c>
      <c r="M231" t="s">
        <v>11</v>
      </c>
      <c r="N231" t="s">
        <v>12</v>
      </c>
      <c r="O231" t="s">
        <v>28</v>
      </c>
      <c r="P231" t="s">
        <v>186</v>
      </c>
      <c r="Q231" t="s">
        <v>19</v>
      </c>
      <c r="R231" t="s">
        <v>16</v>
      </c>
      <c r="S231" t="s">
        <v>17</v>
      </c>
      <c r="U231" t="b">
        <f>L231=_R32Matchups[[#This Row],[1A vs]]</f>
        <v>1</v>
      </c>
      <c r="V231" t="b">
        <f>M231=_R32Matchups[[#This Row],[1B vs]]</f>
        <v>1</v>
      </c>
      <c r="W231" t="b">
        <f>N231=_R32Matchups[[#This Row],[1D vs]]</f>
        <v>1</v>
      </c>
      <c r="X231" t="b">
        <f>O231=_R32Matchups[[#This Row],[1E vs]]</f>
        <v>1</v>
      </c>
      <c r="Y231" t="b">
        <f>P231=_R32Matchups[[#This Row],[1G vs]]</f>
        <v>1</v>
      </c>
      <c r="Z231" t="b">
        <f>Q231=_R32Matchups[[#This Row],[1I vs]]</f>
        <v>1</v>
      </c>
      <c r="AA231" t="b">
        <f>R231=_R32Matchups[[#This Row],[1K vs]]</f>
        <v>1</v>
      </c>
      <c r="AB231" t="b">
        <f>S231=_R32Matchups[[#This Row],[1L vs]]</f>
        <v>1</v>
      </c>
    </row>
    <row r="232" spans="1:28" ht="14.4">
      <c r="A232" s="2" t="s">
        <v>251</v>
      </c>
      <c r="B232" s="2" t="s">
        <v>12</v>
      </c>
      <c r="C232" s="2" t="s">
        <v>15</v>
      </c>
      <c r="D232" s="2" t="s">
        <v>11</v>
      </c>
      <c r="E232" s="2" t="s">
        <v>28</v>
      </c>
      <c r="F232" s="2" t="s">
        <v>186</v>
      </c>
      <c r="G232" s="2" t="s">
        <v>19</v>
      </c>
      <c r="H232" s="2" t="s">
        <v>16</v>
      </c>
      <c r="I232" s="2" t="s">
        <v>17</v>
      </c>
      <c r="K232" t="s">
        <v>251</v>
      </c>
      <c r="L232" t="s">
        <v>12</v>
      </c>
      <c r="M232" t="s">
        <v>15</v>
      </c>
      <c r="N232" t="s">
        <v>11</v>
      </c>
      <c r="O232" t="s">
        <v>28</v>
      </c>
      <c r="P232" t="s">
        <v>186</v>
      </c>
      <c r="Q232" t="s">
        <v>19</v>
      </c>
      <c r="R232" t="s">
        <v>16</v>
      </c>
      <c r="S232" t="s">
        <v>17</v>
      </c>
      <c r="U232" t="b">
        <f>L232=_R32Matchups[[#This Row],[1A vs]]</f>
        <v>1</v>
      </c>
      <c r="V232" t="b">
        <f>M232=_R32Matchups[[#This Row],[1B vs]]</f>
        <v>1</v>
      </c>
      <c r="W232" t="b">
        <f>N232=_R32Matchups[[#This Row],[1D vs]]</f>
        <v>1</v>
      </c>
      <c r="X232" t="b">
        <f>O232=_R32Matchups[[#This Row],[1E vs]]</f>
        <v>1</v>
      </c>
      <c r="Y232" t="b">
        <f>P232=_R32Matchups[[#This Row],[1G vs]]</f>
        <v>1</v>
      </c>
      <c r="Z232" t="b">
        <f>Q232=_R32Matchups[[#This Row],[1I vs]]</f>
        <v>1</v>
      </c>
      <c r="AA232" t="b">
        <f>R232=_R32Matchups[[#This Row],[1K vs]]</f>
        <v>1</v>
      </c>
      <c r="AB232" t="b">
        <f>S232=_R32Matchups[[#This Row],[1L vs]]</f>
        <v>1</v>
      </c>
    </row>
    <row r="233" spans="1:28" ht="14.4">
      <c r="A233" s="2" t="s">
        <v>252</v>
      </c>
      <c r="B233" s="2" t="s">
        <v>14</v>
      </c>
      <c r="C233" s="2" t="s">
        <v>15</v>
      </c>
      <c r="D233" s="2" t="s">
        <v>11</v>
      </c>
      <c r="E233" s="2" t="s">
        <v>28</v>
      </c>
      <c r="F233" s="2" t="s">
        <v>186</v>
      </c>
      <c r="G233" s="2" t="s">
        <v>19</v>
      </c>
      <c r="H233" s="2" t="s">
        <v>16</v>
      </c>
      <c r="I233" s="2" t="s">
        <v>17</v>
      </c>
      <c r="K233" t="s">
        <v>252</v>
      </c>
      <c r="L233" t="s">
        <v>14</v>
      </c>
      <c r="M233" t="s">
        <v>15</v>
      </c>
      <c r="N233" t="s">
        <v>11</v>
      </c>
      <c r="O233" t="s">
        <v>28</v>
      </c>
      <c r="P233" t="s">
        <v>186</v>
      </c>
      <c r="Q233" t="s">
        <v>19</v>
      </c>
      <c r="R233" t="s">
        <v>16</v>
      </c>
      <c r="S233" t="s">
        <v>17</v>
      </c>
      <c r="U233" t="b">
        <f>L233=_R32Matchups[[#This Row],[1A vs]]</f>
        <v>1</v>
      </c>
      <c r="V233" t="b">
        <f>M233=_R32Matchups[[#This Row],[1B vs]]</f>
        <v>1</v>
      </c>
      <c r="W233" t="b">
        <f>N233=_R32Matchups[[#This Row],[1D vs]]</f>
        <v>1</v>
      </c>
      <c r="X233" t="b">
        <f>O233=_R32Matchups[[#This Row],[1E vs]]</f>
        <v>1</v>
      </c>
      <c r="Y233" t="b">
        <f>P233=_R32Matchups[[#This Row],[1G vs]]</f>
        <v>1</v>
      </c>
      <c r="Z233" t="b">
        <f>Q233=_R32Matchups[[#This Row],[1I vs]]</f>
        <v>1</v>
      </c>
      <c r="AA233" t="b">
        <f>R233=_R32Matchups[[#This Row],[1K vs]]</f>
        <v>1</v>
      </c>
      <c r="AB233" t="b">
        <f>S233=_R32Matchups[[#This Row],[1L vs]]</f>
        <v>1</v>
      </c>
    </row>
    <row r="234" spans="1:28" ht="14.4">
      <c r="A234" s="2" t="s">
        <v>253</v>
      </c>
      <c r="B234" s="2" t="s">
        <v>14</v>
      </c>
      <c r="C234" s="2" t="s">
        <v>15</v>
      </c>
      <c r="D234" s="2" t="s">
        <v>12</v>
      </c>
      <c r="E234" s="2" t="s">
        <v>28</v>
      </c>
      <c r="F234" s="2" t="s">
        <v>186</v>
      </c>
      <c r="G234" s="2" t="s">
        <v>19</v>
      </c>
      <c r="H234" s="2" t="s">
        <v>16</v>
      </c>
      <c r="I234" s="2" t="s">
        <v>17</v>
      </c>
      <c r="K234" t="s">
        <v>253</v>
      </c>
      <c r="L234" t="s">
        <v>14</v>
      </c>
      <c r="M234" t="s">
        <v>15</v>
      </c>
      <c r="N234" t="s">
        <v>12</v>
      </c>
      <c r="O234" t="s">
        <v>28</v>
      </c>
      <c r="P234" t="s">
        <v>186</v>
      </c>
      <c r="Q234" t="s">
        <v>19</v>
      </c>
      <c r="R234" t="s">
        <v>16</v>
      </c>
      <c r="S234" t="s">
        <v>17</v>
      </c>
      <c r="U234" t="b">
        <f>L234=_R32Matchups[[#This Row],[1A vs]]</f>
        <v>1</v>
      </c>
      <c r="V234" t="b">
        <f>M234=_R32Matchups[[#This Row],[1B vs]]</f>
        <v>1</v>
      </c>
      <c r="W234" t="b">
        <f>N234=_R32Matchups[[#This Row],[1D vs]]</f>
        <v>1</v>
      </c>
      <c r="X234" t="b">
        <f>O234=_R32Matchups[[#This Row],[1E vs]]</f>
        <v>1</v>
      </c>
      <c r="Y234" t="b">
        <f>P234=_R32Matchups[[#This Row],[1G vs]]</f>
        <v>1</v>
      </c>
      <c r="Z234" t="b">
        <f>Q234=_R32Matchups[[#This Row],[1I vs]]</f>
        <v>1</v>
      </c>
      <c r="AA234" t="b">
        <f>R234=_R32Matchups[[#This Row],[1K vs]]</f>
        <v>1</v>
      </c>
      <c r="AB234" t="b">
        <f>S234=_R32Matchups[[#This Row],[1L vs]]</f>
        <v>1</v>
      </c>
    </row>
    <row r="235" spans="1:28" ht="14.4">
      <c r="A235" s="2" t="s">
        <v>254</v>
      </c>
      <c r="B235" s="2" t="s">
        <v>14</v>
      </c>
      <c r="C235" s="2" t="s">
        <v>15</v>
      </c>
      <c r="D235" s="2" t="s">
        <v>11</v>
      </c>
      <c r="E235" s="2" t="s">
        <v>28</v>
      </c>
      <c r="F235" s="2" t="s">
        <v>186</v>
      </c>
      <c r="G235" s="2" t="s">
        <v>19</v>
      </c>
      <c r="H235" s="2" t="s">
        <v>16</v>
      </c>
      <c r="I235" s="2" t="s">
        <v>12</v>
      </c>
      <c r="K235" t="s">
        <v>254</v>
      </c>
      <c r="L235" t="s">
        <v>14</v>
      </c>
      <c r="M235" t="s">
        <v>15</v>
      </c>
      <c r="N235" t="s">
        <v>11</v>
      </c>
      <c r="O235" t="s">
        <v>28</v>
      </c>
      <c r="P235" t="s">
        <v>186</v>
      </c>
      <c r="Q235" t="s">
        <v>19</v>
      </c>
      <c r="R235" t="s">
        <v>16</v>
      </c>
      <c r="S235" t="s">
        <v>12</v>
      </c>
      <c r="U235" t="b">
        <f>L235=_R32Matchups[[#This Row],[1A vs]]</f>
        <v>1</v>
      </c>
      <c r="V235" t="b">
        <f>M235=_R32Matchups[[#This Row],[1B vs]]</f>
        <v>1</v>
      </c>
      <c r="W235" t="b">
        <f>N235=_R32Matchups[[#This Row],[1D vs]]</f>
        <v>1</v>
      </c>
      <c r="X235" t="b">
        <f>O235=_R32Matchups[[#This Row],[1E vs]]</f>
        <v>1</v>
      </c>
      <c r="Y235" t="b">
        <f>P235=_R32Matchups[[#This Row],[1G vs]]</f>
        <v>1</v>
      </c>
      <c r="Z235" t="b">
        <f>Q235=_R32Matchups[[#This Row],[1I vs]]</f>
        <v>1</v>
      </c>
      <c r="AA235" t="b">
        <f>R235=_R32Matchups[[#This Row],[1K vs]]</f>
        <v>1</v>
      </c>
      <c r="AB235" t="b">
        <f>S235=_R32Matchups[[#This Row],[1L vs]]</f>
        <v>1</v>
      </c>
    </row>
    <row r="236" spans="1:28" ht="14.4">
      <c r="A236" s="2" t="s">
        <v>255</v>
      </c>
      <c r="B236" s="2" t="s">
        <v>14</v>
      </c>
      <c r="C236" s="2" t="s">
        <v>15</v>
      </c>
      <c r="D236" s="2" t="s">
        <v>11</v>
      </c>
      <c r="E236" s="2" t="s">
        <v>28</v>
      </c>
      <c r="F236" s="2" t="s">
        <v>186</v>
      </c>
      <c r="G236" s="2" t="s">
        <v>19</v>
      </c>
      <c r="H236" s="2" t="s">
        <v>12</v>
      </c>
      <c r="I236" s="2" t="s">
        <v>17</v>
      </c>
      <c r="K236" t="s">
        <v>255</v>
      </c>
      <c r="L236" t="s">
        <v>14</v>
      </c>
      <c r="M236" t="s">
        <v>15</v>
      </c>
      <c r="N236" t="s">
        <v>11</v>
      </c>
      <c r="O236" t="s">
        <v>28</v>
      </c>
      <c r="P236" t="s">
        <v>186</v>
      </c>
      <c r="Q236" t="s">
        <v>19</v>
      </c>
      <c r="R236" t="s">
        <v>12</v>
      </c>
      <c r="S236" t="s">
        <v>17</v>
      </c>
      <c r="U236" t="b">
        <f>L236=_R32Matchups[[#This Row],[1A vs]]</f>
        <v>1</v>
      </c>
      <c r="V236" t="b">
        <f>M236=_R32Matchups[[#This Row],[1B vs]]</f>
        <v>1</v>
      </c>
      <c r="W236" t="b">
        <f>N236=_R32Matchups[[#This Row],[1D vs]]</f>
        <v>1</v>
      </c>
      <c r="X236" t="b">
        <f>O236=_R32Matchups[[#This Row],[1E vs]]</f>
        <v>1</v>
      </c>
      <c r="Y236" t="b">
        <f>P236=_R32Matchups[[#This Row],[1G vs]]</f>
        <v>1</v>
      </c>
      <c r="Z236" t="b">
        <f>Q236=_R32Matchups[[#This Row],[1I vs]]</f>
        <v>1</v>
      </c>
      <c r="AA236" t="b">
        <f>R236=_R32Matchups[[#This Row],[1K vs]]</f>
        <v>1</v>
      </c>
      <c r="AB236" t="b">
        <f>S236=_R32Matchups[[#This Row],[1L vs]]</f>
        <v>1</v>
      </c>
    </row>
    <row r="237" spans="1:28" ht="14.4">
      <c r="A237" s="2" t="s">
        <v>256</v>
      </c>
      <c r="B237" s="2" t="s">
        <v>28</v>
      </c>
      <c r="C237" s="2" t="s">
        <v>11</v>
      </c>
      <c r="D237" s="2" t="s">
        <v>12</v>
      </c>
      <c r="E237" s="2" t="s">
        <v>19</v>
      </c>
      <c r="F237" s="2" t="s">
        <v>186</v>
      </c>
      <c r="G237" s="2" t="s">
        <v>13</v>
      </c>
      <c r="H237" s="2" t="s">
        <v>16</v>
      </c>
      <c r="I237" s="2" t="s">
        <v>17</v>
      </c>
      <c r="K237" t="s">
        <v>256</v>
      </c>
      <c r="L237" t="s">
        <v>28</v>
      </c>
      <c r="M237" t="s">
        <v>11</v>
      </c>
      <c r="N237" t="s">
        <v>12</v>
      </c>
      <c r="O237" t="s">
        <v>19</v>
      </c>
      <c r="P237" t="s">
        <v>186</v>
      </c>
      <c r="Q237" t="s">
        <v>13</v>
      </c>
      <c r="R237" t="s">
        <v>16</v>
      </c>
      <c r="S237" t="s">
        <v>17</v>
      </c>
      <c r="U237" t="b">
        <f>L237=_R32Matchups[[#This Row],[1A vs]]</f>
        <v>1</v>
      </c>
      <c r="V237" t="b">
        <f>M237=_R32Matchups[[#This Row],[1B vs]]</f>
        <v>1</v>
      </c>
      <c r="W237" t="b">
        <f>N237=_R32Matchups[[#This Row],[1D vs]]</f>
        <v>1</v>
      </c>
      <c r="X237" t="b">
        <f>O237=_R32Matchups[[#This Row],[1E vs]]</f>
        <v>1</v>
      </c>
      <c r="Y237" t="b">
        <f>P237=_R32Matchups[[#This Row],[1G vs]]</f>
        <v>1</v>
      </c>
      <c r="Z237" t="b">
        <f>Q237=_R32Matchups[[#This Row],[1I vs]]</f>
        <v>1</v>
      </c>
      <c r="AA237" t="b">
        <f>R237=_R32Matchups[[#This Row],[1K vs]]</f>
        <v>1</v>
      </c>
      <c r="AB237" t="b">
        <f>S237=_R32Matchups[[#This Row],[1L vs]]</f>
        <v>1</v>
      </c>
    </row>
    <row r="238" spans="1:28" ht="14.4">
      <c r="A238" s="2" t="s">
        <v>257</v>
      </c>
      <c r="B238" s="2" t="s">
        <v>14</v>
      </c>
      <c r="C238" s="2" t="s">
        <v>11</v>
      </c>
      <c r="D238" s="2" t="s">
        <v>13</v>
      </c>
      <c r="E238" s="2" t="s">
        <v>28</v>
      </c>
      <c r="F238" s="2" t="s">
        <v>186</v>
      </c>
      <c r="G238" s="2" t="s">
        <v>19</v>
      </c>
      <c r="H238" s="2" t="s">
        <v>16</v>
      </c>
      <c r="I238" s="2" t="s">
        <v>17</v>
      </c>
      <c r="K238" t="s">
        <v>257</v>
      </c>
      <c r="L238" t="s">
        <v>14</v>
      </c>
      <c r="M238" t="s">
        <v>11</v>
      </c>
      <c r="N238" t="s">
        <v>13</v>
      </c>
      <c r="O238" t="s">
        <v>28</v>
      </c>
      <c r="P238" t="s">
        <v>186</v>
      </c>
      <c r="Q238" t="s">
        <v>19</v>
      </c>
      <c r="R238" t="s">
        <v>16</v>
      </c>
      <c r="S238" t="s">
        <v>17</v>
      </c>
      <c r="U238" t="b">
        <f>L238=_R32Matchups[[#This Row],[1A vs]]</f>
        <v>1</v>
      </c>
      <c r="V238" t="b">
        <f>M238=_R32Matchups[[#This Row],[1B vs]]</f>
        <v>1</v>
      </c>
      <c r="W238" t="b">
        <f>N238=_R32Matchups[[#This Row],[1D vs]]</f>
        <v>1</v>
      </c>
      <c r="X238" t="b">
        <f>O238=_R32Matchups[[#This Row],[1E vs]]</f>
        <v>1</v>
      </c>
      <c r="Y238" t="b">
        <f>P238=_R32Matchups[[#This Row],[1G vs]]</f>
        <v>1</v>
      </c>
      <c r="Z238" t="b">
        <f>Q238=_R32Matchups[[#This Row],[1I vs]]</f>
        <v>1</v>
      </c>
      <c r="AA238" t="b">
        <f>R238=_R32Matchups[[#This Row],[1K vs]]</f>
        <v>1</v>
      </c>
      <c r="AB238" t="b">
        <f>S238=_R32Matchups[[#This Row],[1L vs]]</f>
        <v>1</v>
      </c>
    </row>
    <row r="239" spans="1:28" ht="14.4">
      <c r="A239" s="2" t="s">
        <v>258</v>
      </c>
      <c r="B239" s="2" t="s">
        <v>14</v>
      </c>
      <c r="C239" s="2" t="s">
        <v>13</v>
      </c>
      <c r="D239" s="2" t="s">
        <v>12</v>
      </c>
      <c r="E239" s="2" t="s">
        <v>28</v>
      </c>
      <c r="F239" s="2" t="s">
        <v>186</v>
      </c>
      <c r="G239" s="2" t="s">
        <v>19</v>
      </c>
      <c r="H239" s="2" t="s">
        <v>16</v>
      </c>
      <c r="I239" s="2" t="s">
        <v>17</v>
      </c>
      <c r="K239" t="s">
        <v>258</v>
      </c>
      <c r="L239" t="s">
        <v>14</v>
      </c>
      <c r="M239" t="s">
        <v>13</v>
      </c>
      <c r="N239" t="s">
        <v>12</v>
      </c>
      <c r="O239" t="s">
        <v>28</v>
      </c>
      <c r="P239" t="s">
        <v>186</v>
      </c>
      <c r="Q239" t="s">
        <v>19</v>
      </c>
      <c r="R239" t="s">
        <v>16</v>
      </c>
      <c r="S239" t="s">
        <v>17</v>
      </c>
      <c r="U239" t="b">
        <f>L239=_R32Matchups[[#This Row],[1A vs]]</f>
        <v>1</v>
      </c>
      <c r="V239" t="b">
        <f>M239=_R32Matchups[[#This Row],[1B vs]]</f>
        <v>1</v>
      </c>
      <c r="W239" t="b">
        <f>N239=_R32Matchups[[#This Row],[1D vs]]</f>
        <v>1</v>
      </c>
      <c r="X239" t="b">
        <f>O239=_R32Matchups[[#This Row],[1E vs]]</f>
        <v>1</v>
      </c>
      <c r="Y239" t="b">
        <f>P239=_R32Matchups[[#This Row],[1G vs]]</f>
        <v>1</v>
      </c>
      <c r="Z239" t="b">
        <f>Q239=_R32Matchups[[#This Row],[1I vs]]</f>
        <v>1</v>
      </c>
      <c r="AA239" t="b">
        <f>R239=_R32Matchups[[#This Row],[1K vs]]</f>
        <v>1</v>
      </c>
      <c r="AB239" t="b">
        <f>S239=_R32Matchups[[#This Row],[1L vs]]</f>
        <v>1</v>
      </c>
    </row>
    <row r="240" spans="1:28" ht="14.4">
      <c r="A240" s="2" t="s">
        <v>259</v>
      </c>
      <c r="B240" s="2" t="s">
        <v>14</v>
      </c>
      <c r="C240" s="2" t="s">
        <v>11</v>
      </c>
      <c r="D240" s="2" t="s">
        <v>13</v>
      </c>
      <c r="E240" s="2" t="s">
        <v>28</v>
      </c>
      <c r="F240" s="2" t="s">
        <v>186</v>
      </c>
      <c r="G240" s="2" t="s">
        <v>19</v>
      </c>
      <c r="H240" s="2" t="s">
        <v>16</v>
      </c>
      <c r="I240" s="2" t="s">
        <v>12</v>
      </c>
      <c r="K240" t="s">
        <v>259</v>
      </c>
      <c r="L240" t="s">
        <v>14</v>
      </c>
      <c r="M240" t="s">
        <v>11</v>
      </c>
      <c r="N240" t="s">
        <v>13</v>
      </c>
      <c r="O240" t="s">
        <v>28</v>
      </c>
      <c r="P240" t="s">
        <v>186</v>
      </c>
      <c r="Q240" t="s">
        <v>19</v>
      </c>
      <c r="R240" t="s">
        <v>16</v>
      </c>
      <c r="S240" t="s">
        <v>12</v>
      </c>
      <c r="U240" t="b">
        <f>L240=_R32Matchups[[#This Row],[1A vs]]</f>
        <v>1</v>
      </c>
      <c r="V240" t="b">
        <f>M240=_R32Matchups[[#This Row],[1B vs]]</f>
        <v>1</v>
      </c>
      <c r="W240" t="b">
        <f>N240=_R32Matchups[[#This Row],[1D vs]]</f>
        <v>1</v>
      </c>
      <c r="X240" t="b">
        <f>O240=_R32Matchups[[#This Row],[1E vs]]</f>
        <v>1</v>
      </c>
      <c r="Y240" t="b">
        <f>P240=_R32Matchups[[#This Row],[1G vs]]</f>
        <v>1</v>
      </c>
      <c r="Z240" t="b">
        <f>Q240=_R32Matchups[[#This Row],[1I vs]]</f>
        <v>1</v>
      </c>
      <c r="AA240" t="b">
        <f>R240=_R32Matchups[[#This Row],[1K vs]]</f>
        <v>1</v>
      </c>
      <c r="AB240" t="b">
        <f>S240=_R32Matchups[[#This Row],[1L vs]]</f>
        <v>1</v>
      </c>
    </row>
    <row r="241" spans="1:28" ht="14.4">
      <c r="A241" s="2" t="s">
        <v>260</v>
      </c>
      <c r="B241" s="2" t="s">
        <v>14</v>
      </c>
      <c r="C241" s="2" t="s">
        <v>11</v>
      </c>
      <c r="D241" s="2" t="s">
        <v>13</v>
      </c>
      <c r="E241" s="2" t="s">
        <v>28</v>
      </c>
      <c r="F241" s="2" t="s">
        <v>186</v>
      </c>
      <c r="G241" s="2" t="s">
        <v>19</v>
      </c>
      <c r="H241" s="2" t="s">
        <v>12</v>
      </c>
      <c r="I241" s="2" t="s">
        <v>17</v>
      </c>
      <c r="K241" t="s">
        <v>260</v>
      </c>
      <c r="L241" t="s">
        <v>14</v>
      </c>
      <c r="M241" t="s">
        <v>11</v>
      </c>
      <c r="N241" t="s">
        <v>13</v>
      </c>
      <c r="O241" t="s">
        <v>28</v>
      </c>
      <c r="P241" t="s">
        <v>186</v>
      </c>
      <c r="Q241" t="s">
        <v>19</v>
      </c>
      <c r="R241" t="s">
        <v>12</v>
      </c>
      <c r="S241" t="s">
        <v>17</v>
      </c>
      <c r="U241" t="b">
        <f>L241=_R32Matchups[[#This Row],[1A vs]]</f>
        <v>1</v>
      </c>
      <c r="V241" t="b">
        <f>M241=_R32Matchups[[#This Row],[1B vs]]</f>
        <v>1</v>
      </c>
      <c r="W241" t="b">
        <f>N241=_R32Matchups[[#This Row],[1D vs]]</f>
        <v>1</v>
      </c>
      <c r="X241" t="b">
        <f>O241=_R32Matchups[[#This Row],[1E vs]]</f>
        <v>1</v>
      </c>
      <c r="Y241" t="b">
        <f>P241=_R32Matchups[[#This Row],[1G vs]]</f>
        <v>1</v>
      </c>
      <c r="Z241" t="b">
        <f>Q241=_R32Matchups[[#This Row],[1I vs]]</f>
        <v>1</v>
      </c>
      <c r="AA241" t="b">
        <f>R241=_R32Matchups[[#This Row],[1K vs]]</f>
        <v>1</v>
      </c>
      <c r="AB241" t="b">
        <f>S241=_R32Matchups[[#This Row],[1L vs]]</f>
        <v>1</v>
      </c>
    </row>
    <row r="242" spans="1:28" ht="14.4">
      <c r="A242" s="2" t="s">
        <v>261</v>
      </c>
      <c r="B242" s="2" t="s">
        <v>28</v>
      </c>
      <c r="C242" s="2" t="s">
        <v>15</v>
      </c>
      <c r="D242" s="2" t="s">
        <v>11</v>
      </c>
      <c r="E242" s="2" t="s">
        <v>19</v>
      </c>
      <c r="F242" s="2" t="s">
        <v>186</v>
      </c>
      <c r="G242" s="2" t="s">
        <v>13</v>
      </c>
      <c r="H242" s="2" t="s">
        <v>16</v>
      </c>
      <c r="I242" s="2" t="s">
        <v>17</v>
      </c>
      <c r="K242" t="s">
        <v>261</v>
      </c>
      <c r="L242" t="s">
        <v>28</v>
      </c>
      <c r="M242" t="s">
        <v>15</v>
      </c>
      <c r="N242" t="s">
        <v>11</v>
      </c>
      <c r="O242" t="s">
        <v>19</v>
      </c>
      <c r="P242" t="s">
        <v>186</v>
      </c>
      <c r="Q242" t="s">
        <v>13</v>
      </c>
      <c r="R242" t="s">
        <v>16</v>
      </c>
      <c r="S242" t="s">
        <v>17</v>
      </c>
      <c r="U242" t="b">
        <f>L242=_R32Matchups[[#This Row],[1A vs]]</f>
        <v>1</v>
      </c>
      <c r="V242" t="b">
        <f>M242=_R32Matchups[[#This Row],[1B vs]]</f>
        <v>1</v>
      </c>
      <c r="W242" t="b">
        <f>N242=_R32Matchups[[#This Row],[1D vs]]</f>
        <v>1</v>
      </c>
      <c r="X242" t="b">
        <f>O242=_R32Matchups[[#This Row],[1E vs]]</f>
        <v>1</v>
      </c>
      <c r="Y242" t="b">
        <f>P242=_R32Matchups[[#This Row],[1G vs]]</f>
        <v>1</v>
      </c>
      <c r="Z242" t="b">
        <f>Q242=_R32Matchups[[#This Row],[1I vs]]</f>
        <v>1</v>
      </c>
      <c r="AA242" t="b">
        <f>R242=_R32Matchups[[#This Row],[1K vs]]</f>
        <v>1</v>
      </c>
      <c r="AB242" t="b">
        <f>S242=_R32Matchups[[#This Row],[1L vs]]</f>
        <v>1</v>
      </c>
    </row>
    <row r="243" spans="1:28" ht="14.4">
      <c r="A243" s="2" t="s">
        <v>262</v>
      </c>
      <c r="B243" s="2" t="s">
        <v>28</v>
      </c>
      <c r="C243" s="2" t="s">
        <v>15</v>
      </c>
      <c r="D243" s="2" t="s">
        <v>12</v>
      </c>
      <c r="E243" s="2" t="s">
        <v>19</v>
      </c>
      <c r="F243" s="2" t="s">
        <v>186</v>
      </c>
      <c r="G243" s="2" t="s">
        <v>13</v>
      </c>
      <c r="H243" s="2" t="s">
        <v>16</v>
      </c>
      <c r="I243" s="2" t="s">
        <v>17</v>
      </c>
      <c r="K243" t="s">
        <v>262</v>
      </c>
      <c r="L243" t="s">
        <v>28</v>
      </c>
      <c r="M243" t="s">
        <v>15</v>
      </c>
      <c r="N243" t="s">
        <v>12</v>
      </c>
      <c r="O243" t="s">
        <v>19</v>
      </c>
      <c r="P243" t="s">
        <v>186</v>
      </c>
      <c r="Q243" t="s">
        <v>13</v>
      </c>
      <c r="R243" t="s">
        <v>16</v>
      </c>
      <c r="S243" t="s">
        <v>17</v>
      </c>
      <c r="U243" t="b">
        <f>L243=_R32Matchups[[#This Row],[1A vs]]</f>
        <v>1</v>
      </c>
      <c r="V243" t="b">
        <f>M243=_R32Matchups[[#This Row],[1B vs]]</f>
        <v>1</v>
      </c>
      <c r="W243" t="b">
        <f>N243=_R32Matchups[[#This Row],[1D vs]]</f>
        <v>1</v>
      </c>
      <c r="X243" t="b">
        <f>O243=_R32Matchups[[#This Row],[1E vs]]</f>
        <v>1</v>
      </c>
      <c r="Y243" t="b">
        <f>P243=_R32Matchups[[#This Row],[1G vs]]</f>
        <v>1</v>
      </c>
      <c r="Z243" t="b">
        <f>Q243=_R32Matchups[[#This Row],[1I vs]]</f>
        <v>1</v>
      </c>
      <c r="AA243" t="b">
        <f>R243=_R32Matchups[[#This Row],[1K vs]]</f>
        <v>1</v>
      </c>
      <c r="AB243" t="b">
        <f>S243=_R32Matchups[[#This Row],[1L vs]]</f>
        <v>1</v>
      </c>
    </row>
    <row r="244" spans="1:28" ht="14.4">
      <c r="A244" s="2" t="s">
        <v>263</v>
      </c>
      <c r="B244" s="2" t="s">
        <v>28</v>
      </c>
      <c r="C244" s="2" t="s">
        <v>15</v>
      </c>
      <c r="D244" s="2" t="s">
        <v>11</v>
      </c>
      <c r="E244" s="2" t="s">
        <v>19</v>
      </c>
      <c r="F244" s="2" t="s">
        <v>186</v>
      </c>
      <c r="G244" s="2" t="s">
        <v>13</v>
      </c>
      <c r="H244" s="2" t="s">
        <v>16</v>
      </c>
      <c r="I244" s="2" t="s">
        <v>12</v>
      </c>
      <c r="K244" t="s">
        <v>263</v>
      </c>
      <c r="L244" t="s">
        <v>28</v>
      </c>
      <c r="M244" t="s">
        <v>15</v>
      </c>
      <c r="N244" t="s">
        <v>11</v>
      </c>
      <c r="O244" t="s">
        <v>19</v>
      </c>
      <c r="P244" t="s">
        <v>186</v>
      </c>
      <c r="Q244" t="s">
        <v>13</v>
      </c>
      <c r="R244" t="s">
        <v>16</v>
      </c>
      <c r="S244" t="s">
        <v>12</v>
      </c>
      <c r="U244" t="b">
        <f>L244=_R32Matchups[[#This Row],[1A vs]]</f>
        <v>1</v>
      </c>
      <c r="V244" t="b">
        <f>M244=_R32Matchups[[#This Row],[1B vs]]</f>
        <v>1</v>
      </c>
      <c r="W244" t="b">
        <f>N244=_R32Matchups[[#This Row],[1D vs]]</f>
        <v>1</v>
      </c>
      <c r="X244" t="b">
        <f>O244=_R32Matchups[[#This Row],[1E vs]]</f>
        <v>1</v>
      </c>
      <c r="Y244" t="b">
        <f>P244=_R32Matchups[[#This Row],[1G vs]]</f>
        <v>1</v>
      </c>
      <c r="Z244" t="b">
        <f>Q244=_R32Matchups[[#This Row],[1I vs]]</f>
        <v>1</v>
      </c>
      <c r="AA244" t="b">
        <f>R244=_R32Matchups[[#This Row],[1K vs]]</f>
        <v>1</v>
      </c>
      <c r="AB244" t="b">
        <f>S244=_R32Matchups[[#This Row],[1L vs]]</f>
        <v>1</v>
      </c>
    </row>
    <row r="245" spans="1:28" ht="14.4">
      <c r="A245" s="2" t="s">
        <v>264</v>
      </c>
      <c r="B245" s="2" t="s">
        <v>28</v>
      </c>
      <c r="C245" s="2" t="s">
        <v>15</v>
      </c>
      <c r="D245" s="2" t="s">
        <v>11</v>
      </c>
      <c r="E245" s="2" t="s">
        <v>19</v>
      </c>
      <c r="F245" s="2" t="s">
        <v>186</v>
      </c>
      <c r="G245" s="2" t="s">
        <v>13</v>
      </c>
      <c r="H245" s="2" t="s">
        <v>12</v>
      </c>
      <c r="I245" s="2" t="s">
        <v>17</v>
      </c>
      <c r="K245" t="s">
        <v>264</v>
      </c>
      <c r="L245" t="s">
        <v>28</v>
      </c>
      <c r="M245" t="s">
        <v>15</v>
      </c>
      <c r="N245" t="s">
        <v>11</v>
      </c>
      <c r="O245" t="s">
        <v>19</v>
      </c>
      <c r="P245" t="s">
        <v>186</v>
      </c>
      <c r="Q245" t="s">
        <v>13</v>
      </c>
      <c r="R245" t="s">
        <v>12</v>
      </c>
      <c r="S245" t="s">
        <v>17</v>
      </c>
      <c r="U245" t="b">
        <f>L245=_R32Matchups[[#This Row],[1A vs]]</f>
        <v>1</v>
      </c>
      <c r="V245" t="b">
        <f>M245=_R32Matchups[[#This Row],[1B vs]]</f>
        <v>1</v>
      </c>
      <c r="W245" t="b">
        <f>N245=_R32Matchups[[#This Row],[1D vs]]</f>
        <v>1</v>
      </c>
      <c r="X245" t="b">
        <f>O245=_R32Matchups[[#This Row],[1E vs]]</f>
        <v>1</v>
      </c>
      <c r="Y245" t="b">
        <f>P245=_R32Matchups[[#This Row],[1G vs]]</f>
        <v>1</v>
      </c>
      <c r="Z245" t="b">
        <f>Q245=_R32Matchups[[#This Row],[1I vs]]</f>
        <v>1</v>
      </c>
      <c r="AA245" t="b">
        <f>R245=_R32Matchups[[#This Row],[1K vs]]</f>
        <v>1</v>
      </c>
      <c r="AB245" t="b">
        <f>S245=_R32Matchups[[#This Row],[1L vs]]</f>
        <v>1</v>
      </c>
    </row>
    <row r="246" spans="1:28" ht="14.4">
      <c r="A246" s="2" t="s">
        <v>265</v>
      </c>
      <c r="B246" s="2" t="s">
        <v>14</v>
      </c>
      <c r="C246" s="2" t="s">
        <v>15</v>
      </c>
      <c r="D246" s="2" t="s">
        <v>13</v>
      </c>
      <c r="E246" s="2" t="s">
        <v>28</v>
      </c>
      <c r="F246" s="2" t="s">
        <v>186</v>
      </c>
      <c r="G246" s="2" t="s">
        <v>19</v>
      </c>
      <c r="H246" s="2" t="s">
        <v>16</v>
      </c>
      <c r="I246" s="2" t="s">
        <v>17</v>
      </c>
      <c r="K246" t="s">
        <v>265</v>
      </c>
      <c r="L246" t="s">
        <v>14</v>
      </c>
      <c r="M246" t="s">
        <v>15</v>
      </c>
      <c r="N246" t="s">
        <v>13</v>
      </c>
      <c r="O246" t="s">
        <v>28</v>
      </c>
      <c r="P246" t="s">
        <v>186</v>
      </c>
      <c r="Q246" t="s">
        <v>19</v>
      </c>
      <c r="R246" t="s">
        <v>16</v>
      </c>
      <c r="S246" t="s">
        <v>17</v>
      </c>
      <c r="U246" t="b">
        <f>L246=_R32Matchups[[#This Row],[1A vs]]</f>
        <v>1</v>
      </c>
      <c r="V246" t="b">
        <f>M246=_R32Matchups[[#This Row],[1B vs]]</f>
        <v>1</v>
      </c>
      <c r="W246" t="b">
        <f>N246=_R32Matchups[[#This Row],[1D vs]]</f>
        <v>1</v>
      </c>
      <c r="X246" t="b">
        <f>O246=_R32Matchups[[#This Row],[1E vs]]</f>
        <v>1</v>
      </c>
      <c r="Y246" t="b">
        <f>P246=_R32Matchups[[#This Row],[1G vs]]</f>
        <v>1</v>
      </c>
      <c r="Z246" t="b">
        <f>Q246=_R32Matchups[[#This Row],[1I vs]]</f>
        <v>1</v>
      </c>
      <c r="AA246" t="b">
        <f>R246=_R32Matchups[[#This Row],[1K vs]]</f>
        <v>1</v>
      </c>
      <c r="AB246" t="b">
        <f>S246=_R32Matchups[[#This Row],[1L vs]]</f>
        <v>1</v>
      </c>
    </row>
    <row r="247" spans="1:28" ht="14.4">
      <c r="A247" s="2" t="s">
        <v>266</v>
      </c>
      <c r="B247" s="2" t="s">
        <v>28</v>
      </c>
      <c r="C247" s="2" t="s">
        <v>15</v>
      </c>
      <c r="D247" s="2" t="s">
        <v>11</v>
      </c>
      <c r="E247" s="2" t="s">
        <v>19</v>
      </c>
      <c r="F247" s="2" t="s">
        <v>186</v>
      </c>
      <c r="G247" s="2" t="s">
        <v>13</v>
      </c>
      <c r="H247" s="2" t="s">
        <v>16</v>
      </c>
      <c r="I247" s="2" t="s">
        <v>14</v>
      </c>
      <c r="K247" t="s">
        <v>266</v>
      </c>
      <c r="L247" t="s">
        <v>28</v>
      </c>
      <c r="M247" t="s">
        <v>15</v>
      </c>
      <c r="N247" t="s">
        <v>11</v>
      </c>
      <c r="O247" t="s">
        <v>19</v>
      </c>
      <c r="P247" t="s">
        <v>186</v>
      </c>
      <c r="Q247" t="s">
        <v>13</v>
      </c>
      <c r="R247" t="s">
        <v>16</v>
      </c>
      <c r="S247" t="s">
        <v>14</v>
      </c>
      <c r="U247" t="b">
        <f>L247=_R32Matchups[[#This Row],[1A vs]]</f>
        <v>1</v>
      </c>
      <c r="V247" t="b">
        <f>M247=_R32Matchups[[#This Row],[1B vs]]</f>
        <v>1</v>
      </c>
      <c r="W247" t="b">
        <f>N247=_R32Matchups[[#This Row],[1D vs]]</f>
        <v>1</v>
      </c>
      <c r="X247" t="b">
        <f>O247=_R32Matchups[[#This Row],[1E vs]]</f>
        <v>1</v>
      </c>
      <c r="Y247" t="b">
        <f>P247=_R32Matchups[[#This Row],[1G vs]]</f>
        <v>1</v>
      </c>
      <c r="Z247" t="b">
        <f>Q247=_R32Matchups[[#This Row],[1I vs]]</f>
        <v>1</v>
      </c>
      <c r="AA247" t="b">
        <f>R247=_R32Matchups[[#This Row],[1K vs]]</f>
        <v>1</v>
      </c>
      <c r="AB247" t="b">
        <f>S247=_R32Matchups[[#This Row],[1L vs]]</f>
        <v>1</v>
      </c>
    </row>
    <row r="248" spans="1:28" ht="14.4">
      <c r="A248" s="2" t="s">
        <v>267</v>
      </c>
      <c r="B248" s="2" t="s">
        <v>14</v>
      </c>
      <c r="C248" s="2" t="s">
        <v>15</v>
      </c>
      <c r="D248" s="2" t="s">
        <v>11</v>
      </c>
      <c r="E248" s="2" t="s">
        <v>28</v>
      </c>
      <c r="F248" s="2" t="s">
        <v>186</v>
      </c>
      <c r="G248" s="2" t="s">
        <v>13</v>
      </c>
      <c r="H248" s="2" t="s">
        <v>19</v>
      </c>
      <c r="I248" s="2" t="s">
        <v>17</v>
      </c>
      <c r="K248" t="s">
        <v>267</v>
      </c>
      <c r="L248" t="s">
        <v>14</v>
      </c>
      <c r="M248" t="s">
        <v>15</v>
      </c>
      <c r="N248" t="s">
        <v>11</v>
      </c>
      <c r="O248" t="s">
        <v>28</v>
      </c>
      <c r="P248" t="s">
        <v>186</v>
      </c>
      <c r="Q248" t="s">
        <v>13</v>
      </c>
      <c r="R248" t="s">
        <v>19</v>
      </c>
      <c r="S248" t="s">
        <v>17</v>
      </c>
      <c r="U248" t="b">
        <f>L248=_R32Matchups[[#This Row],[1A vs]]</f>
        <v>1</v>
      </c>
      <c r="V248" t="b">
        <f>M248=_R32Matchups[[#This Row],[1B vs]]</f>
        <v>1</v>
      </c>
      <c r="W248" t="b">
        <f>N248=_R32Matchups[[#This Row],[1D vs]]</f>
        <v>1</v>
      </c>
      <c r="X248" t="b">
        <f>O248=_R32Matchups[[#This Row],[1E vs]]</f>
        <v>1</v>
      </c>
      <c r="Y248" t="b">
        <f>P248=_R32Matchups[[#This Row],[1G vs]]</f>
        <v>1</v>
      </c>
      <c r="Z248" t="b">
        <f>Q248=_R32Matchups[[#This Row],[1I vs]]</f>
        <v>1</v>
      </c>
      <c r="AA248" t="b">
        <f>R248=_R32Matchups[[#This Row],[1K vs]]</f>
        <v>1</v>
      </c>
      <c r="AB248" t="b">
        <f>S248=_R32Matchups[[#This Row],[1L vs]]</f>
        <v>1</v>
      </c>
    </row>
    <row r="249" spans="1:28" ht="14.4">
      <c r="A249" s="2" t="s">
        <v>268</v>
      </c>
      <c r="B249" s="2" t="s">
        <v>14</v>
      </c>
      <c r="C249" s="2" t="s">
        <v>15</v>
      </c>
      <c r="D249" s="2" t="s">
        <v>13</v>
      </c>
      <c r="E249" s="2" t="s">
        <v>28</v>
      </c>
      <c r="F249" s="2" t="s">
        <v>186</v>
      </c>
      <c r="G249" s="2" t="s">
        <v>19</v>
      </c>
      <c r="H249" s="2" t="s">
        <v>16</v>
      </c>
      <c r="I249" s="2" t="s">
        <v>12</v>
      </c>
      <c r="K249" t="s">
        <v>268</v>
      </c>
      <c r="L249" t="s">
        <v>14</v>
      </c>
      <c r="M249" t="s">
        <v>15</v>
      </c>
      <c r="N249" t="s">
        <v>13</v>
      </c>
      <c r="O249" t="s">
        <v>28</v>
      </c>
      <c r="P249" t="s">
        <v>186</v>
      </c>
      <c r="Q249" t="s">
        <v>19</v>
      </c>
      <c r="R249" t="s">
        <v>16</v>
      </c>
      <c r="S249" t="s">
        <v>12</v>
      </c>
      <c r="U249" t="b">
        <f>L249=_R32Matchups[[#This Row],[1A vs]]</f>
        <v>1</v>
      </c>
      <c r="V249" t="b">
        <f>M249=_R32Matchups[[#This Row],[1B vs]]</f>
        <v>1</v>
      </c>
      <c r="W249" t="b">
        <f>N249=_R32Matchups[[#This Row],[1D vs]]</f>
        <v>1</v>
      </c>
      <c r="X249" t="b">
        <f>O249=_R32Matchups[[#This Row],[1E vs]]</f>
        <v>1</v>
      </c>
      <c r="Y249" t="b">
        <f>P249=_R32Matchups[[#This Row],[1G vs]]</f>
        <v>1</v>
      </c>
      <c r="Z249" t="b">
        <f>Q249=_R32Matchups[[#This Row],[1I vs]]</f>
        <v>1</v>
      </c>
      <c r="AA249" t="b">
        <f>R249=_R32Matchups[[#This Row],[1K vs]]</f>
        <v>1</v>
      </c>
      <c r="AB249" t="b">
        <f>S249=_R32Matchups[[#This Row],[1L vs]]</f>
        <v>1</v>
      </c>
    </row>
    <row r="250" spans="1:28" ht="14.4">
      <c r="A250" s="2" t="s">
        <v>269</v>
      </c>
      <c r="B250" s="2" t="s">
        <v>14</v>
      </c>
      <c r="C250" s="2" t="s">
        <v>15</v>
      </c>
      <c r="D250" s="2" t="s">
        <v>13</v>
      </c>
      <c r="E250" s="2" t="s">
        <v>28</v>
      </c>
      <c r="F250" s="2" t="s">
        <v>186</v>
      </c>
      <c r="G250" s="2" t="s">
        <v>19</v>
      </c>
      <c r="H250" s="2" t="s">
        <v>12</v>
      </c>
      <c r="I250" s="2" t="s">
        <v>17</v>
      </c>
      <c r="K250" t="s">
        <v>269</v>
      </c>
      <c r="L250" t="s">
        <v>14</v>
      </c>
      <c r="M250" t="s">
        <v>15</v>
      </c>
      <c r="N250" t="s">
        <v>13</v>
      </c>
      <c r="O250" t="s">
        <v>28</v>
      </c>
      <c r="P250" t="s">
        <v>186</v>
      </c>
      <c r="Q250" t="s">
        <v>19</v>
      </c>
      <c r="R250" t="s">
        <v>12</v>
      </c>
      <c r="S250" t="s">
        <v>17</v>
      </c>
      <c r="U250" t="b">
        <f>L250=_R32Matchups[[#This Row],[1A vs]]</f>
        <v>1</v>
      </c>
      <c r="V250" t="b">
        <f>M250=_R32Matchups[[#This Row],[1B vs]]</f>
        <v>1</v>
      </c>
      <c r="W250" t="b">
        <f>N250=_R32Matchups[[#This Row],[1D vs]]</f>
        <v>1</v>
      </c>
      <c r="X250" t="b">
        <f>O250=_R32Matchups[[#This Row],[1E vs]]</f>
        <v>1</v>
      </c>
      <c r="Y250" t="b">
        <f>P250=_R32Matchups[[#This Row],[1G vs]]</f>
        <v>1</v>
      </c>
      <c r="Z250" t="b">
        <f>Q250=_R32Matchups[[#This Row],[1I vs]]</f>
        <v>1</v>
      </c>
      <c r="AA250" t="b">
        <f>R250=_R32Matchups[[#This Row],[1K vs]]</f>
        <v>1</v>
      </c>
      <c r="AB250" t="b">
        <f>S250=_R32Matchups[[#This Row],[1L vs]]</f>
        <v>1</v>
      </c>
    </row>
    <row r="251" spans="1:28" ht="14.4">
      <c r="A251" s="2" t="s">
        <v>270</v>
      </c>
      <c r="B251" s="2" t="s">
        <v>14</v>
      </c>
      <c r="C251" s="2" t="s">
        <v>15</v>
      </c>
      <c r="D251" s="2" t="s">
        <v>11</v>
      </c>
      <c r="E251" s="2" t="s">
        <v>28</v>
      </c>
      <c r="F251" s="2" t="s">
        <v>186</v>
      </c>
      <c r="G251" s="2" t="s">
        <v>13</v>
      </c>
      <c r="H251" s="2" t="s">
        <v>19</v>
      </c>
      <c r="I251" s="2" t="s">
        <v>12</v>
      </c>
      <c r="K251" t="s">
        <v>270</v>
      </c>
      <c r="L251" t="s">
        <v>14</v>
      </c>
      <c r="M251" t="s">
        <v>15</v>
      </c>
      <c r="N251" t="s">
        <v>11</v>
      </c>
      <c r="O251" t="s">
        <v>28</v>
      </c>
      <c r="P251" t="s">
        <v>186</v>
      </c>
      <c r="Q251" t="s">
        <v>13</v>
      </c>
      <c r="R251" t="s">
        <v>19</v>
      </c>
      <c r="S251" t="s">
        <v>12</v>
      </c>
      <c r="U251" t="b">
        <f>L251=_R32Matchups[[#This Row],[1A vs]]</f>
        <v>1</v>
      </c>
      <c r="V251" t="b">
        <f>M251=_R32Matchups[[#This Row],[1B vs]]</f>
        <v>1</v>
      </c>
      <c r="W251" t="b">
        <f>N251=_R32Matchups[[#This Row],[1D vs]]</f>
        <v>1</v>
      </c>
      <c r="X251" t="b">
        <f>O251=_R32Matchups[[#This Row],[1E vs]]</f>
        <v>1</v>
      </c>
      <c r="Y251" t="b">
        <f>P251=_R32Matchups[[#This Row],[1G vs]]</f>
        <v>1</v>
      </c>
      <c r="Z251" t="b">
        <f>Q251=_R32Matchups[[#This Row],[1I vs]]</f>
        <v>1</v>
      </c>
      <c r="AA251" t="b">
        <f>R251=_R32Matchups[[#This Row],[1K vs]]</f>
        <v>1</v>
      </c>
      <c r="AB251" t="b">
        <f>S251=_R32Matchups[[#This Row],[1L vs]]</f>
        <v>1</v>
      </c>
    </row>
    <row r="252" spans="1:28" ht="14.4">
      <c r="A252" s="2" t="s">
        <v>271</v>
      </c>
      <c r="B252" s="2" t="s">
        <v>10</v>
      </c>
      <c r="C252" s="2" t="s">
        <v>11</v>
      </c>
      <c r="D252" s="2" t="s">
        <v>12</v>
      </c>
      <c r="E252" s="2" t="s">
        <v>28</v>
      </c>
      <c r="F252" s="2" t="s">
        <v>186</v>
      </c>
      <c r="G252" s="2" t="s">
        <v>19</v>
      </c>
      <c r="H252" s="2" t="s">
        <v>16</v>
      </c>
      <c r="I252" s="2" t="s">
        <v>17</v>
      </c>
      <c r="K252" t="s">
        <v>271</v>
      </c>
      <c r="L252" t="s">
        <v>10</v>
      </c>
      <c r="M252" t="s">
        <v>11</v>
      </c>
      <c r="N252" t="s">
        <v>12</v>
      </c>
      <c r="O252" t="s">
        <v>28</v>
      </c>
      <c r="P252" t="s">
        <v>186</v>
      </c>
      <c r="Q252" t="s">
        <v>19</v>
      </c>
      <c r="R252" t="s">
        <v>16</v>
      </c>
      <c r="S252" t="s">
        <v>17</v>
      </c>
      <c r="U252" t="b">
        <f>L252=_R32Matchups[[#This Row],[1A vs]]</f>
        <v>1</v>
      </c>
      <c r="V252" t="b">
        <f>M252=_R32Matchups[[#This Row],[1B vs]]</f>
        <v>1</v>
      </c>
      <c r="W252" t="b">
        <f>N252=_R32Matchups[[#This Row],[1D vs]]</f>
        <v>1</v>
      </c>
      <c r="X252" t="b">
        <f>O252=_R32Matchups[[#This Row],[1E vs]]</f>
        <v>1</v>
      </c>
      <c r="Y252" t="b">
        <f>P252=_R32Matchups[[#This Row],[1G vs]]</f>
        <v>1</v>
      </c>
      <c r="Z252" t="b">
        <f>Q252=_R32Matchups[[#This Row],[1I vs]]</f>
        <v>1</v>
      </c>
      <c r="AA252" t="b">
        <f>R252=_R32Matchups[[#This Row],[1K vs]]</f>
        <v>1</v>
      </c>
      <c r="AB252" t="b">
        <f>S252=_R32Matchups[[#This Row],[1L vs]]</f>
        <v>1</v>
      </c>
    </row>
    <row r="253" spans="1:28" ht="14.4">
      <c r="A253" s="2" t="s">
        <v>272</v>
      </c>
      <c r="B253" s="2" t="s">
        <v>14</v>
      </c>
      <c r="C253" s="2" t="s">
        <v>11</v>
      </c>
      <c r="D253" s="2" t="s">
        <v>10</v>
      </c>
      <c r="E253" s="2" t="s">
        <v>28</v>
      </c>
      <c r="F253" s="2" t="s">
        <v>186</v>
      </c>
      <c r="G253" s="2" t="s">
        <v>19</v>
      </c>
      <c r="H253" s="2" t="s">
        <v>16</v>
      </c>
      <c r="I253" s="2" t="s">
        <v>17</v>
      </c>
      <c r="K253" t="s">
        <v>272</v>
      </c>
      <c r="L253" t="s">
        <v>14</v>
      </c>
      <c r="M253" t="s">
        <v>11</v>
      </c>
      <c r="N253" t="s">
        <v>10</v>
      </c>
      <c r="O253" t="s">
        <v>28</v>
      </c>
      <c r="P253" t="s">
        <v>186</v>
      </c>
      <c r="Q253" t="s">
        <v>19</v>
      </c>
      <c r="R253" t="s">
        <v>16</v>
      </c>
      <c r="S253" t="s">
        <v>17</v>
      </c>
      <c r="U253" t="b">
        <f>L253=_R32Matchups[[#This Row],[1A vs]]</f>
        <v>1</v>
      </c>
      <c r="V253" t="b">
        <f>M253=_R32Matchups[[#This Row],[1B vs]]</f>
        <v>1</v>
      </c>
      <c r="W253" t="b">
        <f>N253=_R32Matchups[[#This Row],[1D vs]]</f>
        <v>1</v>
      </c>
      <c r="X253" t="b">
        <f>O253=_R32Matchups[[#This Row],[1E vs]]</f>
        <v>1</v>
      </c>
      <c r="Y253" t="b">
        <f>P253=_R32Matchups[[#This Row],[1G vs]]</f>
        <v>1</v>
      </c>
      <c r="Z253" t="b">
        <f>Q253=_R32Matchups[[#This Row],[1I vs]]</f>
        <v>1</v>
      </c>
      <c r="AA253" t="b">
        <f>R253=_R32Matchups[[#This Row],[1K vs]]</f>
        <v>1</v>
      </c>
      <c r="AB253" t="b">
        <f>S253=_R32Matchups[[#This Row],[1L vs]]</f>
        <v>1</v>
      </c>
    </row>
    <row r="254" spans="1:28" ht="14.4">
      <c r="A254" s="2" t="s">
        <v>273</v>
      </c>
      <c r="B254" s="2" t="s">
        <v>14</v>
      </c>
      <c r="C254" s="2" t="s">
        <v>10</v>
      </c>
      <c r="D254" s="2" t="s">
        <v>12</v>
      </c>
      <c r="E254" s="2" t="s">
        <v>28</v>
      </c>
      <c r="F254" s="2" t="s">
        <v>186</v>
      </c>
      <c r="G254" s="2" t="s">
        <v>19</v>
      </c>
      <c r="H254" s="2" t="s">
        <v>16</v>
      </c>
      <c r="I254" s="2" t="s">
        <v>17</v>
      </c>
      <c r="K254" t="s">
        <v>273</v>
      </c>
      <c r="L254" t="s">
        <v>14</v>
      </c>
      <c r="M254" t="s">
        <v>10</v>
      </c>
      <c r="N254" t="s">
        <v>12</v>
      </c>
      <c r="O254" t="s">
        <v>28</v>
      </c>
      <c r="P254" t="s">
        <v>186</v>
      </c>
      <c r="Q254" t="s">
        <v>19</v>
      </c>
      <c r="R254" t="s">
        <v>16</v>
      </c>
      <c r="S254" t="s">
        <v>17</v>
      </c>
      <c r="U254" t="b">
        <f>L254=_R32Matchups[[#This Row],[1A vs]]</f>
        <v>1</v>
      </c>
      <c r="V254" t="b">
        <f>M254=_R32Matchups[[#This Row],[1B vs]]</f>
        <v>1</v>
      </c>
      <c r="W254" t="b">
        <f>N254=_R32Matchups[[#This Row],[1D vs]]</f>
        <v>1</v>
      </c>
      <c r="X254" t="b">
        <f>O254=_R32Matchups[[#This Row],[1E vs]]</f>
        <v>1</v>
      </c>
      <c r="Y254" t="b">
        <f>P254=_R32Matchups[[#This Row],[1G vs]]</f>
        <v>1</v>
      </c>
      <c r="Z254" t="b">
        <f>Q254=_R32Matchups[[#This Row],[1I vs]]</f>
        <v>1</v>
      </c>
      <c r="AA254" t="b">
        <f>R254=_R32Matchups[[#This Row],[1K vs]]</f>
        <v>1</v>
      </c>
      <c r="AB254" t="b">
        <f>S254=_R32Matchups[[#This Row],[1L vs]]</f>
        <v>1</v>
      </c>
    </row>
    <row r="255" spans="1:28" ht="14.4">
      <c r="A255" s="2" t="s">
        <v>274</v>
      </c>
      <c r="B255" s="2" t="s">
        <v>14</v>
      </c>
      <c r="C255" s="2" t="s">
        <v>11</v>
      </c>
      <c r="D255" s="2" t="s">
        <v>10</v>
      </c>
      <c r="E255" s="2" t="s">
        <v>28</v>
      </c>
      <c r="F255" s="2" t="s">
        <v>186</v>
      </c>
      <c r="G255" s="2" t="s">
        <v>19</v>
      </c>
      <c r="H255" s="2" t="s">
        <v>16</v>
      </c>
      <c r="I255" s="2" t="s">
        <v>12</v>
      </c>
      <c r="K255" t="s">
        <v>274</v>
      </c>
      <c r="L255" t="s">
        <v>14</v>
      </c>
      <c r="M255" t="s">
        <v>11</v>
      </c>
      <c r="N255" t="s">
        <v>10</v>
      </c>
      <c r="O255" t="s">
        <v>28</v>
      </c>
      <c r="P255" t="s">
        <v>186</v>
      </c>
      <c r="Q255" t="s">
        <v>19</v>
      </c>
      <c r="R255" t="s">
        <v>16</v>
      </c>
      <c r="S255" t="s">
        <v>12</v>
      </c>
      <c r="U255" t="b">
        <f>L255=_R32Matchups[[#This Row],[1A vs]]</f>
        <v>1</v>
      </c>
      <c r="V255" t="b">
        <f>M255=_R32Matchups[[#This Row],[1B vs]]</f>
        <v>1</v>
      </c>
      <c r="W255" t="b">
        <f>N255=_R32Matchups[[#This Row],[1D vs]]</f>
        <v>1</v>
      </c>
      <c r="X255" t="b">
        <f>O255=_R32Matchups[[#This Row],[1E vs]]</f>
        <v>1</v>
      </c>
      <c r="Y255" t="b">
        <f>P255=_R32Matchups[[#This Row],[1G vs]]</f>
        <v>1</v>
      </c>
      <c r="Z255" t="b">
        <f>Q255=_R32Matchups[[#This Row],[1I vs]]</f>
        <v>1</v>
      </c>
      <c r="AA255" t="b">
        <f>R255=_R32Matchups[[#This Row],[1K vs]]</f>
        <v>1</v>
      </c>
      <c r="AB255" t="b">
        <f>S255=_R32Matchups[[#This Row],[1L vs]]</f>
        <v>1</v>
      </c>
    </row>
    <row r="256" spans="1:28" ht="14.4">
      <c r="A256" s="2" t="s">
        <v>275</v>
      </c>
      <c r="B256" s="2" t="s">
        <v>14</v>
      </c>
      <c r="C256" s="2" t="s">
        <v>11</v>
      </c>
      <c r="D256" s="2" t="s">
        <v>10</v>
      </c>
      <c r="E256" s="2" t="s">
        <v>28</v>
      </c>
      <c r="F256" s="2" t="s">
        <v>186</v>
      </c>
      <c r="G256" s="2" t="s">
        <v>19</v>
      </c>
      <c r="H256" s="2" t="s">
        <v>12</v>
      </c>
      <c r="I256" s="2" t="s">
        <v>17</v>
      </c>
      <c r="K256" t="s">
        <v>275</v>
      </c>
      <c r="L256" t="s">
        <v>14</v>
      </c>
      <c r="M256" t="s">
        <v>11</v>
      </c>
      <c r="N256" t="s">
        <v>10</v>
      </c>
      <c r="O256" t="s">
        <v>28</v>
      </c>
      <c r="P256" t="s">
        <v>186</v>
      </c>
      <c r="Q256" t="s">
        <v>19</v>
      </c>
      <c r="R256" t="s">
        <v>12</v>
      </c>
      <c r="S256" t="s">
        <v>17</v>
      </c>
      <c r="U256" t="b">
        <f>L256=_R32Matchups[[#This Row],[1A vs]]</f>
        <v>1</v>
      </c>
      <c r="V256" t="b">
        <f>M256=_R32Matchups[[#This Row],[1B vs]]</f>
        <v>1</v>
      </c>
      <c r="W256" t="b">
        <f>N256=_R32Matchups[[#This Row],[1D vs]]</f>
        <v>1</v>
      </c>
      <c r="X256" t="b">
        <f>O256=_R32Matchups[[#This Row],[1E vs]]</f>
        <v>1</v>
      </c>
      <c r="Y256" t="b">
        <f>P256=_R32Matchups[[#This Row],[1G vs]]</f>
        <v>1</v>
      </c>
      <c r="Z256" t="b">
        <f>Q256=_R32Matchups[[#This Row],[1I vs]]</f>
        <v>1</v>
      </c>
      <c r="AA256" t="b">
        <f>R256=_R32Matchups[[#This Row],[1K vs]]</f>
        <v>1</v>
      </c>
      <c r="AB256" t="b">
        <f>S256=_R32Matchups[[#This Row],[1L vs]]</f>
        <v>1</v>
      </c>
    </row>
    <row r="257" spans="1:28" ht="14.4">
      <c r="A257" s="2" t="s">
        <v>276</v>
      </c>
      <c r="B257" s="2" t="s">
        <v>10</v>
      </c>
      <c r="C257" s="2" t="s">
        <v>15</v>
      </c>
      <c r="D257" s="2" t="s">
        <v>11</v>
      </c>
      <c r="E257" s="2" t="s">
        <v>28</v>
      </c>
      <c r="F257" s="2" t="s">
        <v>186</v>
      </c>
      <c r="G257" s="2" t="s">
        <v>19</v>
      </c>
      <c r="H257" s="2" t="s">
        <v>16</v>
      </c>
      <c r="I257" s="2" t="s">
        <v>17</v>
      </c>
      <c r="K257" t="s">
        <v>276</v>
      </c>
      <c r="L257" t="s">
        <v>10</v>
      </c>
      <c r="M257" t="s">
        <v>15</v>
      </c>
      <c r="N257" t="s">
        <v>11</v>
      </c>
      <c r="O257" t="s">
        <v>28</v>
      </c>
      <c r="P257" t="s">
        <v>186</v>
      </c>
      <c r="Q257" t="s">
        <v>19</v>
      </c>
      <c r="R257" t="s">
        <v>16</v>
      </c>
      <c r="S257" t="s">
        <v>17</v>
      </c>
      <c r="U257" t="b">
        <f>L257=_R32Matchups[[#This Row],[1A vs]]</f>
        <v>1</v>
      </c>
      <c r="V257" t="b">
        <f>M257=_R32Matchups[[#This Row],[1B vs]]</f>
        <v>1</v>
      </c>
      <c r="W257" t="b">
        <f>N257=_R32Matchups[[#This Row],[1D vs]]</f>
        <v>1</v>
      </c>
      <c r="X257" t="b">
        <f>O257=_R32Matchups[[#This Row],[1E vs]]</f>
        <v>1</v>
      </c>
      <c r="Y257" t="b">
        <f>P257=_R32Matchups[[#This Row],[1G vs]]</f>
        <v>1</v>
      </c>
      <c r="Z257" t="b">
        <f>Q257=_R32Matchups[[#This Row],[1I vs]]</f>
        <v>1</v>
      </c>
      <c r="AA257" t="b">
        <f>R257=_R32Matchups[[#This Row],[1K vs]]</f>
        <v>1</v>
      </c>
      <c r="AB257" t="b">
        <f>S257=_R32Matchups[[#This Row],[1L vs]]</f>
        <v>1</v>
      </c>
    </row>
    <row r="258" spans="1:28" ht="14.4">
      <c r="A258" s="2" t="s">
        <v>277</v>
      </c>
      <c r="B258" s="2" t="s">
        <v>10</v>
      </c>
      <c r="C258" s="2" t="s">
        <v>15</v>
      </c>
      <c r="D258" s="2" t="s">
        <v>12</v>
      </c>
      <c r="E258" s="2" t="s">
        <v>28</v>
      </c>
      <c r="F258" s="2" t="s">
        <v>186</v>
      </c>
      <c r="G258" s="2" t="s">
        <v>19</v>
      </c>
      <c r="H258" s="2" t="s">
        <v>16</v>
      </c>
      <c r="I258" s="2" t="s">
        <v>17</v>
      </c>
      <c r="K258" t="s">
        <v>277</v>
      </c>
      <c r="L258" t="s">
        <v>10</v>
      </c>
      <c r="M258" t="s">
        <v>15</v>
      </c>
      <c r="N258" t="s">
        <v>12</v>
      </c>
      <c r="O258" t="s">
        <v>28</v>
      </c>
      <c r="P258" t="s">
        <v>186</v>
      </c>
      <c r="Q258" t="s">
        <v>19</v>
      </c>
      <c r="R258" t="s">
        <v>16</v>
      </c>
      <c r="S258" t="s">
        <v>17</v>
      </c>
      <c r="U258" t="b">
        <f>L258=_R32Matchups[[#This Row],[1A vs]]</f>
        <v>1</v>
      </c>
      <c r="V258" t="b">
        <f>M258=_R32Matchups[[#This Row],[1B vs]]</f>
        <v>1</v>
      </c>
      <c r="W258" t="b">
        <f>N258=_R32Matchups[[#This Row],[1D vs]]</f>
        <v>1</v>
      </c>
      <c r="X258" t="b">
        <f>O258=_R32Matchups[[#This Row],[1E vs]]</f>
        <v>1</v>
      </c>
      <c r="Y258" t="b">
        <f>P258=_R32Matchups[[#This Row],[1G vs]]</f>
        <v>1</v>
      </c>
      <c r="Z258" t="b">
        <f>Q258=_R32Matchups[[#This Row],[1I vs]]</f>
        <v>1</v>
      </c>
      <c r="AA258" t="b">
        <f>R258=_R32Matchups[[#This Row],[1K vs]]</f>
        <v>1</v>
      </c>
      <c r="AB258" t="b">
        <f>S258=_R32Matchups[[#This Row],[1L vs]]</f>
        <v>1</v>
      </c>
    </row>
    <row r="259" spans="1:28" ht="14.4">
      <c r="A259" s="2" t="s">
        <v>278</v>
      </c>
      <c r="B259" s="2" t="s">
        <v>10</v>
      </c>
      <c r="C259" s="2" t="s">
        <v>15</v>
      </c>
      <c r="D259" s="2" t="s">
        <v>11</v>
      </c>
      <c r="E259" s="2" t="s">
        <v>28</v>
      </c>
      <c r="F259" s="2" t="s">
        <v>186</v>
      </c>
      <c r="G259" s="2" t="s">
        <v>19</v>
      </c>
      <c r="H259" s="2" t="s">
        <v>16</v>
      </c>
      <c r="I259" s="2" t="s">
        <v>12</v>
      </c>
      <c r="K259" t="s">
        <v>278</v>
      </c>
      <c r="L259" t="s">
        <v>10</v>
      </c>
      <c r="M259" t="s">
        <v>15</v>
      </c>
      <c r="N259" t="s">
        <v>11</v>
      </c>
      <c r="O259" t="s">
        <v>28</v>
      </c>
      <c r="P259" t="s">
        <v>186</v>
      </c>
      <c r="Q259" t="s">
        <v>19</v>
      </c>
      <c r="R259" t="s">
        <v>16</v>
      </c>
      <c r="S259" t="s">
        <v>12</v>
      </c>
      <c r="U259" t="b">
        <f>L259=_R32Matchups[[#This Row],[1A vs]]</f>
        <v>1</v>
      </c>
      <c r="V259" t="b">
        <f>M259=_R32Matchups[[#This Row],[1B vs]]</f>
        <v>1</v>
      </c>
      <c r="W259" t="b">
        <f>N259=_R32Matchups[[#This Row],[1D vs]]</f>
        <v>1</v>
      </c>
      <c r="X259" t="b">
        <f>O259=_R32Matchups[[#This Row],[1E vs]]</f>
        <v>1</v>
      </c>
      <c r="Y259" t="b">
        <f>P259=_R32Matchups[[#This Row],[1G vs]]</f>
        <v>1</v>
      </c>
      <c r="Z259" t="b">
        <f>Q259=_R32Matchups[[#This Row],[1I vs]]</f>
        <v>1</v>
      </c>
      <c r="AA259" t="b">
        <f>R259=_R32Matchups[[#This Row],[1K vs]]</f>
        <v>1</v>
      </c>
      <c r="AB259" t="b">
        <f>S259=_R32Matchups[[#This Row],[1L vs]]</f>
        <v>1</v>
      </c>
    </row>
    <row r="260" spans="1:28" ht="14.4">
      <c r="A260" s="2" t="s">
        <v>279</v>
      </c>
      <c r="B260" s="2" t="s">
        <v>10</v>
      </c>
      <c r="C260" s="2" t="s">
        <v>15</v>
      </c>
      <c r="D260" s="2" t="s">
        <v>11</v>
      </c>
      <c r="E260" s="2" t="s">
        <v>28</v>
      </c>
      <c r="F260" s="2" t="s">
        <v>186</v>
      </c>
      <c r="G260" s="2" t="s">
        <v>19</v>
      </c>
      <c r="H260" s="2" t="s">
        <v>12</v>
      </c>
      <c r="I260" s="2" t="s">
        <v>17</v>
      </c>
      <c r="K260" t="s">
        <v>279</v>
      </c>
      <c r="L260" t="s">
        <v>10</v>
      </c>
      <c r="M260" t="s">
        <v>15</v>
      </c>
      <c r="N260" t="s">
        <v>11</v>
      </c>
      <c r="O260" t="s">
        <v>28</v>
      </c>
      <c r="P260" t="s">
        <v>186</v>
      </c>
      <c r="Q260" t="s">
        <v>19</v>
      </c>
      <c r="R260" t="s">
        <v>12</v>
      </c>
      <c r="S260" t="s">
        <v>17</v>
      </c>
      <c r="U260" t="b">
        <f>L260=_R32Matchups[[#This Row],[1A vs]]</f>
        <v>1</v>
      </c>
      <c r="V260" t="b">
        <f>M260=_R32Matchups[[#This Row],[1B vs]]</f>
        <v>1</v>
      </c>
      <c r="W260" t="b">
        <f>N260=_R32Matchups[[#This Row],[1D vs]]</f>
        <v>1</v>
      </c>
      <c r="X260" t="b">
        <f>O260=_R32Matchups[[#This Row],[1E vs]]</f>
        <v>1</v>
      </c>
      <c r="Y260" t="b">
        <f>P260=_R32Matchups[[#This Row],[1G vs]]</f>
        <v>1</v>
      </c>
      <c r="Z260" t="b">
        <f>Q260=_R32Matchups[[#This Row],[1I vs]]</f>
        <v>1</v>
      </c>
      <c r="AA260" t="b">
        <f>R260=_R32Matchups[[#This Row],[1K vs]]</f>
        <v>1</v>
      </c>
      <c r="AB260" t="b">
        <f>S260=_R32Matchups[[#This Row],[1L vs]]</f>
        <v>1</v>
      </c>
    </row>
    <row r="261" spans="1:28" ht="14.4">
      <c r="A261" s="2" t="s">
        <v>280</v>
      </c>
      <c r="B261" s="2" t="s">
        <v>14</v>
      </c>
      <c r="C261" s="2" t="s">
        <v>15</v>
      </c>
      <c r="D261" s="2" t="s">
        <v>10</v>
      </c>
      <c r="E261" s="2" t="s">
        <v>28</v>
      </c>
      <c r="F261" s="2" t="s">
        <v>186</v>
      </c>
      <c r="G261" s="2" t="s">
        <v>19</v>
      </c>
      <c r="H261" s="2" t="s">
        <v>16</v>
      </c>
      <c r="I261" s="2" t="s">
        <v>17</v>
      </c>
      <c r="K261" t="s">
        <v>280</v>
      </c>
      <c r="L261" t="s">
        <v>14</v>
      </c>
      <c r="M261" t="s">
        <v>15</v>
      </c>
      <c r="N261" t="s">
        <v>10</v>
      </c>
      <c r="O261" t="s">
        <v>28</v>
      </c>
      <c r="P261" t="s">
        <v>186</v>
      </c>
      <c r="Q261" t="s">
        <v>19</v>
      </c>
      <c r="R261" t="s">
        <v>16</v>
      </c>
      <c r="S261" t="s">
        <v>17</v>
      </c>
      <c r="U261" t="b">
        <f>L261=_R32Matchups[[#This Row],[1A vs]]</f>
        <v>1</v>
      </c>
      <c r="V261" t="b">
        <f>M261=_R32Matchups[[#This Row],[1B vs]]</f>
        <v>1</v>
      </c>
      <c r="W261" t="b">
        <f>N261=_R32Matchups[[#This Row],[1D vs]]</f>
        <v>1</v>
      </c>
      <c r="X261" t="b">
        <f>O261=_R32Matchups[[#This Row],[1E vs]]</f>
        <v>1</v>
      </c>
      <c r="Y261" t="b">
        <f>P261=_R32Matchups[[#This Row],[1G vs]]</f>
        <v>1</v>
      </c>
      <c r="Z261" t="b">
        <f>Q261=_R32Matchups[[#This Row],[1I vs]]</f>
        <v>1</v>
      </c>
      <c r="AA261" t="b">
        <f>R261=_R32Matchups[[#This Row],[1K vs]]</f>
        <v>1</v>
      </c>
      <c r="AB261" t="b">
        <f>S261=_R32Matchups[[#This Row],[1L vs]]</f>
        <v>1</v>
      </c>
    </row>
    <row r="262" spans="1:28" ht="14.4">
      <c r="A262" s="2" t="s">
        <v>281</v>
      </c>
      <c r="B262" s="2" t="s">
        <v>14</v>
      </c>
      <c r="C262" s="2" t="s">
        <v>15</v>
      </c>
      <c r="D262" s="2" t="s">
        <v>11</v>
      </c>
      <c r="E262" s="2" t="s">
        <v>28</v>
      </c>
      <c r="F262" s="2" t="s">
        <v>186</v>
      </c>
      <c r="G262" s="2" t="s">
        <v>19</v>
      </c>
      <c r="H262" s="2" t="s">
        <v>16</v>
      </c>
      <c r="I262" s="2" t="s">
        <v>10</v>
      </c>
      <c r="K262" t="s">
        <v>281</v>
      </c>
      <c r="L262" t="s">
        <v>14</v>
      </c>
      <c r="M262" t="s">
        <v>15</v>
      </c>
      <c r="N262" t="s">
        <v>11</v>
      </c>
      <c r="O262" t="s">
        <v>28</v>
      </c>
      <c r="P262" t="s">
        <v>186</v>
      </c>
      <c r="Q262" t="s">
        <v>19</v>
      </c>
      <c r="R262" t="s">
        <v>16</v>
      </c>
      <c r="S262" t="s">
        <v>10</v>
      </c>
      <c r="U262" t="b">
        <f>L262=_R32Matchups[[#This Row],[1A vs]]</f>
        <v>1</v>
      </c>
      <c r="V262" t="b">
        <f>M262=_R32Matchups[[#This Row],[1B vs]]</f>
        <v>1</v>
      </c>
      <c r="W262" t="b">
        <f>N262=_R32Matchups[[#This Row],[1D vs]]</f>
        <v>1</v>
      </c>
      <c r="X262" t="b">
        <f>O262=_R32Matchups[[#This Row],[1E vs]]</f>
        <v>1</v>
      </c>
      <c r="Y262" t="b">
        <f>P262=_R32Matchups[[#This Row],[1G vs]]</f>
        <v>1</v>
      </c>
      <c r="Z262" t="b">
        <f>Q262=_R32Matchups[[#This Row],[1I vs]]</f>
        <v>1</v>
      </c>
      <c r="AA262" t="b">
        <f>R262=_R32Matchups[[#This Row],[1K vs]]</f>
        <v>1</v>
      </c>
      <c r="AB262" t="b">
        <f>S262=_R32Matchups[[#This Row],[1L vs]]</f>
        <v>1</v>
      </c>
    </row>
    <row r="263" spans="1:28" ht="14.4">
      <c r="A263" s="2" t="s">
        <v>282</v>
      </c>
      <c r="B263" s="2" t="s">
        <v>14</v>
      </c>
      <c r="C263" s="2" t="s">
        <v>15</v>
      </c>
      <c r="D263" s="2" t="s">
        <v>11</v>
      </c>
      <c r="E263" s="2" t="s">
        <v>28</v>
      </c>
      <c r="F263" s="2" t="s">
        <v>186</v>
      </c>
      <c r="G263" s="2" t="s">
        <v>19</v>
      </c>
      <c r="H263" s="2" t="s">
        <v>10</v>
      </c>
      <c r="I263" s="2" t="s">
        <v>17</v>
      </c>
      <c r="K263" t="s">
        <v>282</v>
      </c>
      <c r="L263" t="s">
        <v>14</v>
      </c>
      <c r="M263" t="s">
        <v>15</v>
      </c>
      <c r="N263" t="s">
        <v>11</v>
      </c>
      <c r="O263" t="s">
        <v>28</v>
      </c>
      <c r="P263" t="s">
        <v>186</v>
      </c>
      <c r="Q263" t="s">
        <v>19</v>
      </c>
      <c r="R263" t="s">
        <v>10</v>
      </c>
      <c r="S263" t="s">
        <v>17</v>
      </c>
      <c r="U263" t="b">
        <f>L263=_R32Matchups[[#This Row],[1A vs]]</f>
        <v>1</v>
      </c>
      <c r="V263" t="b">
        <f>M263=_R32Matchups[[#This Row],[1B vs]]</f>
        <v>1</v>
      </c>
      <c r="W263" t="b">
        <f>N263=_R32Matchups[[#This Row],[1D vs]]</f>
        <v>1</v>
      </c>
      <c r="X263" t="b">
        <f>O263=_R32Matchups[[#This Row],[1E vs]]</f>
        <v>1</v>
      </c>
      <c r="Y263" t="b">
        <f>P263=_R32Matchups[[#This Row],[1G vs]]</f>
        <v>1</v>
      </c>
      <c r="Z263" t="b">
        <f>Q263=_R32Matchups[[#This Row],[1I vs]]</f>
        <v>1</v>
      </c>
      <c r="AA263" t="b">
        <f>R263=_R32Matchups[[#This Row],[1K vs]]</f>
        <v>1</v>
      </c>
      <c r="AB263" t="b">
        <f>S263=_R32Matchups[[#This Row],[1L vs]]</f>
        <v>1</v>
      </c>
    </row>
    <row r="264" spans="1:28" ht="14.4">
      <c r="A264" s="2" t="s">
        <v>283</v>
      </c>
      <c r="B264" s="2" t="s">
        <v>14</v>
      </c>
      <c r="C264" s="2" t="s">
        <v>15</v>
      </c>
      <c r="D264" s="2" t="s">
        <v>10</v>
      </c>
      <c r="E264" s="2" t="s">
        <v>28</v>
      </c>
      <c r="F264" s="2" t="s">
        <v>186</v>
      </c>
      <c r="G264" s="2" t="s">
        <v>19</v>
      </c>
      <c r="H264" s="2" t="s">
        <v>16</v>
      </c>
      <c r="I264" s="2" t="s">
        <v>12</v>
      </c>
      <c r="K264" t="s">
        <v>283</v>
      </c>
      <c r="L264" t="s">
        <v>14</v>
      </c>
      <c r="M264" t="s">
        <v>15</v>
      </c>
      <c r="N264" t="s">
        <v>10</v>
      </c>
      <c r="O264" t="s">
        <v>28</v>
      </c>
      <c r="P264" t="s">
        <v>186</v>
      </c>
      <c r="Q264" t="s">
        <v>19</v>
      </c>
      <c r="R264" t="s">
        <v>16</v>
      </c>
      <c r="S264" t="s">
        <v>12</v>
      </c>
      <c r="U264" t="b">
        <f>L264=_R32Matchups[[#This Row],[1A vs]]</f>
        <v>1</v>
      </c>
      <c r="V264" t="b">
        <f>M264=_R32Matchups[[#This Row],[1B vs]]</f>
        <v>1</v>
      </c>
      <c r="W264" t="b">
        <f>N264=_R32Matchups[[#This Row],[1D vs]]</f>
        <v>1</v>
      </c>
      <c r="X264" t="b">
        <f>O264=_R32Matchups[[#This Row],[1E vs]]</f>
        <v>1</v>
      </c>
      <c r="Y264" t="b">
        <f>P264=_R32Matchups[[#This Row],[1G vs]]</f>
        <v>1</v>
      </c>
      <c r="Z264" t="b">
        <f>Q264=_R32Matchups[[#This Row],[1I vs]]</f>
        <v>1</v>
      </c>
      <c r="AA264" t="b">
        <f>R264=_R32Matchups[[#This Row],[1K vs]]</f>
        <v>1</v>
      </c>
      <c r="AB264" t="b">
        <f>S264=_R32Matchups[[#This Row],[1L vs]]</f>
        <v>1</v>
      </c>
    </row>
    <row r="265" spans="1:28" ht="14.4">
      <c r="A265" s="2" t="s">
        <v>284</v>
      </c>
      <c r="B265" s="2" t="s">
        <v>14</v>
      </c>
      <c r="C265" s="2" t="s">
        <v>15</v>
      </c>
      <c r="D265" s="2" t="s">
        <v>10</v>
      </c>
      <c r="E265" s="2" t="s">
        <v>28</v>
      </c>
      <c r="F265" s="2" t="s">
        <v>186</v>
      </c>
      <c r="G265" s="2" t="s">
        <v>19</v>
      </c>
      <c r="H265" s="2" t="s">
        <v>12</v>
      </c>
      <c r="I265" s="2" t="s">
        <v>17</v>
      </c>
      <c r="K265" t="s">
        <v>284</v>
      </c>
      <c r="L265" t="s">
        <v>14</v>
      </c>
      <c r="M265" t="s">
        <v>15</v>
      </c>
      <c r="N265" t="s">
        <v>10</v>
      </c>
      <c r="O265" t="s">
        <v>28</v>
      </c>
      <c r="P265" t="s">
        <v>186</v>
      </c>
      <c r="Q265" t="s">
        <v>19</v>
      </c>
      <c r="R265" t="s">
        <v>12</v>
      </c>
      <c r="S265" t="s">
        <v>17</v>
      </c>
      <c r="U265" t="b">
        <f>L265=_R32Matchups[[#This Row],[1A vs]]</f>
        <v>1</v>
      </c>
      <c r="V265" t="b">
        <f>M265=_R32Matchups[[#This Row],[1B vs]]</f>
        <v>1</v>
      </c>
      <c r="W265" t="b">
        <f>N265=_R32Matchups[[#This Row],[1D vs]]</f>
        <v>1</v>
      </c>
      <c r="X265" t="b">
        <f>O265=_R32Matchups[[#This Row],[1E vs]]</f>
        <v>1</v>
      </c>
      <c r="Y265" t="b">
        <f>P265=_R32Matchups[[#This Row],[1G vs]]</f>
        <v>1</v>
      </c>
      <c r="Z265" t="b">
        <f>Q265=_R32Matchups[[#This Row],[1I vs]]</f>
        <v>1</v>
      </c>
      <c r="AA265" t="b">
        <f>R265=_R32Matchups[[#This Row],[1K vs]]</f>
        <v>1</v>
      </c>
      <c r="AB265" t="b">
        <f>S265=_R32Matchups[[#This Row],[1L vs]]</f>
        <v>1</v>
      </c>
    </row>
    <row r="266" spans="1:28" ht="14.4">
      <c r="A266" s="2" t="s">
        <v>285</v>
      </c>
      <c r="B266" s="2" t="s">
        <v>14</v>
      </c>
      <c r="C266" s="2" t="s">
        <v>15</v>
      </c>
      <c r="D266" s="2" t="s">
        <v>11</v>
      </c>
      <c r="E266" s="2" t="s">
        <v>28</v>
      </c>
      <c r="F266" s="2" t="s">
        <v>186</v>
      </c>
      <c r="G266" s="2" t="s">
        <v>19</v>
      </c>
      <c r="H266" s="2" t="s">
        <v>10</v>
      </c>
      <c r="I266" s="2" t="s">
        <v>12</v>
      </c>
      <c r="K266" t="s">
        <v>285</v>
      </c>
      <c r="L266" t="s">
        <v>14</v>
      </c>
      <c r="M266" t="s">
        <v>15</v>
      </c>
      <c r="N266" t="s">
        <v>11</v>
      </c>
      <c r="O266" t="s">
        <v>28</v>
      </c>
      <c r="P266" t="s">
        <v>186</v>
      </c>
      <c r="Q266" t="s">
        <v>19</v>
      </c>
      <c r="R266" t="s">
        <v>10</v>
      </c>
      <c r="S266" t="s">
        <v>12</v>
      </c>
      <c r="U266" t="b">
        <f>L266=_R32Matchups[[#This Row],[1A vs]]</f>
        <v>1</v>
      </c>
      <c r="V266" t="b">
        <f>M266=_R32Matchups[[#This Row],[1B vs]]</f>
        <v>1</v>
      </c>
      <c r="W266" t="b">
        <f>N266=_R32Matchups[[#This Row],[1D vs]]</f>
        <v>1</v>
      </c>
      <c r="X266" t="b">
        <f>O266=_R32Matchups[[#This Row],[1E vs]]</f>
        <v>1</v>
      </c>
      <c r="Y266" t="b">
        <f>P266=_R32Matchups[[#This Row],[1G vs]]</f>
        <v>1</v>
      </c>
      <c r="Z266" t="b">
        <f>Q266=_R32Matchups[[#This Row],[1I vs]]</f>
        <v>1</v>
      </c>
      <c r="AA266" t="b">
        <f>R266=_R32Matchups[[#This Row],[1K vs]]</f>
        <v>1</v>
      </c>
      <c r="AB266" t="b">
        <f>S266=_R32Matchups[[#This Row],[1L vs]]</f>
        <v>1</v>
      </c>
    </row>
    <row r="267" spans="1:28" ht="14.4">
      <c r="A267" s="2" t="s">
        <v>286</v>
      </c>
      <c r="B267" s="2" t="s">
        <v>28</v>
      </c>
      <c r="C267" s="2" t="s">
        <v>11</v>
      </c>
      <c r="D267" s="2" t="s">
        <v>10</v>
      </c>
      <c r="E267" s="2" t="s">
        <v>19</v>
      </c>
      <c r="F267" s="2" t="s">
        <v>186</v>
      </c>
      <c r="G267" s="2" t="s">
        <v>13</v>
      </c>
      <c r="H267" s="2" t="s">
        <v>16</v>
      </c>
      <c r="I267" s="2" t="s">
        <v>17</v>
      </c>
      <c r="K267" t="s">
        <v>286</v>
      </c>
      <c r="L267" t="s">
        <v>28</v>
      </c>
      <c r="M267" t="s">
        <v>11</v>
      </c>
      <c r="N267" t="s">
        <v>10</v>
      </c>
      <c r="O267" t="s">
        <v>19</v>
      </c>
      <c r="P267" t="s">
        <v>186</v>
      </c>
      <c r="Q267" t="s">
        <v>13</v>
      </c>
      <c r="R267" t="s">
        <v>16</v>
      </c>
      <c r="S267" t="s">
        <v>17</v>
      </c>
      <c r="U267" t="b">
        <f>L267=_R32Matchups[[#This Row],[1A vs]]</f>
        <v>1</v>
      </c>
      <c r="V267" t="b">
        <f>M267=_R32Matchups[[#This Row],[1B vs]]</f>
        <v>1</v>
      </c>
      <c r="W267" t="b">
        <f>N267=_R32Matchups[[#This Row],[1D vs]]</f>
        <v>1</v>
      </c>
      <c r="X267" t="b">
        <f>O267=_R32Matchups[[#This Row],[1E vs]]</f>
        <v>1</v>
      </c>
      <c r="Y267" t="b">
        <f>P267=_R32Matchups[[#This Row],[1G vs]]</f>
        <v>1</v>
      </c>
      <c r="Z267" t="b">
        <f>Q267=_R32Matchups[[#This Row],[1I vs]]</f>
        <v>1</v>
      </c>
      <c r="AA267" t="b">
        <f>R267=_R32Matchups[[#This Row],[1K vs]]</f>
        <v>1</v>
      </c>
      <c r="AB267" t="b">
        <f>S267=_R32Matchups[[#This Row],[1L vs]]</f>
        <v>1</v>
      </c>
    </row>
    <row r="268" spans="1:28" ht="14.4">
      <c r="A268" s="2" t="s">
        <v>287</v>
      </c>
      <c r="B268" s="2" t="s">
        <v>28</v>
      </c>
      <c r="C268" s="2" t="s">
        <v>10</v>
      </c>
      <c r="D268" s="2" t="s">
        <v>12</v>
      </c>
      <c r="E268" s="2" t="s">
        <v>19</v>
      </c>
      <c r="F268" s="2" t="s">
        <v>186</v>
      </c>
      <c r="G268" s="2" t="s">
        <v>13</v>
      </c>
      <c r="H268" s="2" t="s">
        <v>16</v>
      </c>
      <c r="I268" s="2" t="s">
        <v>17</v>
      </c>
      <c r="K268" t="s">
        <v>287</v>
      </c>
      <c r="L268" t="s">
        <v>28</v>
      </c>
      <c r="M268" t="s">
        <v>10</v>
      </c>
      <c r="N268" t="s">
        <v>12</v>
      </c>
      <c r="O268" t="s">
        <v>19</v>
      </c>
      <c r="P268" t="s">
        <v>186</v>
      </c>
      <c r="Q268" t="s">
        <v>13</v>
      </c>
      <c r="R268" t="s">
        <v>16</v>
      </c>
      <c r="S268" t="s">
        <v>17</v>
      </c>
      <c r="U268" t="b">
        <f>L268=_R32Matchups[[#This Row],[1A vs]]</f>
        <v>1</v>
      </c>
      <c r="V268" t="b">
        <f>M268=_R32Matchups[[#This Row],[1B vs]]</f>
        <v>1</v>
      </c>
      <c r="W268" t="b">
        <f>N268=_R32Matchups[[#This Row],[1D vs]]</f>
        <v>1</v>
      </c>
      <c r="X268" t="b">
        <f>O268=_R32Matchups[[#This Row],[1E vs]]</f>
        <v>1</v>
      </c>
      <c r="Y268" t="b">
        <f>P268=_R32Matchups[[#This Row],[1G vs]]</f>
        <v>1</v>
      </c>
      <c r="Z268" t="b">
        <f>Q268=_R32Matchups[[#This Row],[1I vs]]</f>
        <v>1</v>
      </c>
      <c r="AA268" t="b">
        <f>R268=_R32Matchups[[#This Row],[1K vs]]</f>
        <v>1</v>
      </c>
      <c r="AB268" t="b">
        <f>S268=_R32Matchups[[#This Row],[1L vs]]</f>
        <v>1</v>
      </c>
    </row>
    <row r="269" spans="1:28" ht="14.4">
      <c r="A269" s="2" t="s">
        <v>288</v>
      </c>
      <c r="B269" s="2" t="s">
        <v>28</v>
      </c>
      <c r="C269" s="2" t="s">
        <v>11</v>
      </c>
      <c r="D269" s="2" t="s">
        <v>10</v>
      </c>
      <c r="E269" s="2" t="s">
        <v>19</v>
      </c>
      <c r="F269" s="2" t="s">
        <v>186</v>
      </c>
      <c r="G269" s="2" t="s">
        <v>13</v>
      </c>
      <c r="H269" s="2" t="s">
        <v>16</v>
      </c>
      <c r="I269" s="2" t="s">
        <v>12</v>
      </c>
      <c r="K269" t="s">
        <v>288</v>
      </c>
      <c r="L269" t="s">
        <v>28</v>
      </c>
      <c r="M269" t="s">
        <v>11</v>
      </c>
      <c r="N269" t="s">
        <v>10</v>
      </c>
      <c r="O269" t="s">
        <v>19</v>
      </c>
      <c r="P269" t="s">
        <v>186</v>
      </c>
      <c r="Q269" t="s">
        <v>13</v>
      </c>
      <c r="R269" t="s">
        <v>16</v>
      </c>
      <c r="S269" t="s">
        <v>12</v>
      </c>
      <c r="U269" t="b">
        <f>L269=_R32Matchups[[#This Row],[1A vs]]</f>
        <v>1</v>
      </c>
      <c r="V269" t="b">
        <f>M269=_R32Matchups[[#This Row],[1B vs]]</f>
        <v>1</v>
      </c>
      <c r="W269" t="b">
        <f>N269=_R32Matchups[[#This Row],[1D vs]]</f>
        <v>1</v>
      </c>
      <c r="X269" t="b">
        <f>O269=_R32Matchups[[#This Row],[1E vs]]</f>
        <v>1</v>
      </c>
      <c r="Y269" t="b">
        <f>P269=_R32Matchups[[#This Row],[1G vs]]</f>
        <v>1</v>
      </c>
      <c r="Z269" t="b">
        <f>Q269=_R32Matchups[[#This Row],[1I vs]]</f>
        <v>1</v>
      </c>
      <c r="AA269" t="b">
        <f>R269=_R32Matchups[[#This Row],[1K vs]]</f>
        <v>1</v>
      </c>
      <c r="AB269" t="b">
        <f>S269=_R32Matchups[[#This Row],[1L vs]]</f>
        <v>1</v>
      </c>
    </row>
    <row r="270" spans="1:28" ht="14.4">
      <c r="A270" s="2" t="s">
        <v>289</v>
      </c>
      <c r="B270" s="2" t="s">
        <v>28</v>
      </c>
      <c r="C270" s="2" t="s">
        <v>11</v>
      </c>
      <c r="D270" s="2" t="s">
        <v>10</v>
      </c>
      <c r="E270" s="2" t="s">
        <v>19</v>
      </c>
      <c r="F270" s="2" t="s">
        <v>186</v>
      </c>
      <c r="G270" s="2" t="s">
        <v>13</v>
      </c>
      <c r="H270" s="2" t="s">
        <v>12</v>
      </c>
      <c r="I270" s="2" t="s">
        <v>17</v>
      </c>
      <c r="K270" t="s">
        <v>289</v>
      </c>
      <c r="L270" t="s">
        <v>28</v>
      </c>
      <c r="M270" t="s">
        <v>11</v>
      </c>
      <c r="N270" t="s">
        <v>10</v>
      </c>
      <c r="O270" t="s">
        <v>19</v>
      </c>
      <c r="P270" t="s">
        <v>186</v>
      </c>
      <c r="Q270" t="s">
        <v>13</v>
      </c>
      <c r="R270" t="s">
        <v>12</v>
      </c>
      <c r="S270" t="s">
        <v>17</v>
      </c>
      <c r="U270" t="b">
        <f>L270=_R32Matchups[[#This Row],[1A vs]]</f>
        <v>1</v>
      </c>
      <c r="V270" t="b">
        <f>M270=_R32Matchups[[#This Row],[1B vs]]</f>
        <v>1</v>
      </c>
      <c r="W270" t="b">
        <f>N270=_R32Matchups[[#This Row],[1D vs]]</f>
        <v>1</v>
      </c>
      <c r="X270" t="b">
        <f>O270=_R32Matchups[[#This Row],[1E vs]]</f>
        <v>1</v>
      </c>
      <c r="Y270" t="b">
        <f>P270=_R32Matchups[[#This Row],[1G vs]]</f>
        <v>1</v>
      </c>
      <c r="Z270" t="b">
        <f>Q270=_R32Matchups[[#This Row],[1I vs]]</f>
        <v>1</v>
      </c>
      <c r="AA270" t="b">
        <f>R270=_R32Matchups[[#This Row],[1K vs]]</f>
        <v>1</v>
      </c>
      <c r="AB270" t="b">
        <f>S270=_R32Matchups[[#This Row],[1L vs]]</f>
        <v>1</v>
      </c>
    </row>
    <row r="271" spans="1:28" ht="14.4">
      <c r="A271" s="2" t="s">
        <v>290</v>
      </c>
      <c r="B271" s="2" t="s">
        <v>14</v>
      </c>
      <c r="C271" s="2" t="s">
        <v>10</v>
      </c>
      <c r="D271" s="2" t="s">
        <v>13</v>
      </c>
      <c r="E271" s="2" t="s">
        <v>28</v>
      </c>
      <c r="F271" s="2" t="s">
        <v>186</v>
      </c>
      <c r="G271" s="2" t="s">
        <v>19</v>
      </c>
      <c r="H271" s="2" t="s">
        <v>16</v>
      </c>
      <c r="I271" s="2" t="s">
        <v>17</v>
      </c>
      <c r="K271" t="s">
        <v>290</v>
      </c>
      <c r="L271" t="s">
        <v>14</v>
      </c>
      <c r="M271" t="s">
        <v>10</v>
      </c>
      <c r="N271" t="s">
        <v>13</v>
      </c>
      <c r="O271" t="s">
        <v>28</v>
      </c>
      <c r="P271" t="s">
        <v>186</v>
      </c>
      <c r="Q271" t="s">
        <v>19</v>
      </c>
      <c r="R271" t="s">
        <v>16</v>
      </c>
      <c r="S271" t="s">
        <v>17</v>
      </c>
      <c r="U271" t="b">
        <f>L271=_R32Matchups[[#This Row],[1A vs]]</f>
        <v>1</v>
      </c>
      <c r="V271" t="b">
        <f>M271=_R32Matchups[[#This Row],[1B vs]]</f>
        <v>1</v>
      </c>
      <c r="W271" t="b">
        <f>N271=_R32Matchups[[#This Row],[1D vs]]</f>
        <v>1</v>
      </c>
      <c r="X271" t="b">
        <f>O271=_R32Matchups[[#This Row],[1E vs]]</f>
        <v>1</v>
      </c>
      <c r="Y271" t="b">
        <f>P271=_R32Matchups[[#This Row],[1G vs]]</f>
        <v>1</v>
      </c>
      <c r="Z271" t="b">
        <f>Q271=_R32Matchups[[#This Row],[1I vs]]</f>
        <v>1</v>
      </c>
      <c r="AA271" t="b">
        <f>R271=_R32Matchups[[#This Row],[1K vs]]</f>
        <v>1</v>
      </c>
      <c r="AB271" t="b">
        <f>S271=_R32Matchups[[#This Row],[1L vs]]</f>
        <v>1</v>
      </c>
    </row>
    <row r="272" spans="1:28" ht="14.4">
      <c r="A272" s="2" t="s">
        <v>291</v>
      </c>
      <c r="B272" s="2" t="s">
        <v>14</v>
      </c>
      <c r="C272" s="2" t="s">
        <v>11</v>
      </c>
      <c r="D272" s="2" t="s">
        <v>13</v>
      </c>
      <c r="E272" s="2" t="s">
        <v>28</v>
      </c>
      <c r="F272" s="2" t="s">
        <v>186</v>
      </c>
      <c r="G272" s="2" t="s">
        <v>19</v>
      </c>
      <c r="H272" s="2" t="s">
        <v>16</v>
      </c>
      <c r="I272" s="2" t="s">
        <v>10</v>
      </c>
      <c r="K272" t="s">
        <v>291</v>
      </c>
      <c r="L272" t="s">
        <v>14</v>
      </c>
      <c r="M272" t="s">
        <v>11</v>
      </c>
      <c r="N272" t="s">
        <v>13</v>
      </c>
      <c r="O272" t="s">
        <v>28</v>
      </c>
      <c r="P272" t="s">
        <v>186</v>
      </c>
      <c r="Q272" t="s">
        <v>19</v>
      </c>
      <c r="R272" t="s">
        <v>16</v>
      </c>
      <c r="S272" t="s">
        <v>10</v>
      </c>
      <c r="U272" t="b">
        <f>L272=_R32Matchups[[#This Row],[1A vs]]</f>
        <v>1</v>
      </c>
      <c r="V272" t="b">
        <f>M272=_R32Matchups[[#This Row],[1B vs]]</f>
        <v>1</v>
      </c>
      <c r="W272" t="b">
        <f>N272=_R32Matchups[[#This Row],[1D vs]]</f>
        <v>1</v>
      </c>
      <c r="X272" t="b">
        <f>O272=_R32Matchups[[#This Row],[1E vs]]</f>
        <v>1</v>
      </c>
      <c r="Y272" t="b">
        <f>P272=_R32Matchups[[#This Row],[1G vs]]</f>
        <v>1</v>
      </c>
      <c r="Z272" t="b">
        <f>Q272=_R32Matchups[[#This Row],[1I vs]]</f>
        <v>1</v>
      </c>
      <c r="AA272" t="b">
        <f>R272=_R32Matchups[[#This Row],[1K vs]]</f>
        <v>1</v>
      </c>
      <c r="AB272" t="b">
        <f>S272=_R32Matchups[[#This Row],[1L vs]]</f>
        <v>1</v>
      </c>
    </row>
    <row r="273" spans="1:28" ht="14.4">
      <c r="A273" s="2" t="s">
        <v>292</v>
      </c>
      <c r="B273" s="2" t="s">
        <v>14</v>
      </c>
      <c r="C273" s="2" t="s">
        <v>11</v>
      </c>
      <c r="D273" s="2" t="s">
        <v>10</v>
      </c>
      <c r="E273" s="2" t="s">
        <v>28</v>
      </c>
      <c r="F273" s="2" t="s">
        <v>186</v>
      </c>
      <c r="G273" s="2" t="s">
        <v>13</v>
      </c>
      <c r="H273" s="2" t="s">
        <v>19</v>
      </c>
      <c r="I273" s="2" t="s">
        <v>17</v>
      </c>
      <c r="K273" t="s">
        <v>292</v>
      </c>
      <c r="L273" t="s">
        <v>14</v>
      </c>
      <c r="M273" t="s">
        <v>11</v>
      </c>
      <c r="N273" t="s">
        <v>10</v>
      </c>
      <c r="O273" t="s">
        <v>28</v>
      </c>
      <c r="P273" t="s">
        <v>186</v>
      </c>
      <c r="Q273" t="s">
        <v>13</v>
      </c>
      <c r="R273" t="s">
        <v>19</v>
      </c>
      <c r="S273" t="s">
        <v>17</v>
      </c>
      <c r="U273" t="b">
        <f>L273=_R32Matchups[[#This Row],[1A vs]]</f>
        <v>1</v>
      </c>
      <c r="V273" t="b">
        <f>M273=_R32Matchups[[#This Row],[1B vs]]</f>
        <v>1</v>
      </c>
      <c r="W273" t="b">
        <f>N273=_R32Matchups[[#This Row],[1D vs]]</f>
        <v>1</v>
      </c>
      <c r="X273" t="b">
        <f>O273=_R32Matchups[[#This Row],[1E vs]]</f>
        <v>1</v>
      </c>
      <c r="Y273" t="b">
        <f>P273=_R32Matchups[[#This Row],[1G vs]]</f>
        <v>1</v>
      </c>
      <c r="Z273" t="b">
        <f>Q273=_R32Matchups[[#This Row],[1I vs]]</f>
        <v>1</v>
      </c>
      <c r="AA273" t="b">
        <f>R273=_R32Matchups[[#This Row],[1K vs]]</f>
        <v>1</v>
      </c>
      <c r="AB273" t="b">
        <f>S273=_R32Matchups[[#This Row],[1L vs]]</f>
        <v>1</v>
      </c>
    </row>
    <row r="274" spans="1:28" ht="14.4">
      <c r="A274" s="2" t="s">
        <v>293</v>
      </c>
      <c r="B274" s="2" t="s">
        <v>14</v>
      </c>
      <c r="C274" s="2" t="s">
        <v>10</v>
      </c>
      <c r="D274" s="2" t="s">
        <v>13</v>
      </c>
      <c r="E274" s="2" t="s">
        <v>28</v>
      </c>
      <c r="F274" s="2" t="s">
        <v>186</v>
      </c>
      <c r="G274" s="2" t="s">
        <v>19</v>
      </c>
      <c r="H274" s="2" t="s">
        <v>16</v>
      </c>
      <c r="I274" s="2" t="s">
        <v>12</v>
      </c>
      <c r="K274" t="s">
        <v>293</v>
      </c>
      <c r="L274" t="s">
        <v>14</v>
      </c>
      <c r="M274" t="s">
        <v>10</v>
      </c>
      <c r="N274" t="s">
        <v>13</v>
      </c>
      <c r="O274" t="s">
        <v>28</v>
      </c>
      <c r="P274" t="s">
        <v>186</v>
      </c>
      <c r="Q274" t="s">
        <v>19</v>
      </c>
      <c r="R274" t="s">
        <v>16</v>
      </c>
      <c r="S274" t="s">
        <v>12</v>
      </c>
      <c r="U274" t="b">
        <f>L274=_R32Matchups[[#This Row],[1A vs]]</f>
        <v>1</v>
      </c>
      <c r="V274" t="b">
        <f>M274=_R32Matchups[[#This Row],[1B vs]]</f>
        <v>1</v>
      </c>
      <c r="W274" t="b">
        <f>N274=_R32Matchups[[#This Row],[1D vs]]</f>
        <v>1</v>
      </c>
      <c r="X274" t="b">
        <f>O274=_R32Matchups[[#This Row],[1E vs]]</f>
        <v>1</v>
      </c>
      <c r="Y274" t="b">
        <f>P274=_R32Matchups[[#This Row],[1G vs]]</f>
        <v>1</v>
      </c>
      <c r="Z274" t="b">
        <f>Q274=_R32Matchups[[#This Row],[1I vs]]</f>
        <v>1</v>
      </c>
      <c r="AA274" t="b">
        <f>R274=_R32Matchups[[#This Row],[1K vs]]</f>
        <v>1</v>
      </c>
      <c r="AB274" t="b">
        <f>S274=_R32Matchups[[#This Row],[1L vs]]</f>
        <v>1</v>
      </c>
    </row>
    <row r="275" spans="1:28" ht="14.4">
      <c r="A275" s="2" t="s">
        <v>294</v>
      </c>
      <c r="B275" s="2" t="s">
        <v>14</v>
      </c>
      <c r="C275" s="2" t="s">
        <v>10</v>
      </c>
      <c r="D275" s="2" t="s">
        <v>13</v>
      </c>
      <c r="E275" s="2" t="s">
        <v>28</v>
      </c>
      <c r="F275" s="2" t="s">
        <v>186</v>
      </c>
      <c r="G275" s="2" t="s">
        <v>19</v>
      </c>
      <c r="H275" s="2" t="s">
        <v>12</v>
      </c>
      <c r="I275" s="2" t="s">
        <v>17</v>
      </c>
      <c r="K275" t="s">
        <v>294</v>
      </c>
      <c r="L275" t="s">
        <v>14</v>
      </c>
      <c r="M275" t="s">
        <v>10</v>
      </c>
      <c r="N275" t="s">
        <v>13</v>
      </c>
      <c r="O275" t="s">
        <v>28</v>
      </c>
      <c r="P275" t="s">
        <v>186</v>
      </c>
      <c r="Q275" t="s">
        <v>19</v>
      </c>
      <c r="R275" t="s">
        <v>12</v>
      </c>
      <c r="S275" t="s">
        <v>17</v>
      </c>
      <c r="U275" t="b">
        <f>L275=_R32Matchups[[#This Row],[1A vs]]</f>
        <v>1</v>
      </c>
      <c r="V275" t="b">
        <f>M275=_R32Matchups[[#This Row],[1B vs]]</f>
        <v>1</v>
      </c>
      <c r="W275" t="b">
        <f>N275=_R32Matchups[[#This Row],[1D vs]]</f>
        <v>1</v>
      </c>
      <c r="X275" t="b">
        <f>O275=_R32Matchups[[#This Row],[1E vs]]</f>
        <v>1</v>
      </c>
      <c r="Y275" t="b">
        <f>P275=_R32Matchups[[#This Row],[1G vs]]</f>
        <v>1</v>
      </c>
      <c r="Z275" t="b">
        <f>Q275=_R32Matchups[[#This Row],[1I vs]]</f>
        <v>1</v>
      </c>
      <c r="AA275" t="b">
        <f>R275=_R32Matchups[[#This Row],[1K vs]]</f>
        <v>1</v>
      </c>
      <c r="AB275" t="b">
        <f>S275=_R32Matchups[[#This Row],[1L vs]]</f>
        <v>1</v>
      </c>
    </row>
    <row r="276" spans="1:28" ht="14.4">
      <c r="A276" s="2" t="s">
        <v>295</v>
      </c>
      <c r="B276" s="2" t="s">
        <v>14</v>
      </c>
      <c r="C276" s="2" t="s">
        <v>11</v>
      </c>
      <c r="D276" s="2" t="s">
        <v>10</v>
      </c>
      <c r="E276" s="2" t="s">
        <v>28</v>
      </c>
      <c r="F276" s="2" t="s">
        <v>186</v>
      </c>
      <c r="G276" s="2" t="s">
        <v>13</v>
      </c>
      <c r="H276" s="2" t="s">
        <v>19</v>
      </c>
      <c r="I276" s="2" t="s">
        <v>12</v>
      </c>
      <c r="K276" t="s">
        <v>295</v>
      </c>
      <c r="L276" t="s">
        <v>14</v>
      </c>
      <c r="M276" t="s">
        <v>11</v>
      </c>
      <c r="N276" t="s">
        <v>10</v>
      </c>
      <c r="O276" t="s">
        <v>28</v>
      </c>
      <c r="P276" t="s">
        <v>186</v>
      </c>
      <c r="Q276" t="s">
        <v>13</v>
      </c>
      <c r="R276" t="s">
        <v>19</v>
      </c>
      <c r="S276" t="s">
        <v>12</v>
      </c>
      <c r="U276" t="b">
        <f>L276=_R32Matchups[[#This Row],[1A vs]]</f>
        <v>1</v>
      </c>
      <c r="V276" t="b">
        <f>M276=_R32Matchups[[#This Row],[1B vs]]</f>
        <v>1</v>
      </c>
      <c r="W276" t="b">
        <f>N276=_R32Matchups[[#This Row],[1D vs]]</f>
        <v>1</v>
      </c>
      <c r="X276" t="b">
        <f>O276=_R32Matchups[[#This Row],[1E vs]]</f>
        <v>1</v>
      </c>
      <c r="Y276" t="b">
        <f>P276=_R32Matchups[[#This Row],[1G vs]]</f>
        <v>1</v>
      </c>
      <c r="Z276" t="b">
        <f>Q276=_R32Matchups[[#This Row],[1I vs]]</f>
        <v>1</v>
      </c>
      <c r="AA276" t="b">
        <f>R276=_R32Matchups[[#This Row],[1K vs]]</f>
        <v>1</v>
      </c>
      <c r="AB276" t="b">
        <f>S276=_R32Matchups[[#This Row],[1L vs]]</f>
        <v>1</v>
      </c>
    </row>
    <row r="277" spans="1:28" ht="14.4">
      <c r="A277" s="2" t="s">
        <v>296</v>
      </c>
      <c r="B277" s="2" t="s">
        <v>28</v>
      </c>
      <c r="C277" s="2" t="s">
        <v>15</v>
      </c>
      <c r="D277" s="2" t="s">
        <v>10</v>
      </c>
      <c r="E277" s="2" t="s">
        <v>19</v>
      </c>
      <c r="F277" s="2" t="s">
        <v>186</v>
      </c>
      <c r="G277" s="2" t="s">
        <v>13</v>
      </c>
      <c r="H277" s="2" t="s">
        <v>16</v>
      </c>
      <c r="I277" s="2" t="s">
        <v>17</v>
      </c>
      <c r="K277" t="s">
        <v>296</v>
      </c>
      <c r="L277" t="s">
        <v>28</v>
      </c>
      <c r="M277" t="s">
        <v>15</v>
      </c>
      <c r="N277" t="s">
        <v>10</v>
      </c>
      <c r="O277" t="s">
        <v>19</v>
      </c>
      <c r="P277" t="s">
        <v>186</v>
      </c>
      <c r="Q277" t="s">
        <v>13</v>
      </c>
      <c r="R277" t="s">
        <v>16</v>
      </c>
      <c r="S277" t="s">
        <v>17</v>
      </c>
      <c r="U277" t="b">
        <f>L277=_R32Matchups[[#This Row],[1A vs]]</f>
        <v>1</v>
      </c>
      <c r="V277" t="b">
        <f>M277=_R32Matchups[[#This Row],[1B vs]]</f>
        <v>1</v>
      </c>
      <c r="W277" t="b">
        <f>N277=_R32Matchups[[#This Row],[1D vs]]</f>
        <v>1</v>
      </c>
      <c r="X277" t="b">
        <f>O277=_R32Matchups[[#This Row],[1E vs]]</f>
        <v>1</v>
      </c>
      <c r="Y277" t="b">
        <f>P277=_R32Matchups[[#This Row],[1G vs]]</f>
        <v>1</v>
      </c>
      <c r="Z277" t="b">
        <f>Q277=_R32Matchups[[#This Row],[1I vs]]</f>
        <v>1</v>
      </c>
      <c r="AA277" t="b">
        <f>R277=_R32Matchups[[#This Row],[1K vs]]</f>
        <v>1</v>
      </c>
      <c r="AB277" t="b">
        <f>S277=_R32Matchups[[#This Row],[1L vs]]</f>
        <v>1</v>
      </c>
    </row>
    <row r="278" spans="1:28" ht="14.4">
      <c r="A278" s="2" t="s">
        <v>297</v>
      </c>
      <c r="B278" s="2" t="s">
        <v>28</v>
      </c>
      <c r="C278" s="2" t="s">
        <v>15</v>
      </c>
      <c r="D278" s="2" t="s">
        <v>11</v>
      </c>
      <c r="E278" s="2" t="s">
        <v>19</v>
      </c>
      <c r="F278" s="2" t="s">
        <v>186</v>
      </c>
      <c r="G278" s="2" t="s">
        <v>13</v>
      </c>
      <c r="H278" s="2" t="s">
        <v>16</v>
      </c>
      <c r="I278" s="2" t="s">
        <v>10</v>
      </c>
      <c r="K278" t="s">
        <v>297</v>
      </c>
      <c r="L278" t="s">
        <v>28</v>
      </c>
      <c r="M278" t="s">
        <v>15</v>
      </c>
      <c r="N278" t="s">
        <v>11</v>
      </c>
      <c r="O278" t="s">
        <v>19</v>
      </c>
      <c r="P278" t="s">
        <v>186</v>
      </c>
      <c r="Q278" t="s">
        <v>13</v>
      </c>
      <c r="R278" t="s">
        <v>16</v>
      </c>
      <c r="S278" t="s">
        <v>10</v>
      </c>
      <c r="U278" t="b">
        <f>L278=_R32Matchups[[#This Row],[1A vs]]</f>
        <v>1</v>
      </c>
      <c r="V278" t="b">
        <f>M278=_R32Matchups[[#This Row],[1B vs]]</f>
        <v>1</v>
      </c>
      <c r="W278" t="b">
        <f>N278=_R32Matchups[[#This Row],[1D vs]]</f>
        <v>1</v>
      </c>
      <c r="X278" t="b">
        <f>O278=_R32Matchups[[#This Row],[1E vs]]</f>
        <v>1</v>
      </c>
      <c r="Y278" t="b">
        <f>P278=_R32Matchups[[#This Row],[1G vs]]</f>
        <v>1</v>
      </c>
      <c r="Z278" t="b">
        <f>Q278=_R32Matchups[[#This Row],[1I vs]]</f>
        <v>1</v>
      </c>
      <c r="AA278" t="b">
        <f>R278=_R32Matchups[[#This Row],[1K vs]]</f>
        <v>1</v>
      </c>
      <c r="AB278" t="b">
        <f>S278=_R32Matchups[[#This Row],[1L vs]]</f>
        <v>1</v>
      </c>
    </row>
    <row r="279" spans="1:28" ht="14.4">
      <c r="A279" s="2" t="s">
        <v>298</v>
      </c>
      <c r="B279" s="2" t="s">
        <v>28</v>
      </c>
      <c r="C279" s="2" t="s">
        <v>15</v>
      </c>
      <c r="D279" s="2" t="s">
        <v>11</v>
      </c>
      <c r="E279" s="2" t="s">
        <v>19</v>
      </c>
      <c r="F279" s="2" t="s">
        <v>186</v>
      </c>
      <c r="G279" s="2" t="s">
        <v>13</v>
      </c>
      <c r="H279" s="2" t="s">
        <v>10</v>
      </c>
      <c r="I279" s="2" t="s">
        <v>17</v>
      </c>
      <c r="K279" t="s">
        <v>298</v>
      </c>
      <c r="L279" t="s">
        <v>28</v>
      </c>
      <c r="M279" t="s">
        <v>15</v>
      </c>
      <c r="N279" t="s">
        <v>11</v>
      </c>
      <c r="O279" t="s">
        <v>19</v>
      </c>
      <c r="P279" t="s">
        <v>186</v>
      </c>
      <c r="Q279" t="s">
        <v>13</v>
      </c>
      <c r="R279" t="s">
        <v>10</v>
      </c>
      <c r="S279" t="s">
        <v>17</v>
      </c>
      <c r="U279" t="b">
        <f>L279=_R32Matchups[[#This Row],[1A vs]]</f>
        <v>1</v>
      </c>
      <c r="V279" t="b">
        <f>M279=_R32Matchups[[#This Row],[1B vs]]</f>
        <v>1</v>
      </c>
      <c r="W279" t="b">
        <f>N279=_R32Matchups[[#This Row],[1D vs]]</f>
        <v>1</v>
      </c>
      <c r="X279" t="b">
        <f>O279=_R32Matchups[[#This Row],[1E vs]]</f>
        <v>1</v>
      </c>
      <c r="Y279" t="b">
        <f>P279=_R32Matchups[[#This Row],[1G vs]]</f>
        <v>1</v>
      </c>
      <c r="Z279" t="b">
        <f>Q279=_R32Matchups[[#This Row],[1I vs]]</f>
        <v>1</v>
      </c>
      <c r="AA279" t="b">
        <f>R279=_R32Matchups[[#This Row],[1K vs]]</f>
        <v>1</v>
      </c>
      <c r="AB279" t="b">
        <f>S279=_R32Matchups[[#This Row],[1L vs]]</f>
        <v>1</v>
      </c>
    </row>
    <row r="280" spans="1:28" ht="14.4">
      <c r="A280" s="2" t="s">
        <v>299</v>
      </c>
      <c r="B280" s="2" t="s">
        <v>28</v>
      </c>
      <c r="C280" s="2" t="s">
        <v>15</v>
      </c>
      <c r="D280" s="2" t="s">
        <v>10</v>
      </c>
      <c r="E280" s="2" t="s">
        <v>19</v>
      </c>
      <c r="F280" s="2" t="s">
        <v>186</v>
      </c>
      <c r="G280" s="2" t="s">
        <v>13</v>
      </c>
      <c r="H280" s="2" t="s">
        <v>16</v>
      </c>
      <c r="I280" s="2" t="s">
        <v>12</v>
      </c>
      <c r="K280" t="s">
        <v>299</v>
      </c>
      <c r="L280" t="s">
        <v>28</v>
      </c>
      <c r="M280" t="s">
        <v>15</v>
      </c>
      <c r="N280" t="s">
        <v>10</v>
      </c>
      <c r="O280" t="s">
        <v>19</v>
      </c>
      <c r="P280" t="s">
        <v>186</v>
      </c>
      <c r="Q280" t="s">
        <v>13</v>
      </c>
      <c r="R280" t="s">
        <v>16</v>
      </c>
      <c r="S280" t="s">
        <v>12</v>
      </c>
      <c r="U280" t="b">
        <f>L280=_R32Matchups[[#This Row],[1A vs]]</f>
        <v>1</v>
      </c>
      <c r="V280" t="b">
        <f>M280=_R32Matchups[[#This Row],[1B vs]]</f>
        <v>1</v>
      </c>
      <c r="W280" t="b">
        <f>N280=_R32Matchups[[#This Row],[1D vs]]</f>
        <v>1</v>
      </c>
      <c r="X280" t="b">
        <f>O280=_R32Matchups[[#This Row],[1E vs]]</f>
        <v>1</v>
      </c>
      <c r="Y280" t="b">
        <f>P280=_R32Matchups[[#This Row],[1G vs]]</f>
        <v>1</v>
      </c>
      <c r="Z280" t="b">
        <f>Q280=_R32Matchups[[#This Row],[1I vs]]</f>
        <v>1</v>
      </c>
      <c r="AA280" t="b">
        <f>R280=_R32Matchups[[#This Row],[1K vs]]</f>
        <v>1</v>
      </c>
      <c r="AB280" t="b">
        <f>S280=_R32Matchups[[#This Row],[1L vs]]</f>
        <v>1</v>
      </c>
    </row>
    <row r="281" spans="1:28" ht="14.4">
      <c r="A281" s="2" t="s">
        <v>300</v>
      </c>
      <c r="B281" s="2" t="s">
        <v>28</v>
      </c>
      <c r="C281" s="2" t="s">
        <v>15</v>
      </c>
      <c r="D281" s="2" t="s">
        <v>10</v>
      </c>
      <c r="E281" s="2" t="s">
        <v>19</v>
      </c>
      <c r="F281" s="2" t="s">
        <v>186</v>
      </c>
      <c r="G281" s="2" t="s">
        <v>13</v>
      </c>
      <c r="H281" s="2" t="s">
        <v>12</v>
      </c>
      <c r="I281" s="2" t="s">
        <v>17</v>
      </c>
      <c r="K281" t="s">
        <v>300</v>
      </c>
      <c r="L281" t="s">
        <v>28</v>
      </c>
      <c r="M281" t="s">
        <v>15</v>
      </c>
      <c r="N281" t="s">
        <v>10</v>
      </c>
      <c r="O281" t="s">
        <v>19</v>
      </c>
      <c r="P281" t="s">
        <v>186</v>
      </c>
      <c r="Q281" t="s">
        <v>13</v>
      </c>
      <c r="R281" t="s">
        <v>12</v>
      </c>
      <c r="S281" t="s">
        <v>17</v>
      </c>
      <c r="U281" t="b">
        <f>L281=_R32Matchups[[#This Row],[1A vs]]</f>
        <v>1</v>
      </c>
      <c r="V281" t="b">
        <f>M281=_R32Matchups[[#This Row],[1B vs]]</f>
        <v>1</v>
      </c>
      <c r="W281" t="b">
        <f>N281=_R32Matchups[[#This Row],[1D vs]]</f>
        <v>1</v>
      </c>
      <c r="X281" t="b">
        <f>O281=_R32Matchups[[#This Row],[1E vs]]</f>
        <v>1</v>
      </c>
      <c r="Y281" t="b">
        <f>P281=_R32Matchups[[#This Row],[1G vs]]</f>
        <v>1</v>
      </c>
      <c r="Z281" t="b">
        <f>Q281=_R32Matchups[[#This Row],[1I vs]]</f>
        <v>1</v>
      </c>
      <c r="AA281" t="b">
        <f>R281=_R32Matchups[[#This Row],[1K vs]]</f>
        <v>1</v>
      </c>
      <c r="AB281" t="b">
        <f>S281=_R32Matchups[[#This Row],[1L vs]]</f>
        <v>1</v>
      </c>
    </row>
    <row r="282" spans="1:28" ht="14.4">
      <c r="A282" s="2" t="s">
        <v>301</v>
      </c>
      <c r="B282" s="2" t="s">
        <v>28</v>
      </c>
      <c r="C282" s="2" t="s">
        <v>15</v>
      </c>
      <c r="D282" s="2" t="s">
        <v>11</v>
      </c>
      <c r="E282" s="2" t="s">
        <v>19</v>
      </c>
      <c r="F282" s="2" t="s">
        <v>186</v>
      </c>
      <c r="G282" s="2" t="s">
        <v>13</v>
      </c>
      <c r="H282" s="2" t="s">
        <v>10</v>
      </c>
      <c r="I282" s="2" t="s">
        <v>12</v>
      </c>
      <c r="K282" t="s">
        <v>301</v>
      </c>
      <c r="L282" t="s">
        <v>28</v>
      </c>
      <c r="M282" t="s">
        <v>15</v>
      </c>
      <c r="N282" t="s">
        <v>11</v>
      </c>
      <c r="O282" t="s">
        <v>19</v>
      </c>
      <c r="P282" t="s">
        <v>186</v>
      </c>
      <c r="Q282" t="s">
        <v>13</v>
      </c>
      <c r="R282" t="s">
        <v>10</v>
      </c>
      <c r="S282" t="s">
        <v>12</v>
      </c>
      <c r="U282" t="b">
        <f>L282=_R32Matchups[[#This Row],[1A vs]]</f>
        <v>1</v>
      </c>
      <c r="V282" t="b">
        <f>M282=_R32Matchups[[#This Row],[1B vs]]</f>
        <v>1</v>
      </c>
      <c r="W282" t="b">
        <f>N282=_R32Matchups[[#This Row],[1D vs]]</f>
        <v>1</v>
      </c>
      <c r="X282" t="b">
        <f>O282=_R32Matchups[[#This Row],[1E vs]]</f>
        <v>1</v>
      </c>
      <c r="Y282" t="b">
        <f>P282=_R32Matchups[[#This Row],[1G vs]]</f>
        <v>1</v>
      </c>
      <c r="Z282" t="b">
        <f>Q282=_R32Matchups[[#This Row],[1I vs]]</f>
        <v>1</v>
      </c>
      <c r="AA282" t="b">
        <f>R282=_R32Matchups[[#This Row],[1K vs]]</f>
        <v>1</v>
      </c>
      <c r="AB282" t="b">
        <f>S282=_R32Matchups[[#This Row],[1L vs]]</f>
        <v>1</v>
      </c>
    </row>
    <row r="283" spans="1:28" ht="14.4">
      <c r="A283" s="2" t="s">
        <v>302</v>
      </c>
      <c r="B283" s="2" t="s">
        <v>14</v>
      </c>
      <c r="C283" s="2" t="s">
        <v>15</v>
      </c>
      <c r="D283" s="2" t="s">
        <v>13</v>
      </c>
      <c r="E283" s="2" t="s">
        <v>28</v>
      </c>
      <c r="F283" s="2" t="s">
        <v>186</v>
      </c>
      <c r="G283" s="2" t="s">
        <v>19</v>
      </c>
      <c r="H283" s="2" t="s">
        <v>16</v>
      </c>
      <c r="I283" s="2" t="s">
        <v>10</v>
      </c>
      <c r="K283" t="s">
        <v>302</v>
      </c>
      <c r="L283" t="s">
        <v>14</v>
      </c>
      <c r="M283" t="s">
        <v>15</v>
      </c>
      <c r="N283" t="s">
        <v>13</v>
      </c>
      <c r="O283" t="s">
        <v>28</v>
      </c>
      <c r="P283" t="s">
        <v>186</v>
      </c>
      <c r="Q283" t="s">
        <v>19</v>
      </c>
      <c r="R283" t="s">
        <v>16</v>
      </c>
      <c r="S283" t="s">
        <v>10</v>
      </c>
      <c r="U283" t="b">
        <f>L283=_R32Matchups[[#This Row],[1A vs]]</f>
        <v>1</v>
      </c>
      <c r="V283" t="b">
        <f>M283=_R32Matchups[[#This Row],[1B vs]]</f>
        <v>1</v>
      </c>
      <c r="W283" t="b">
        <f>N283=_R32Matchups[[#This Row],[1D vs]]</f>
        <v>1</v>
      </c>
      <c r="X283" t="b">
        <f>O283=_R32Matchups[[#This Row],[1E vs]]</f>
        <v>1</v>
      </c>
      <c r="Y283" t="b">
        <f>P283=_R32Matchups[[#This Row],[1G vs]]</f>
        <v>1</v>
      </c>
      <c r="Z283" t="b">
        <f>Q283=_R32Matchups[[#This Row],[1I vs]]</f>
        <v>1</v>
      </c>
      <c r="AA283" t="b">
        <f>R283=_R32Matchups[[#This Row],[1K vs]]</f>
        <v>1</v>
      </c>
      <c r="AB283" t="b">
        <f>S283=_R32Matchups[[#This Row],[1L vs]]</f>
        <v>1</v>
      </c>
    </row>
    <row r="284" spans="1:28" ht="14.4">
      <c r="A284" s="2" t="s">
        <v>303</v>
      </c>
      <c r="B284" s="2" t="s">
        <v>14</v>
      </c>
      <c r="C284" s="2" t="s">
        <v>15</v>
      </c>
      <c r="D284" s="2" t="s">
        <v>10</v>
      </c>
      <c r="E284" s="2" t="s">
        <v>28</v>
      </c>
      <c r="F284" s="2" t="s">
        <v>186</v>
      </c>
      <c r="G284" s="2" t="s">
        <v>13</v>
      </c>
      <c r="H284" s="2" t="s">
        <v>19</v>
      </c>
      <c r="I284" s="2" t="s">
        <v>17</v>
      </c>
      <c r="K284" t="s">
        <v>303</v>
      </c>
      <c r="L284" t="s">
        <v>14</v>
      </c>
      <c r="M284" t="s">
        <v>15</v>
      </c>
      <c r="N284" t="s">
        <v>10</v>
      </c>
      <c r="O284" t="s">
        <v>28</v>
      </c>
      <c r="P284" t="s">
        <v>186</v>
      </c>
      <c r="Q284" t="s">
        <v>13</v>
      </c>
      <c r="R284" t="s">
        <v>19</v>
      </c>
      <c r="S284" t="s">
        <v>17</v>
      </c>
      <c r="U284" t="b">
        <f>L284=_R32Matchups[[#This Row],[1A vs]]</f>
        <v>1</v>
      </c>
      <c r="V284" t="b">
        <f>M284=_R32Matchups[[#This Row],[1B vs]]</f>
        <v>1</v>
      </c>
      <c r="W284" t="b">
        <f>N284=_R32Matchups[[#This Row],[1D vs]]</f>
        <v>1</v>
      </c>
      <c r="X284" t="b">
        <f>O284=_R32Matchups[[#This Row],[1E vs]]</f>
        <v>1</v>
      </c>
      <c r="Y284" t="b">
        <f>P284=_R32Matchups[[#This Row],[1G vs]]</f>
        <v>1</v>
      </c>
      <c r="Z284" t="b">
        <f>Q284=_R32Matchups[[#This Row],[1I vs]]</f>
        <v>1</v>
      </c>
      <c r="AA284" t="b">
        <f>R284=_R32Matchups[[#This Row],[1K vs]]</f>
        <v>1</v>
      </c>
      <c r="AB284" t="b">
        <f>S284=_R32Matchups[[#This Row],[1L vs]]</f>
        <v>1</v>
      </c>
    </row>
    <row r="285" spans="1:28" ht="14.4">
      <c r="A285" s="2" t="s">
        <v>304</v>
      </c>
      <c r="B285" s="2" t="s">
        <v>14</v>
      </c>
      <c r="C285" s="2" t="s">
        <v>15</v>
      </c>
      <c r="D285" s="2" t="s">
        <v>11</v>
      </c>
      <c r="E285" s="2" t="s">
        <v>28</v>
      </c>
      <c r="F285" s="2" t="s">
        <v>186</v>
      </c>
      <c r="G285" s="2" t="s">
        <v>13</v>
      </c>
      <c r="H285" s="2" t="s">
        <v>19</v>
      </c>
      <c r="I285" s="2" t="s">
        <v>10</v>
      </c>
      <c r="K285" t="s">
        <v>304</v>
      </c>
      <c r="L285" t="s">
        <v>14</v>
      </c>
      <c r="M285" t="s">
        <v>15</v>
      </c>
      <c r="N285" t="s">
        <v>11</v>
      </c>
      <c r="O285" t="s">
        <v>28</v>
      </c>
      <c r="P285" t="s">
        <v>186</v>
      </c>
      <c r="Q285" t="s">
        <v>13</v>
      </c>
      <c r="R285" t="s">
        <v>19</v>
      </c>
      <c r="S285" t="s">
        <v>10</v>
      </c>
      <c r="U285" t="b">
        <f>L285=_R32Matchups[[#This Row],[1A vs]]</f>
        <v>1</v>
      </c>
      <c r="V285" t="b">
        <f>M285=_R32Matchups[[#This Row],[1B vs]]</f>
        <v>1</v>
      </c>
      <c r="W285" t="b">
        <f>N285=_R32Matchups[[#This Row],[1D vs]]</f>
        <v>1</v>
      </c>
      <c r="X285" t="b">
        <f>O285=_R32Matchups[[#This Row],[1E vs]]</f>
        <v>1</v>
      </c>
      <c r="Y285" t="b">
        <f>P285=_R32Matchups[[#This Row],[1G vs]]</f>
        <v>1</v>
      </c>
      <c r="Z285" t="b">
        <f>Q285=_R32Matchups[[#This Row],[1I vs]]</f>
        <v>1</v>
      </c>
      <c r="AA285" t="b">
        <f>R285=_R32Matchups[[#This Row],[1K vs]]</f>
        <v>1</v>
      </c>
      <c r="AB285" t="b">
        <f>S285=_R32Matchups[[#This Row],[1L vs]]</f>
        <v>1</v>
      </c>
    </row>
    <row r="286" spans="1:28" ht="14.4">
      <c r="A286" s="2" t="s">
        <v>305</v>
      </c>
      <c r="B286" s="2" t="s">
        <v>14</v>
      </c>
      <c r="C286" s="2" t="s">
        <v>15</v>
      </c>
      <c r="D286" s="2" t="s">
        <v>10</v>
      </c>
      <c r="E286" s="2" t="s">
        <v>28</v>
      </c>
      <c r="F286" s="2" t="s">
        <v>186</v>
      </c>
      <c r="G286" s="2" t="s">
        <v>13</v>
      </c>
      <c r="H286" s="2" t="s">
        <v>19</v>
      </c>
      <c r="I286" s="2" t="s">
        <v>12</v>
      </c>
      <c r="K286" t="s">
        <v>305</v>
      </c>
      <c r="L286" t="s">
        <v>14</v>
      </c>
      <c r="M286" t="s">
        <v>15</v>
      </c>
      <c r="N286" t="s">
        <v>10</v>
      </c>
      <c r="O286" t="s">
        <v>28</v>
      </c>
      <c r="P286" t="s">
        <v>186</v>
      </c>
      <c r="Q286" t="s">
        <v>13</v>
      </c>
      <c r="R286" t="s">
        <v>19</v>
      </c>
      <c r="S286" t="s">
        <v>12</v>
      </c>
      <c r="U286" t="b">
        <f>L286=_R32Matchups[[#This Row],[1A vs]]</f>
        <v>1</v>
      </c>
      <c r="V286" t="b">
        <f>M286=_R32Matchups[[#This Row],[1B vs]]</f>
        <v>1</v>
      </c>
      <c r="W286" t="b">
        <f>N286=_R32Matchups[[#This Row],[1D vs]]</f>
        <v>1</v>
      </c>
      <c r="X286" t="b">
        <f>O286=_R32Matchups[[#This Row],[1E vs]]</f>
        <v>1</v>
      </c>
      <c r="Y286" t="b">
        <f>P286=_R32Matchups[[#This Row],[1G vs]]</f>
        <v>1</v>
      </c>
      <c r="Z286" t="b">
        <f>Q286=_R32Matchups[[#This Row],[1I vs]]</f>
        <v>1</v>
      </c>
      <c r="AA286" t="b">
        <f>R286=_R32Matchups[[#This Row],[1K vs]]</f>
        <v>1</v>
      </c>
      <c r="AB286" t="b">
        <f>S286=_R32Matchups[[#This Row],[1L vs]]</f>
        <v>1</v>
      </c>
    </row>
    <row r="287" spans="1:28" ht="14.4">
      <c r="A287" s="2" t="s">
        <v>306</v>
      </c>
      <c r="B287" s="2" t="s">
        <v>14</v>
      </c>
      <c r="C287" s="2" t="s">
        <v>11</v>
      </c>
      <c r="D287" s="2" t="s">
        <v>65</v>
      </c>
      <c r="E287" s="2" t="s">
        <v>186</v>
      </c>
      <c r="F287" s="2" t="s">
        <v>12</v>
      </c>
      <c r="G287" s="2" t="s">
        <v>15</v>
      </c>
      <c r="H287" s="2" t="s">
        <v>16</v>
      </c>
      <c r="I287" s="2" t="s">
        <v>17</v>
      </c>
      <c r="K287" t="s">
        <v>306</v>
      </c>
      <c r="L287" t="s">
        <v>14</v>
      </c>
      <c r="M287" t="s">
        <v>11</v>
      </c>
      <c r="N287" t="s">
        <v>65</v>
      </c>
      <c r="O287" t="s">
        <v>186</v>
      </c>
      <c r="P287" t="s">
        <v>12</v>
      </c>
      <c r="Q287" t="s">
        <v>15</v>
      </c>
      <c r="R287" t="s">
        <v>16</v>
      </c>
      <c r="S287" t="s">
        <v>17</v>
      </c>
      <c r="U287" t="b">
        <f>L287=_R32Matchups[[#This Row],[1A vs]]</f>
        <v>1</v>
      </c>
      <c r="V287" t="b">
        <f>M287=_R32Matchups[[#This Row],[1B vs]]</f>
        <v>1</v>
      </c>
      <c r="W287" t="b">
        <f>N287=_R32Matchups[[#This Row],[1D vs]]</f>
        <v>1</v>
      </c>
      <c r="X287" t="b">
        <f>O287=_R32Matchups[[#This Row],[1E vs]]</f>
        <v>1</v>
      </c>
      <c r="Y287" t="b">
        <f>P287=_R32Matchups[[#This Row],[1G vs]]</f>
        <v>1</v>
      </c>
      <c r="Z287" t="b">
        <f>Q287=_R32Matchups[[#This Row],[1I vs]]</f>
        <v>1</v>
      </c>
      <c r="AA287" t="b">
        <f>R287=_R32Matchups[[#This Row],[1K vs]]</f>
        <v>1</v>
      </c>
      <c r="AB287" t="b">
        <f>S287=_R32Matchups[[#This Row],[1L vs]]</f>
        <v>1</v>
      </c>
    </row>
    <row r="288" spans="1:28" ht="14.4">
      <c r="A288" s="2" t="s">
        <v>307</v>
      </c>
      <c r="B288" s="2" t="s">
        <v>14</v>
      </c>
      <c r="C288" s="2" t="s">
        <v>11</v>
      </c>
      <c r="D288" s="2" t="s">
        <v>65</v>
      </c>
      <c r="E288" s="2" t="s">
        <v>186</v>
      </c>
      <c r="F288" s="2" t="s">
        <v>12</v>
      </c>
      <c r="G288" s="2" t="s">
        <v>13</v>
      </c>
      <c r="H288" s="2" t="s">
        <v>16</v>
      </c>
      <c r="I288" s="2" t="s">
        <v>17</v>
      </c>
      <c r="K288" t="s">
        <v>307</v>
      </c>
      <c r="L288" t="s">
        <v>14</v>
      </c>
      <c r="M288" t="s">
        <v>11</v>
      </c>
      <c r="N288" t="s">
        <v>65</v>
      </c>
      <c r="O288" t="s">
        <v>186</v>
      </c>
      <c r="P288" t="s">
        <v>12</v>
      </c>
      <c r="Q288" t="s">
        <v>13</v>
      </c>
      <c r="R288" t="s">
        <v>16</v>
      </c>
      <c r="S288" t="s">
        <v>17</v>
      </c>
      <c r="U288" t="b">
        <f>L288=_R32Matchups[[#This Row],[1A vs]]</f>
        <v>1</v>
      </c>
      <c r="V288" t="b">
        <f>M288=_R32Matchups[[#This Row],[1B vs]]</f>
        <v>1</v>
      </c>
      <c r="W288" t="b">
        <f>N288=_R32Matchups[[#This Row],[1D vs]]</f>
        <v>1</v>
      </c>
      <c r="X288" t="b">
        <f>O288=_R32Matchups[[#This Row],[1E vs]]</f>
        <v>1</v>
      </c>
      <c r="Y288" t="b">
        <f>P288=_R32Matchups[[#This Row],[1G vs]]</f>
        <v>1</v>
      </c>
      <c r="Z288" t="b">
        <f>Q288=_R32Matchups[[#This Row],[1I vs]]</f>
        <v>1</v>
      </c>
      <c r="AA288" t="b">
        <f>R288=_R32Matchups[[#This Row],[1K vs]]</f>
        <v>1</v>
      </c>
      <c r="AB288" t="b">
        <f>S288=_R32Matchups[[#This Row],[1L vs]]</f>
        <v>1</v>
      </c>
    </row>
    <row r="289" spans="1:28" ht="14.4">
      <c r="A289" s="2" t="s">
        <v>308</v>
      </c>
      <c r="B289" s="2" t="s">
        <v>12</v>
      </c>
      <c r="C289" s="2" t="s">
        <v>11</v>
      </c>
      <c r="D289" s="2" t="s">
        <v>65</v>
      </c>
      <c r="E289" s="2" t="s">
        <v>13</v>
      </c>
      <c r="F289" s="2" t="s">
        <v>186</v>
      </c>
      <c r="G289" s="2" t="s">
        <v>15</v>
      </c>
      <c r="H289" s="2" t="s">
        <v>16</v>
      </c>
      <c r="I289" s="2" t="s">
        <v>17</v>
      </c>
      <c r="K289" t="s">
        <v>308</v>
      </c>
      <c r="L289" t="s">
        <v>12</v>
      </c>
      <c r="M289" t="s">
        <v>11</v>
      </c>
      <c r="N289" t="s">
        <v>65</v>
      </c>
      <c r="O289" t="s">
        <v>13</v>
      </c>
      <c r="P289" t="s">
        <v>186</v>
      </c>
      <c r="Q289" t="s">
        <v>15</v>
      </c>
      <c r="R289" t="s">
        <v>16</v>
      </c>
      <c r="S289" t="s">
        <v>17</v>
      </c>
      <c r="U289" t="b">
        <f>L289=_R32Matchups[[#This Row],[1A vs]]</f>
        <v>1</v>
      </c>
      <c r="V289" t="b">
        <f>M289=_R32Matchups[[#This Row],[1B vs]]</f>
        <v>1</v>
      </c>
      <c r="W289" t="b">
        <f>N289=_R32Matchups[[#This Row],[1D vs]]</f>
        <v>1</v>
      </c>
      <c r="X289" t="b">
        <f>O289=_R32Matchups[[#This Row],[1E vs]]</f>
        <v>1</v>
      </c>
      <c r="Y289" t="b">
        <f>P289=_R32Matchups[[#This Row],[1G vs]]</f>
        <v>1</v>
      </c>
      <c r="Z289" t="b">
        <f>Q289=_R32Matchups[[#This Row],[1I vs]]</f>
        <v>1</v>
      </c>
      <c r="AA289" t="b">
        <f>R289=_R32Matchups[[#This Row],[1K vs]]</f>
        <v>1</v>
      </c>
      <c r="AB289" t="b">
        <f>S289=_R32Matchups[[#This Row],[1L vs]]</f>
        <v>1</v>
      </c>
    </row>
    <row r="290" spans="1:28" ht="14.4">
      <c r="A290" s="2" t="s">
        <v>309</v>
      </c>
      <c r="B290" s="2" t="s">
        <v>14</v>
      </c>
      <c r="C290" s="2" t="s">
        <v>11</v>
      </c>
      <c r="D290" s="2" t="s">
        <v>65</v>
      </c>
      <c r="E290" s="2" t="s">
        <v>13</v>
      </c>
      <c r="F290" s="2" t="s">
        <v>186</v>
      </c>
      <c r="G290" s="2" t="s">
        <v>15</v>
      </c>
      <c r="H290" s="2" t="s">
        <v>16</v>
      </c>
      <c r="I290" s="2" t="s">
        <v>17</v>
      </c>
      <c r="K290" t="s">
        <v>309</v>
      </c>
      <c r="L290" t="s">
        <v>14</v>
      </c>
      <c r="M290" t="s">
        <v>11</v>
      </c>
      <c r="N290" t="s">
        <v>65</v>
      </c>
      <c r="O290" t="s">
        <v>13</v>
      </c>
      <c r="P290" t="s">
        <v>186</v>
      </c>
      <c r="Q290" t="s">
        <v>15</v>
      </c>
      <c r="R290" t="s">
        <v>16</v>
      </c>
      <c r="S290" t="s">
        <v>17</v>
      </c>
      <c r="U290" t="b">
        <f>L290=_R32Matchups[[#This Row],[1A vs]]</f>
        <v>1</v>
      </c>
      <c r="V290" t="b">
        <f>M290=_R32Matchups[[#This Row],[1B vs]]</f>
        <v>1</v>
      </c>
      <c r="W290" t="b">
        <f>N290=_R32Matchups[[#This Row],[1D vs]]</f>
        <v>1</v>
      </c>
      <c r="X290" t="b">
        <f>O290=_R32Matchups[[#This Row],[1E vs]]</f>
        <v>1</v>
      </c>
      <c r="Y290" t="b">
        <f>P290=_R32Matchups[[#This Row],[1G vs]]</f>
        <v>1</v>
      </c>
      <c r="Z290" t="b">
        <f>Q290=_R32Matchups[[#This Row],[1I vs]]</f>
        <v>1</v>
      </c>
      <c r="AA290" t="b">
        <f>R290=_R32Matchups[[#This Row],[1K vs]]</f>
        <v>1</v>
      </c>
      <c r="AB290" t="b">
        <f>S290=_R32Matchups[[#This Row],[1L vs]]</f>
        <v>1</v>
      </c>
    </row>
    <row r="291" spans="1:28" ht="14.4">
      <c r="A291" s="2" t="s">
        <v>310</v>
      </c>
      <c r="B291" s="2" t="s">
        <v>14</v>
      </c>
      <c r="C291" s="2" t="s">
        <v>15</v>
      </c>
      <c r="D291" s="2" t="s">
        <v>65</v>
      </c>
      <c r="E291" s="2" t="s">
        <v>186</v>
      </c>
      <c r="F291" s="2" t="s">
        <v>12</v>
      </c>
      <c r="G291" s="2" t="s">
        <v>13</v>
      </c>
      <c r="H291" s="2" t="s">
        <v>16</v>
      </c>
      <c r="I291" s="2" t="s">
        <v>17</v>
      </c>
      <c r="K291" t="s">
        <v>310</v>
      </c>
      <c r="L291" t="s">
        <v>14</v>
      </c>
      <c r="M291" t="s">
        <v>15</v>
      </c>
      <c r="N291" t="s">
        <v>65</v>
      </c>
      <c r="O291" t="s">
        <v>186</v>
      </c>
      <c r="P291" t="s">
        <v>12</v>
      </c>
      <c r="Q291" t="s">
        <v>13</v>
      </c>
      <c r="R291" t="s">
        <v>16</v>
      </c>
      <c r="S291" t="s">
        <v>17</v>
      </c>
      <c r="U291" t="b">
        <f>L291=_R32Matchups[[#This Row],[1A vs]]</f>
        <v>1</v>
      </c>
      <c r="V291" t="b">
        <f>M291=_R32Matchups[[#This Row],[1B vs]]</f>
        <v>1</v>
      </c>
      <c r="W291" t="b">
        <f>N291=_R32Matchups[[#This Row],[1D vs]]</f>
        <v>1</v>
      </c>
      <c r="X291" t="b">
        <f>O291=_R32Matchups[[#This Row],[1E vs]]</f>
        <v>1</v>
      </c>
      <c r="Y291" t="b">
        <f>P291=_R32Matchups[[#This Row],[1G vs]]</f>
        <v>1</v>
      </c>
      <c r="Z291" t="b">
        <f>Q291=_R32Matchups[[#This Row],[1I vs]]</f>
        <v>1</v>
      </c>
      <c r="AA291" t="b">
        <f>R291=_R32Matchups[[#This Row],[1K vs]]</f>
        <v>1</v>
      </c>
      <c r="AB291" t="b">
        <f>S291=_R32Matchups[[#This Row],[1L vs]]</f>
        <v>1</v>
      </c>
    </row>
    <row r="292" spans="1:28" ht="14.4">
      <c r="A292" s="2" t="s">
        <v>311</v>
      </c>
      <c r="B292" s="2" t="s">
        <v>14</v>
      </c>
      <c r="C292" s="2" t="s">
        <v>11</v>
      </c>
      <c r="D292" s="2" t="s">
        <v>65</v>
      </c>
      <c r="E292" s="2" t="s">
        <v>13</v>
      </c>
      <c r="F292" s="2" t="s">
        <v>186</v>
      </c>
      <c r="G292" s="2" t="s">
        <v>15</v>
      </c>
      <c r="H292" s="2" t="s">
        <v>16</v>
      </c>
      <c r="I292" s="2" t="s">
        <v>12</v>
      </c>
      <c r="K292" t="s">
        <v>311</v>
      </c>
      <c r="L292" t="s">
        <v>14</v>
      </c>
      <c r="M292" t="s">
        <v>11</v>
      </c>
      <c r="N292" t="s">
        <v>65</v>
      </c>
      <c r="O292" t="s">
        <v>13</v>
      </c>
      <c r="P292" t="s">
        <v>186</v>
      </c>
      <c r="Q292" t="s">
        <v>15</v>
      </c>
      <c r="R292" t="s">
        <v>16</v>
      </c>
      <c r="S292" t="s">
        <v>12</v>
      </c>
      <c r="U292" t="b">
        <f>L292=_R32Matchups[[#This Row],[1A vs]]</f>
        <v>1</v>
      </c>
      <c r="V292" t="b">
        <f>M292=_R32Matchups[[#This Row],[1B vs]]</f>
        <v>1</v>
      </c>
      <c r="W292" t="b">
        <f>N292=_R32Matchups[[#This Row],[1D vs]]</f>
        <v>1</v>
      </c>
      <c r="X292" t="b">
        <f>O292=_R32Matchups[[#This Row],[1E vs]]</f>
        <v>1</v>
      </c>
      <c r="Y292" t="b">
        <f>P292=_R32Matchups[[#This Row],[1G vs]]</f>
        <v>1</v>
      </c>
      <c r="Z292" t="b">
        <f>Q292=_R32Matchups[[#This Row],[1I vs]]</f>
        <v>1</v>
      </c>
      <c r="AA292" t="b">
        <f>R292=_R32Matchups[[#This Row],[1K vs]]</f>
        <v>1</v>
      </c>
      <c r="AB292" t="b">
        <f>S292=_R32Matchups[[#This Row],[1L vs]]</f>
        <v>1</v>
      </c>
    </row>
    <row r="293" spans="1:28" ht="14.4">
      <c r="A293" s="2" t="s">
        <v>312</v>
      </c>
      <c r="B293" s="2" t="s">
        <v>14</v>
      </c>
      <c r="C293" s="2" t="s">
        <v>11</v>
      </c>
      <c r="D293" s="2" t="s">
        <v>65</v>
      </c>
      <c r="E293" s="2" t="s">
        <v>13</v>
      </c>
      <c r="F293" s="2" t="s">
        <v>186</v>
      </c>
      <c r="G293" s="2" t="s">
        <v>15</v>
      </c>
      <c r="H293" s="2" t="s">
        <v>12</v>
      </c>
      <c r="I293" s="2" t="s">
        <v>17</v>
      </c>
      <c r="K293" t="s">
        <v>312</v>
      </c>
      <c r="L293" t="s">
        <v>14</v>
      </c>
      <c r="M293" t="s">
        <v>11</v>
      </c>
      <c r="N293" t="s">
        <v>65</v>
      </c>
      <c r="O293" t="s">
        <v>13</v>
      </c>
      <c r="P293" t="s">
        <v>186</v>
      </c>
      <c r="Q293" t="s">
        <v>15</v>
      </c>
      <c r="R293" t="s">
        <v>12</v>
      </c>
      <c r="S293" t="s">
        <v>17</v>
      </c>
      <c r="U293" t="b">
        <f>L293=_R32Matchups[[#This Row],[1A vs]]</f>
        <v>1</v>
      </c>
      <c r="V293" t="b">
        <f>M293=_R32Matchups[[#This Row],[1B vs]]</f>
        <v>1</v>
      </c>
      <c r="W293" t="b">
        <f>N293=_R32Matchups[[#This Row],[1D vs]]</f>
        <v>1</v>
      </c>
      <c r="X293" t="b">
        <f>O293=_R32Matchups[[#This Row],[1E vs]]</f>
        <v>1</v>
      </c>
      <c r="Y293" t="b">
        <f>P293=_R32Matchups[[#This Row],[1G vs]]</f>
        <v>1</v>
      </c>
      <c r="Z293" t="b">
        <f>Q293=_R32Matchups[[#This Row],[1I vs]]</f>
        <v>1</v>
      </c>
      <c r="AA293" t="b">
        <f>R293=_R32Matchups[[#This Row],[1K vs]]</f>
        <v>1</v>
      </c>
      <c r="AB293" t="b">
        <f>S293=_R32Matchups[[#This Row],[1L vs]]</f>
        <v>1</v>
      </c>
    </row>
    <row r="294" spans="1:28" ht="14.4">
      <c r="A294" s="2" t="s">
        <v>313</v>
      </c>
      <c r="B294" s="2" t="s">
        <v>10</v>
      </c>
      <c r="C294" s="2" t="s">
        <v>11</v>
      </c>
      <c r="D294" s="2" t="s">
        <v>65</v>
      </c>
      <c r="E294" s="2" t="s">
        <v>186</v>
      </c>
      <c r="F294" s="2" t="s">
        <v>12</v>
      </c>
      <c r="G294" s="2" t="s">
        <v>14</v>
      </c>
      <c r="H294" s="2" t="s">
        <v>16</v>
      </c>
      <c r="I294" s="2" t="s">
        <v>17</v>
      </c>
      <c r="K294" t="s">
        <v>313</v>
      </c>
      <c r="L294" t="s">
        <v>10</v>
      </c>
      <c r="M294" t="s">
        <v>11</v>
      </c>
      <c r="N294" t="s">
        <v>65</v>
      </c>
      <c r="O294" t="s">
        <v>186</v>
      </c>
      <c r="P294" t="s">
        <v>12</v>
      </c>
      <c r="Q294" t="s">
        <v>14</v>
      </c>
      <c r="R294" t="s">
        <v>16</v>
      </c>
      <c r="S294" t="s">
        <v>17</v>
      </c>
      <c r="U294" t="b">
        <f>L294=_R32Matchups[[#This Row],[1A vs]]</f>
        <v>1</v>
      </c>
      <c r="V294" t="b">
        <f>M294=_R32Matchups[[#This Row],[1B vs]]</f>
        <v>1</v>
      </c>
      <c r="W294" t="b">
        <f>N294=_R32Matchups[[#This Row],[1D vs]]</f>
        <v>1</v>
      </c>
      <c r="X294" t="b">
        <f>O294=_R32Matchups[[#This Row],[1E vs]]</f>
        <v>1</v>
      </c>
      <c r="Y294" t="b">
        <f>P294=_R32Matchups[[#This Row],[1G vs]]</f>
        <v>1</v>
      </c>
      <c r="Z294" t="b">
        <f>Q294=_R32Matchups[[#This Row],[1I vs]]</f>
        <v>1</v>
      </c>
      <c r="AA294" t="b">
        <f>R294=_R32Matchups[[#This Row],[1K vs]]</f>
        <v>1</v>
      </c>
      <c r="AB294" t="b">
        <f>S294=_R32Matchups[[#This Row],[1L vs]]</f>
        <v>1</v>
      </c>
    </row>
    <row r="295" spans="1:28" ht="14.4">
      <c r="A295" s="2" t="s">
        <v>314</v>
      </c>
      <c r="B295" s="2" t="s">
        <v>10</v>
      </c>
      <c r="C295" s="2" t="s">
        <v>11</v>
      </c>
      <c r="D295" s="2" t="s">
        <v>65</v>
      </c>
      <c r="E295" s="2" t="s">
        <v>186</v>
      </c>
      <c r="F295" s="2" t="s">
        <v>12</v>
      </c>
      <c r="G295" s="2" t="s">
        <v>15</v>
      </c>
      <c r="H295" s="2" t="s">
        <v>16</v>
      </c>
      <c r="I295" s="2" t="s">
        <v>17</v>
      </c>
      <c r="K295" t="s">
        <v>314</v>
      </c>
      <c r="L295" t="s">
        <v>10</v>
      </c>
      <c r="M295" t="s">
        <v>11</v>
      </c>
      <c r="N295" t="s">
        <v>65</v>
      </c>
      <c r="O295" t="s">
        <v>186</v>
      </c>
      <c r="P295" t="s">
        <v>12</v>
      </c>
      <c r="Q295" t="s">
        <v>15</v>
      </c>
      <c r="R295" t="s">
        <v>16</v>
      </c>
      <c r="S295" t="s">
        <v>17</v>
      </c>
      <c r="U295" t="b">
        <f>L295=_R32Matchups[[#This Row],[1A vs]]</f>
        <v>1</v>
      </c>
      <c r="V295" t="b">
        <f>M295=_R32Matchups[[#This Row],[1B vs]]</f>
        <v>1</v>
      </c>
      <c r="W295" t="b">
        <f>N295=_R32Matchups[[#This Row],[1D vs]]</f>
        <v>1</v>
      </c>
      <c r="X295" t="b">
        <f>O295=_R32Matchups[[#This Row],[1E vs]]</f>
        <v>1</v>
      </c>
      <c r="Y295" t="b">
        <f>P295=_R32Matchups[[#This Row],[1G vs]]</f>
        <v>1</v>
      </c>
      <c r="Z295" t="b">
        <f>Q295=_R32Matchups[[#This Row],[1I vs]]</f>
        <v>1</v>
      </c>
      <c r="AA295" t="b">
        <f>R295=_R32Matchups[[#This Row],[1K vs]]</f>
        <v>1</v>
      </c>
      <c r="AB295" t="b">
        <f>S295=_R32Matchups[[#This Row],[1L vs]]</f>
        <v>1</v>
      </c>
    </row>
    <row r="296" spans="1:28" ht="14.4">
      <c r="A296" s="2" t="s">
        <v>315</v>
      </c>
      <c r="B296" s="2" t="s">
        <v>10</v>
      </c>
      <c r="C296" s="2" t="s">
        <v>11</v>
      </c>
      <c r="D296" s="2" t="s">
        <v>65</v>
      </c>
      <c r="E296" s="2" t="s">
        <v>186</v>
      </c>
      <c r="F296" s="2" t="s">
        <v>14</v>
      </c>
      <c r="G296" s="2" t="s">
        <v>15</v>
      </c>
      <c r="H296" s="2" t="s">
        <v>16</v>
      </c>
      <c r="I296" s="2" t="s">
        <v>17</v>
      </c>
      <c r="K296" t="s">
        <v>315</v>
      </c>
      <c r="L296" t="s">
        <v>10</v>
      </c>
      <c r="M296" t="s">
        <v>11</v>
      </c>
      <c r="N296" t="s">
        <v>65</v>
      </c>
      <c r="O296" t="s">
        <v>186</v>
      </c>
      <c r="P296" t="s">
        <v>14</v>
      </c>
      <c r="Q296" t="s">
        <v>15</v>
      </c>
      <c r="R296" t="s">
        <v>16</v>
      </c>
      <c r="S296" t="s">
        <v>17</v>
      </c>
      <c r="U296" t="b">
        <f>L296=_R32Matchups[[#This Row],[1A vs]]</f>
        <v>1</v>
      </c>
      <c r="V296" t="b">
        <f>M296=_R32Matchups[[#This Row],[1B vs]]</f>
        <v>1</v>
      </c>
      <c r="W296" t="b">
        <f>N296=_R32Matchups[[#This Row],[1D vs]]</f>
        <v>1</v>
      </c>
      <c r="X296" t="b">
        <f>O296=_R32Matchups[[#This Row],[1E vs]]</f>
        <v>1</v>
      </c>
      <c r="Y296" t="b">
        <f>P296=_R32Matchups[[#This Row],[1G vs]]</f>
        <v>1</v>
      </c>
      <c r="Z296" t="b">
        <f>Q296=_R32Matchups[[#This Row],[1I vs]]</f>
        <v>1</v>
      </c>
      <c r="AA296" t="b">
        <f>R296=_R32Matchups[[#This Row],[1K vs]]</f>
        <v>1</v>
      </c>
      <c r="AB296" t="b">
        <f>S296=_R32Matchups[[#This Row],[1L vs]]</f>
        <v>1</v>
      </c>
    </row>
    <row r="297" spans="1:28" ht="14.4">
      <c r="A297" s="2" t="s">
        <v>316</v>
      </c>
      <c r="B297" s="2" t="s">
        <v>10</v>
      </c>
      <c r="C297" s="2" t="s">
        <v>15</v>
      </c>
      <c r="D297" s="2" t="s">
        <v>65</v>
      </c>
      <c r="E297" s="2" t="s">
        <v>186</v>
      </c>
      <c r="F297" s="2" t="s">
        <v>12</v>
      </c>
      <c r="G297" s="2" t="s">
        <v>14</v>
      </c>
      <c r="H297" s="2" t="s">
        <v>16</v>
      </c>
      <c r="I297" s="2" t="s">
        <v>17</v>
      </c>
      <c r="K297" t="s">
        <v>316</v>
      </c>
      <c r="L297" t="s">
        <v>10</v>
      </c>
      <c r="M297" t="s">
        <v>15</v>
      </c>
      <c r="N297" t="s">
        <v>65</v>
      </c>
      <c r="O297" t="s">
        <v>186</v>
      </c>
      <c r="P297" t="s">
        <v>12</v>
      </c>
      <c r="Q297" t="s">
        <v>14</v>
      </c>
      <c r="R297" t="s">
        <v>16</v>
      </c>
      <c r="S297" t="s">
        <v>17</v>
      </c>
      <c r="U297" t="b">
        <f>L297=_R32Matchups[[#This Row],[1A vs]]</f>
        <v>1</v>
      </c>
      <c r="V297" t="b">
        <f>M297=_R32Matchups[[#This Row],[1B vs]]</f>
        <v>1</v>
      </c>
      <c r="W297" t="b">
        <f>N297=_R32Matchups[[#This Row],[1D vs]]</f>
        <v>1</v>
      </c>
      <c r="X297" t="b">
        <f>O297=_R32Matchups[[#This Row],[1E vs]]</f>
        <v>1</v>
      </c>
      <c r="Y297" t="b">
        <f>P297=_R32Matchups[[#This Row],[1G vs]]</f>
        <v>1</v>
      </c>
      <c r="Z297" t="b">
        <f>Q297=_R32Matchups[[#This Row],[1I vs]]</f>
        <v>1</v>
      </c>
      <c r="AA297" t="b">
        <f>R297=_R32Matchups[[#This Row],[1K vs]]</f>
        <v>1</v>
      </c>
      <c r="AB297" t="b">
        <f>S297=_R32Matchups[[#This Row],[1L vs]]</f>
        <v>1</v>
      </c>
    </row>
    <row r="298" spans="1:28" ht="14.4">
      <c r="A298" s="2" t="s">
        <v>317</v>
      </c>
      <c r="B298" s="2" t="s">
        <v>10</v>
      </c>
      <c r="C298" s="2" t="s">
        <v>11</v>
      </c>
      <c r="D298" s="2" t="s">
        <v>65</v>
      </c>
      <c r="E298" s="2" t="s">
        <v>186</v>
      </c>
      <c r="F298" s="2" t="s">
        <v>14</v>
      </c>
      <c r="G298" s="2" t="s">
        <v>15</v>
      </c>
      <c r="H298" s="2" t="s">
        <v>16</v>
      </c>
      <c r="I298" s="2" t="s">
        <v>12</v>
      </c>
      <c r="K298" t="s">
        <v>317</v>
      </c>
      <c r="L298" t="s">
        <v>10</v>
      </c>
      <c r="M298" t="s">
        <v>11</v>
      </c>
      <c r="N298" t="s">
        <v>65</v>
      </c>
      <c r="O298" t="s">
        <v>186</v>
      </c>
      <c r="P298" t="s">
        <v>14</v>
      </c>
      <c r="Q298" t="s">
        <v>15</v>
      </c>
      <c r="R298" t="s">
        <v>16</v>
      </c>
      <c r="S298" t="s">
        <v>12</v>
      </c>
      <c r="U298" t="b">
        <f>L298=_R32Matchups[[#This Row],[1A vs]]</f>
        <v>1</v>
      </c>
      <c r="V298" t="b">
        <f>M298=_R32Matchups[[#This Row],[1B vs]]</f>
        <v>1</v>
      </c>
      <c r="W298" t="b">
        <f>N298=_R32Matchups[[#This Row],[1D vs]]</f>
        <v>1</v>
      </c>
      <c r="X298" t="b">
        <f>O298=_R32Matchups[[#This Row],[1E vs]]</f>
        <v>1</v>
      </c>
      <c r="Y298" t="b">
        <f>P298=_R32Matchups[[#This Row],[1G vs]]</f>
        <v>1</v>
      </c>
      <c r="Z298" t="b">
        <f>Q298=_R32Matchups[[#This Row],[1I vs]]</f>
        <v>1</v>
      </c>
      <c r="AA298" t="b">
        <f>R298=_R32Matchups[[#This Row],[1K vs]]</f>
        <v>1</v>
      </c>
      <c r="AB298" t="b">
        <f>S298=_R32Matchups[[#This Row],[1L vs]]</f>
        <v>1</v>
      </c>
    </row>
    <row r="299" spans="1:28" ht="14.4">
      <c r="A299" s="2" t="s">
        <v>318</v>
      </c>
      <c r="B299" s="2" t="s">
        <v>10</v>
      </c>
      <c r="C299" s="2" t="s">
        <v>11</v>
      </c>
      <c r="D299" s="2" t="s">
        <v>65</v>
      </c>
      <c r="E299" s="2" t="s">
        <v>186</v>
      </c>
      <c r="F299" s="2" t="s">
        <v>14</v>
      </c>
      <c r="G299" s="2" t="s">
        <v>15</v>
      </c>
      <c r="H299" s="2" t="s">
        <v>12</v>
      </c>
      <c r="I299" s="2" t="s">
        <v>17</v>
      </c>
      <c r="K299" t="s">
        <v>318</v>
      </c>
      <c r="L299" t="s">
        <v>10</v>
      </c>
      <c r="M299" t="s">
        <v>11</v>
      </c>
      <c r="N299" t="s">
        <v>65</v>
      </c>
      <c r="O299" t="s">
        <v>186</v>
      </c>
      <c r="P299" t="s">
        <v>14</v>
      </c>
      <c r="Q299" t="s">
        <v>15</v>
      </c>
      <c r="R299" t="s">
        <v>12</v>
      </c>
      <c r="S299" t="s">
        <v>17</v>
      </c>
      <c r="U299" t="b">
        <f>L299=_R32Matchups[[#This Row],[1A vs]]</f>
        <v>1</v>
      </c>
      <c r="V299" t="b">
        <f>M299=_R32Matchups[[#This Row],[1B vs]]</f>
        <v>1</v>
      </c>
      <c r="W299" t="b">
        <f>N299=_R32Matchups[[#This Row],[1D vs]]</f>
        <v>1</v>
      </c>
      <c r="X299" t="b">
        <f>O299=_R32Matchups[[#This Row],[1E vs]]</f>
        <v>1</v>
      </c>
      <c r="Y299" t="b">
        <f>P299=_R32Matchups[[#This Row],[1G vs]]</f>
        <v>1</v>
      </c>
      <c r="Z299" t="b">
        <f>Q299=_R32Matchups[[#This Row],[1I vs]]</f>
        <v>1</v>
      </c>
      <c r="AA299" t="b">
        <f>R299=_R32Matchups[[#This Row],[1K vs]]</f>
        <v>1</v>
      </c>
      <c r="AB299" t="b">
        <f>S299=_R32Matchups[[#This Row],[1L vs]]</f>
        <v>1</v>
      </c>
    </row>
    <row r="300" spans="1:28" ht="14.4">
      <c r="A300" s="2" t="s">
        <v>319</v>
      </c>
      <c r="B300" s="2" t="s">
        <v>10</v>
      </c>
      <c r="C300" s="2" t="s">
        <v>11</v>
      </c>
      <c r="D300" s="2" t="s">
        <v>65</v>
      </c>
      <c r="E300" s="2" t="s">
        <v>186</v>
      </c>
      <c r="F300" s="2" t="s">
        <v>12</v>
      </c>
      <c r="G300" s="2" t="s">
        <v>13</v>
      </c>
      <c r="H300" s="2" t="s">
        <v>16</v>
      </c>
      <c r="I300" s="2" t="s">
        <v>17</v>
      </c>
      <c r="K300" t="s">
        <v>319</v>
      </c>
      <c r="L300" t="s">
        <v>10</v>
      </c>
      <c r="M300" t="s">
        <v>11</v>
      </c>
      <c r="N300" t="s">
        <v>65</v>
      </c>
      <c r="O300" t="s">
        <v>186</v>
      </c>
      <c r="P300" t="s">
        <v>12</v>
      </c>
      <c r="Q300" t="s">
        <v>13</v>
      </c>
      <c r="R300" t="s">
        <v>16</v>
      </c>
      <c r="S300" t="s">
        <v>17</v>
      </c>
      <c r="U300" t="b">
        <f>L300=_R32Matchups[[#This Row],[1A vs]]</f>
        <v>1</v>
      </c>
      <c r="V300" t="b">
        <f>M300=_R32Matchups[[#This Row],[1B vs]]</f>
        <v>1</v>
      </c>
      <c r="W300" t="b">
        <f>N300=_R32Matchups[[#This Row],[1D vs]]</f>
        <v>1</v>
      </c>
      <c r="X300" t="b">
        <f>O300=_R32Matchups[[#This Row],[1E vs]]</f>
        <v>1</v>
      </c>
      <c r="Y300" t="b">
        <f>P300=_R32Matchups[[#This Row],[1G vs]]</f>
        <v>1</v>
      </c>
      <c r="Z300" t="b">
        <f>Q300=_R32Matchups[[#This Row],[1I vs]]</f>
        <v>1</v>
      </c>
      <c r="AA300" t="b">
        <f>R300=_R32Matchups[[#This Row],[1K vs]]</f>
        <v>1</v>
      </c>
      <c r="AB300" t="b">
        <f>S300=_R32Matchups[[#This Row],[1L vs]]</f>
        <v>1</v>
      </c>
    </row>
    <row r="301" spans="1:28" ht="14.4">
      <c r="A301" s="2" t="s">
        <v>320</v>
      </c>
      <c r="B301" s="2" t="s">
        <v>10</v>
      </c>
      <c r="C301" s="2" t="s">
        <v>11</v>
      </c>
      <c r="D301" s="2" t="s">
        <v>65</v>
      </c>
      <c r="E301" s="2" t="s">
        <v>13</v>
      </c>
      <c r="F301" s="2" t="s">
        <v>186</v>
      </c>
      <c r="G301" s="2" t="s">
        <v>14</v>
      </c>
      <c r="H301" s="2" t="s">
        <v>16</v>
      </c>
      <c r="I301" s="2" t="s">
        <v>17</v>
      </c>
      <c r="K301" t="s">
        <v>320</v>
      </c>
      <c r="L301" t="s">
        <v>10</v>
      </c>
      <c r="M301" t="s">
        <v>11</v>
      </c>
      <c r="N301" t="s">
        <v>65</v>
      </c>
      <c r="O301" t="s">
        <v>13</v>
      </c>
      <c r="P301" t="s">
        <v>186</v>
      </c>
      <c r="Q301" t="s">
        <v>14</v>
      </c>
      <c r="R301" t="s">
        <v>16</v>
      </c>
      <c r="S301" t="s">
        <v>17</v>
      </c>
      <c r="U301" t="b">
        <f>L301=_R32Matchups[[#This Row],[1A vs]]</f>
        <v>1</v>
      </c>
      <c r="V301" t="b">
        <f>M301=_R32Matchups[[#This Row],[1B vs]]</f>
        <v>1</v>
      </c>
      <c r="W301" t="b">
        <f>N301=_R32Matchups[[#This Row],[1D vs]]</f>
        <v>1</v>
      </c>
      <c r="X301" t="b">
        <f>O301=_R32Matchups[[#This Row],[1E vs]]</f>
        <v>1</v>
      </c>
      <c r="Y301" t="b">
        <f>P301=_R32Matchups[[#This Row],[1G vs]]</f>
        <v>1</v>
      </c>
      <c r="Z301" t="b">
        <f>Q301=_R32Matchups[[#This Row],[1I vs]]</f>
        <v>1</v>
      </c>
      <c r="AA301" t="b">
        <f>R301=_R32Matchups[[#This Row],[1K vs]]</f>
        <v>1</v>
      </c>
      <c r="AB301" t="b">
        <f>S301=_R32Matchups[[#This Row],[1L vs]]</f>
        <v>1</v>
      </c>
    </row>
    <row r="302" spans="1:28" ht="14.4">
      <c r="A302" s="2" t="s">
        <v>321</v>
      </c>
      <c r="B302" s="2" t="s">
        <v>10</v>
      </c>
      <c r="C302" s="2" t="s">
        <v>12</v>
      </c>
      <c r="D302" s="2" t="s">
        <v>65</v>
      </c>
      <c r="E302" s="2" t="s">
        <v>13</v>
      </c>
      <c r="F302" s="2" t="s">
        <v>186</v>
      </c>
      <c r="G302" s="2" t="s">
        <v>14</v>
      </c>
      <c r="H302" s="2" t="s">
        <v>16</v>
      </c>
      <c r="I302" s="2" t="s">
        <v>17</v>
      </c>
      <c r="K302" t="s">
        <v>321</v>
      </c>
      <c r="L302" t="s">
        <v>10</v>
      </c>
      <c r="M302" t="s">
        <v>12</v>
      </c>
      <c r="N302" t="s">
        <v>65</v>
      </c>
      <c r="O302" t="s">
        <v>13</v>
      </c>
      <c r="P302" t="s">
        <v>186</v>
      </c>
      <c r="Q302" t="s">
        <v>14</v>
      </c>
      <c r="R302" t="s">
        <v>16</v>
      </c>
      <c r="S302" t="s">
        <v>17</v>
      </c>
      <c r="U302" t="b">
        <f>L302=_R32Matchups[[#This Row],[1A vs]]</f>
        <v>1</v>
      </c>
      <c r="V302" t="b">
        <f>M302=_R32Matchups[[#This Row],[1B vs]]</f>
        <v>1</v>
      </c>
      <c r="W302" t="b">
        <f>N302=_R32Matchups[[#This Row],[1D vs]]</f>
        <v>1</v>
      </c>
      <c r="X302" t="b">
        <f>O302=_R32Matchups[[#This Row],[1E vs]]</f>
        <v>1</v>
      </c>
      <c r="Y302" t="b">
        <f>P302=_R32Matchups[[#This Row],[1G vs]]</f>
        <v>1</v>
      </c>
      <c r="Z302" t="b">
        <f>Q302=_R32Matchups[[#This Row],[1I vs]]</f>
        <v>1</v>
      </c>
      <c r="AA302" t="b">
        <f>R302=_R32Matchups[[#This Row],[1K vs]]</f>
        <v>1</v>
      </c>
      <c r="AB302" t="b">
        <f>S302=_R32Matchups[[#This Row],[1L vs]]</f>
        <v>1</v>
      </c>
    </row>
    <row r="303" spans="1:28" ht="14.4">
      <c r="A303" s="2" t="s">
        <v>322</v>
      </c>
      <c r="B303" s="2" t="s">
        <v>10</v>
      </c>
      <c r="C303" s="2" t="s">
        <v>11</v>
      </c>
      <c r="D303" s="2" t="s">
        <v>65</v>
      </c>
      <c r="E303" s="2" t="s">
        <v>13</v>
      </c>
      <c r="F303" s="2" t="s">
        <v>186</v>
      </c>
      <c r="G303" s="2" t="s">
        <v>14</v>
      </c>
      <c r="H303" s="2" t="s">
        <v>16</v>
      </c>
      <c r="I303" s="2" t="s">
        <v>12</v>
      </c>
      <c r="K303" t="s">
        <v>322</v>
      </c>
      <c r="L303" t="s">
        <v>10</v>
      </c>
      <c r="M303" t="s">
        <v>11</v>
      </c>
      <c r="N303" t="s">
        <v>65</v>
      </c>
      <c r="O303" t="s">
        <v>13</v>
      </c>
      <c r="P303" t="s">
        <v>186</v>
      </c>
      <c r="Q303" t="s">
        <v>14</v>
      </c>
      <c r="R303" t="s">
        <v>16</v>
      </c>
      <c r="S303" t="s">
        <v>12</v>
      </c>
      <c r="U303" t="b">
        <f>L303=_R32Matchups[[#This Row],[1A vs]]</f>
        <v>1</v>
      </c>
      <c r="V303" t="b">
        <f>M303=_R32Matchups[[#This Row],[1B vs]]</f>
        <v>1</v>
      </c>
      <c r="W303" t="b">
        <f>N303=_R32Matchups[[#This Row],[1D vs]]</f>
        <v>1</v>
      </c>
      <c r="X303" t="b">
        <f>O303=_R32Matchups[[#This Row],[1E vs]]</f>
        <v>1</v>
      </c>
      <c r="Y303" t="b">
        <f>P303=_R32Matchups[[#This Row],[1G vs]]</f>
        <v>1</v>
      </c>
      <c r="Z303" t="b">
        <f>Q303=_R32Matchups[[#This Row],[1I vs]]</f>
        <v>1</v>
      </c>
      <c r="AA303" t="b">
        <f>R303=_R32Matchups[[#This Row],[1K vs]]</f>
        <v>1</v>
      </c>
      <c r="AB303" t="b">
        <f>S303=_R32Matchups[[#This Row],[1L vs]]</f>
        <v>1</v>
      </c>
    </row>
    <row r="304" spans="1:28" ht="14.4">
      <c r="A304" s="2" t="s">
        <v>323</v>
      </c>
      <c r="B304" s="2" t="s">
        <v>10</v>
      </c>
      <c r="C304" s="2" t="s">
        <v>11</v>
      </c>
      <c r="D304" s="2" t="s">
        <v>65</v>
      </c>
      <c r="E304" s="2" t="s">
        <v>13</v>
      </c>
      <c r="F304" s="2" t="s">
        <v>186</v>
      </c>
      <c r="G304" s="2" t="s">
        <v>14</v>
      </c>
      <c r="H304" s="2" t="s">
        <v>12</v>
      </c>
      <c r="I304" s="2" t="s">
        <v>17</v>
      </c>
      <c r="K304" t="s">
        <v>323</v>
      </c>
      <c r="L304" t="s">
        <v>10</v>
      </c>
      <c r="M304" t="s">
        <v>11</v>
      </c>
      <c r="N304" t="s">
        <v>65</v>
      </c>
      <c r="O304" t="s">
        <v>13</v>
      </c>
      <c r="P304" t="s">
        <v>186</v>
      </c>
      <c r="Q304" t="s">
        <v>14</v>
      </c>
      <c r="R304" t="s">
        <v>12</v>
      </c>
      <c r="S304" t="s">
        <v>17</v>
      </c>
      <c r="U304" t="b">
        <f>L304=_R32Matchups[[#This Row],[1A vs]]</f>
        <v>1</v>
      </c>
      <c r="V304" t="b">
        <f>M304=_R32Matchups[[#This Row],[1B vs]]</f>
        <v>1</v>
      </c>
      <c r="W304" t="b">
        <f>N304=_R32Matchups[[#This Row],[1D vs]]</f>
        <v>1</v>
      </c>
      <c r="X304" t="b">
        <f>O304=_R32Matchups[[#This Row],[1E vs]]</f>
        <v>1</v>
      </c>
      <c r="Y304" t="b">
        <f>P304=_R32Matchups[[#This Row],[1G vs]]</f>
        <v>1</v>
      </c>
      <c r="Z304" t="b">
        <f>Q304=_R32Matchups[[#This Row],[1I vs]]</f>
        <v>1</v>
      </c>
      <c r="AA304" t="b">
        <f>R304=_R32Matchups[[#This Row],[1K vs]]</f>
        <v>1</v>
      </c>
      <c r="AB304" t="b">
        <f>S304=_R32Matchups[[#This Row],[1L vs]]</f>
        <v>1</v>
      </c>
    </row>
    <row r="305" spans="1:28" ht="14.4">
      <c r="A305" s="2" t="s">
        <v>324</v>
      </c>
      <c r="B305" s="2" t="s">
        <v>10</v>
      </c>
      <c r="C305" s="2" t="s">
        <v>11</v>
      </c>
      <c r="D305" s="2" t="s">
        <v>65</v>
      </c>
      <c r="E305" s="2" t="s">
        <v>13</v>
      </c>
      <c r="F305" s="2" t="s">
        <v>186</v>
      </c>
      <c r="G305" s="2" t="s">
        <v>15</v>
      </c>
      <c r="H305" s="2" t="s">
        <v>16</v>
      </c>
      <c r="I305" s="2" t="s">
        <v>17</v>
      </c>
      <c r="K305" t="s">
        <v>324</v>
      </c>
      <c r="L305" t="s">
        <v>10</v>
      </c>
      <c r="M305" t="s">
        <v>11</v>
      </c>
      <c r="N305" t="s">
        <v>65</v>
      </c>
      <c r="O305" t="s">
        <v>13</v>
      </c>
      <c r="P305" t="s">
        <v>186</v>
      </c>
      <c r="Q305" t="s">
        <v>15</v>
      </c>
      <c r="R305" t="s">
        <v>16</v>
      </c>
      <c r="S305" t="s">
        <v>17</v>
      </c>
      <c r="U305" t="b">
        <f>L305=_R32Matchups[[#This Row],[1A vs]]</f>
        <v>1</v>
      </c>
      <c r="V305" t="b">
        <f>M305=_R32Matchups[[#This Row],[1B vs]]</f>
        <v>1</v>
      </c>
      <c r="W305" t="b">
        <f>N305=_R32Matchups[[#This Row],[1D vs]]</f>
        <v>1</v>
      </c>
      <c r="X305" t="b">
        <f>O305=_R32Matchups[[#This Row],[1E vs]]</f>
        <v>1</v>
      </c>
      <c r="Y305" t="b">
        <f>P305=_R32Matchups[[#This Row],[1G vs]]</f>
        <v>1</v>
      </c>
      <c r="Z305" t="b">
        <f>Q305=_R32Matchups[[#This Row],[1I vs]]</f>
        <v>1</v>
      </c>
      <c r="AA305" t="b">
        <f>R305=_R32Matchups[[#This Row],[1K vs]]</f>
        <v>1</v>
      </c>
      <c r="AB305" t="b">
        <f>S305=_R32Matchups[[#This Row],[1L vs]]</f>
        <v>1</v>
      </c>
    </row>
    <row r="306" spans="1:28" ht="14.4">
      <c r="A306" s="2" t="s">
        <v>325</v>
      </c>
      <c r="B306" s="2" t="s">
        <v>10</v>
      </c>
      <c r="C306" s="2" t="s">
        <v>15</v>
      </c>
      <c r="D306" s="2" t="s">
        <v>65</v>
      </c>
      <c r="E306" s="2" t="s">
        <v>186</v>
      </c>
      <c r="F306" s="2" t="s">
        <v>12</v>
      </c>
      <c r="G306" s="2" t="s">
        <v>13</v>
      </c>
      <c r="H306" s="2" t="s">
        <v>16</v>
      </c>
      <c r="I306" s="2" t="s">
        <v>17</v>
      </c>
      <c r="K306" t="s">
        <v>325</v>
      </c>
      <c r="L306" t="s">
        <v>10</v>
      </c>
      <c r="M306" t="s">
        <v>15</v>
      </c>
      <c r="N306" t="s">
        <v>65</v>
      </c>
      <c r="O306" t="s">
        <v>186</v>
      </c>
      <c r="P306" t="s">
        <v>12</v>
      </c>
      <c r="Q306" t="s">
        <v>13</v>
      </c>
      <c r="R306" t="s">
        <v>16</v>
      </c>
      <c r="S306" t="s">
        <v>17</v>
      </c>
      <c r="U306" t="b">
        <f>L306=_R32Matchups[[#This Row],[1A vs]]</f>
        <v>1</v>
      </c>
      <c r="V306" t="b">
        <f>M306=_R32Matchups[[#This Row],[1B vs]]</f>
        <v>1</v>
      </c>
      <c r="W306" t="b">
        <f>N306=_R32Matchups[[#This Row],[1D vs]]</f>
        <v>1</v>
      </c>
      <c r="X306" t="b">
        <f>O306=_R32Matchups[[#This Row],[1E vs]]</f>
        <v>1</v>
      </c>
      <c r="Y306" t="b">
        <f>P306=_R32Matchups[[#This Row],[1G vs]]</f>
        <v>1</v>
      </c>
      <c r="Z306" t="b">
        <f>Q306=_R32Matchups[[#This Row],[1I vs]]</f>
        <v>1</v>
      </c>
      <c r="AA306" t="b">
        <f>R306=_R32Matchups[[#This Row],[1K vs]]</f>
        <v>1</v>
      </c>
      <c r="AB306" t="b">
        <f>S306=_R32Matchups[[#This Row],[1L vs]]</f>
        <v>1</v>
      </c>
    </row>
    <row r="307" spans="1:28" ht="14.4">
      <c r="A307" s="2" t="s">
        <v>326</v>
      </c>
      <c r="B307" s="2" t="s">
        <v>10</v>
      </c>
      <c r="C307" s="2" t="s">
        <v>11</v>
      </c>
      <c r="D307" s="2" t="s">
        <v>65</v>
      </c>
      <c r="E307" s="2" t="s">
        <v>13</v>
      </c>
      <c r="F307" s="2" t="s">
        <v>186</v>
      </c>
      <c r="G307" s="2" t="s">
        <v>15</v>
      </c>
      <c r="H307" s="2" t="s">
        <v>16</v>
      </c>
      <c r="I307" s="2" t="s">
        <v>12</v>
      </c>
      <c r="K307" t="s">
        <v>326</v>
      </c>
      <c r="L307" t="s">
        <v>10</v>
      </c>
      <c r="M307" t="s">
        <v>11</v>
      </c>
      <c r="N307" t="s">
        <v>65</v>
      </c>
      <c r="O307" t="s">
        <v>13</v>
      </c>
      <c r="P307" t="s">
        <v>186</v>
      </c>
      <c r="Q307" t="s">
        <v>15</v>
      </c>
      <c r="R307" t="s">
        <v>16</v>
      </c>
      <c r="S307" t="s">
        <v>12</v>
      </c>
      <c r="U307" t="b">
        <f>L307=_R32Matchups[[#This Row],[1A vs]]</f>
        <v>1</v>
      </c>
      <c r="V307" t="b">
        <f>M307=_R32Matchups[[#This Row],[1B vs]]</f>
        <v>1</v>
      </c>
      <c r="W307" t="b">
        <f>N307=_R32Matchups[[#This Row],[1D vs]]</f>
        <v>1</v>
      </c>
      <c r="X307" t="b">
        <f>O307=_R32Matchups[[#This Row],[1E vs]]</f>
        <v>1</v>
      </c>
      <c r="Y307" t="b">
        <f>P307=_R32Matchups[[#This Row],[1G vs]]</f>
        <v>1</v>
      </c>
      <c r="Z307" t="b">
        <f>Q307=_R32Matchups[[#This Row],[1I vs]]</f>
        <v>1</v>
      </c>
      <c r="AA307" t="b">
        <f>R307=_R32Matchups[[#This Row],[1K vs]]</f>
        <v>1</v>
      </c>
      <c r="AB307" t="b">
        <f>S307=_R32Matchups[[#This Row],[1L vs]]</f>
        <v>1</v>
      </c>
    </row>
    <row r="308" spans="1:28" ht="14.4">
      <c r="A308" s="2" t="s">
        <v>327</v>
      </c>
      <c r="B308" s="2" t="s">
        <v>10</v>
      </c>
      <c r="C308" s="2" t="s">
        <v>11</v>
      </c>
      <c r="D308" s="2" t="s">
        <v>65</v>
      </c>
      <c r="E308" s="2" t="s">
        <v>13</v>
      </c>
      <c r="F308" s="2" t="s">
        <v>186</v>
      </c>
      <c r="G308" s="2" t="s">
        <v>15</v>
      </c>
      <c r="H308" s="2" t="s">
        <v>12</v>
      </c>
      <c r="I308" s="2" t="s">
        <v>17</v>
      </c>
      <c r="K308" t="s">
        <v>327</v>
      </c>
      <c r="L308" t="s">
        <v>10</v>
      </c>
      <c r="M308" t="s">
        <v>11</v>
      </c>
      <c r="N308" t="s">
        <v>65</v>
      </c>
      <c r="O308" t="s">
        <v>13</v>
      </c>
      <c r="P308" t="s">
        <v>186</v>
      </c>
      <c r="Q308" t="s">
        <v>15</v>
      </c>
      <c r="R308" t="s">
        <v>12</v>
      </c>
      <c r="S308" t="s">
        <v>17</v>
      </c>
      <c r="U308" t="b">
        <f>L308=_R32Matchups[[#This Row],[1A vs]]</f>
        <v>1</v>
      </c>
      <c r="V308" t="b">
        <f>M308=_R32Matchups[[#This Row],[1B vs]]</f>
        <v>1</v>
      </c>
      <c r="W308" t="b">
        <f>N308=_R32Matchups[[#This Row],[1D vs]]</f>
        <v>1</v>
      </c>
      <c r="X308" t="b">
        <f>O308=_R32Matchups[[#This Row],[1E vs]]</f>
        <v>1</v>
      </c>
      <c r="Y308" t="b">
        <f>P308=_R32Matchups[[#This Row],[1G vs]]</f>
        <v>1</v>
      </c>
      <c r="Z308" t="b">
        <f>Q308=_R32Matchups[[#This Row],[1I vs]]</f>
        <v>1</v>
      </c>
      <c r="AA308" t="b">
        <f>R308=_R32Matchups[[#This Row],[1K vs]]</f>
        <v>1</v>
      </c>
      <c r="AB308" t="b">
        <f>S308=_R32Matchups[[#This Row],[1L vs]]</f>
        <v>1</v>
      </c>
    </row>
    <row r="309" spans="1:28" ht="14.4">
      <c r="A309" s="2" t="s">
        <v>328</v>
      </c>
      <c r="B309" s="2" t="s">
        <v>10</v>
      </c>
      <c r="C309" s="2" t="s">
        <v>15</v>
      </c>
      <c r="D309" s="2" t="s">
        <v>65</v>
      </c>
      <c r="E309" s="2" t="s">
        <v>13</v>
      </c>
      <c r="F309" s="2" t="s">
        <v>186</v>
      </c>
      <c r="G309" s="2" t="s">
        <v>14</v>
      </c>
      <c r="H309" s="2" t="s">
        <v>16</v>
      </c>
      <c r="I309" s="2" t="s">
        <v>17</v>
      </c>
      <c r="K309" t="s">
        <v>328</v>
      </c>
      <c r="L309" t="s">
        <v>10</v>
      </c>
      <c r="M309" t="s">
        <v>15</v>
      </c>
      <c r="N309" t="s">
        <v>65</v>
      </c>
      <c r="O309" t="s">
        <v>13</v>
      </c>
      <c r="P309" t="s">
        <v>186</v>
      </c>
      <c r="Q309" t="s">
        <v>14</v>
      </c>
      <c r="R309" t="s">
        <v>16</v>
      </c>
      <c r="S309" t="s">
        <v>17</v>
      </c>
      <c r="U309" t="b">
        <f>L309=_R32Matchups[[#This Row],[1A vs]]</f>
        <v>1</v>
      </c>
      <c r="V309" t="b">
        <f>M309=_R32Matchups[[#This Row],[1B vs]]</f>
        <v>1</v>
      </c>
      <c r="W309" t="b">
        <f>N309=_R32Matchups[[#This Row],[1D vs]]</f>
        <v>1</v>
      </c>
      <c r="X309" t="b">
        <f>O309=_R32Matchups[[#This Row],[1E vs]]</f>
        <v>1</v>
      </c>
      <c r="Y309" t="b">
        <f>P309=_R32Matchups[[#This Row],[1G vs]]</f>
        <v>1</v>
      </c>
      <c r="Z309" t="b">
        <f>Q309=_R32Matchups[[#This Row],[1I vs]]</f>
        <v>1</v>
      </c>
      <c r="AA309" t="b">
        <f>R309=_R32Matchups[[#This Row],[1K vs]]</f>
        <v>1</v>
      </c>
      <c r="AB309" t="b">
        <f>S309=_R32Matchups[[#This Row],[1L vs]]</f>
        <v>1</v>
      </c>
    </row>
    <row r="310" spans="1:28" ht="14.4">
      <c r="A310" s="2" t="s">
        <v>329</v>
      </c>
      <c r="B310" s="2" t="s">
        <v>14</v>
      </c>
      <c r="C310" s="2" t="s">
        <v>11</v>
      </c>
      <c r="D310" s="2" t="s">
        <v>65</v>
      </c>
      <c r="E310" s="2" t="s">
        <v>13</v>
      </c>
      <c r="F310" s="2" t="s">
        <v>186</v>
      </c>
      <c r="G310" s="2" t="s">
        <v>15</v>
      </c>
      <c r="H310" s="2" t="s">
        <v>16</v>
      </c>
      <c r="I310" s="2" t="s">
        <v>10</v>
      </c>
      <c r="K310" t="s">
        <v>329</v>
      </c>
      <c r="L310" t="s">
        <v>14</v>
      </c>
      <c r="M310" t="s">
        <v>11</v>
      </c>
      <c r="N310" t="s">
        <v>65</v>
      </c>
      <c r="O310" t="s">
        <v>13</v>
      </c>
      <c r="P310" t="s">
        <v>186</v>
      </c>
      <c r="Q310" t="s">
        <v>15</v>
      </c>
      <c r="R310" t="s">
        <v>16</v>
      </c>
      <c r="S310" t="s">
        <v>10</v>
      </c>
      <c r="U310" t="b">
        <f>L310=_R32Matchups[[#This Row],[1A vs]]</f>
        <v>1</v>
      </c>
      <c r="V310" t="b">
        <f>M310=_R32Matchups[[#This Row],[1B vs]]</f>
        <v>1</v>
      </c>
      <c r="W310" t="b">
        <f>N310=_R32Matchups[[#This Row],[1D vs]]</f>
        <v>1</v>
      </c>
      <c r="X310" t="b">
        <f>O310=_R32Matchups[[#This Row],[1E vs]]</f>
        <v>1</v>
      </c>
      <c r="Y310" t="b">
        <f>P310=_R32Matchups[[#This Row],[1G vs]]</f>
        <v>1</v>
      </c>
      <c r="Z310" t="b">
        <f>Q310=_R32Matchups[[#This Row],[1I vs]]</f>
        <v>1</v>
      </c>
      <c r="AA310" t="b">
        <f>R310=_R32Matchups[[#This Row],[1K vs]]</f>
        <v>1</v>
      </c>
      <c r="AB310" t="b">
        <f>S310=_R32Matchups[[#This Row],[1L vs]]</f>
        <v>1</v>
      </c>
    </row>
    <row r="311" spans="1:28" ht="14.4">
      <c r="A311" s="2" t="s">
        <v>330</v>
      </c>
      <c r="B311" s="2" t="s">
        <v>14</v>
      </c>
      <c r="C311" s="2" t="s">
        <v>11</v>
      </c>
      <c r="D311" s="2" t="s">
        <v>65</v>
      </c>
      <c r="E311" s="2" t="s">
        <v>13</v>
      </c>
      <c r="F311" s="2" t="s">
        <v>186</v>
      </c>
      <c r="G311" s="2" t="s">
        <v>15</v>
      </c>
      <c r="H311" s="2" t="s">
        <v>10</v>
      </c>
      <c r="I311" s="2" t="s">
        <v>17</v>
      </c>
      <c r="K311" t="s">
        <v>330</v>
      </c>
      <c r="L311" t="s">
        <v>14</v>
      </c>
      <c r="M311" t="s">
        <v>11</v>
      </c>
      <c r="N311" t="s">
        <v>65</v>
      </c>
      <c r="O311" t="s">
        <v>13</v>
      </c>
      <c r="P311" t="s">
        <v>186</v>
      </c>
      <c r="Q311" t="s">
        <v>15</v>
      </c>
      <c r="R311" t="s">
        <v>10</v>
      </c>
      <c r="S311" t="s">
        <v>17</v>
      </c>
      <c r="U311" t="b">
        <f>L311=_R32Matchups[[#This Row],[1A vs]]</f>
        <v>1</v>
      </c>
      <c r="V311" t="b">
        <f>M311=_R32Matchups[[#This Row],[1B vs]]</f>
        <v>1</v>
      </c>
      <c r="W311" t="b">
        <f>N311=_R32Matchups[[#This Row],[1D vs]]</f>
        <v>1</v>
      </c>
      <c r="X311" t="b">
        <f>O311=_R32Matchups[[#This Row],[1E vs]]</f>
        <v>1</v>
      </c>
      <c r="Y311" t="b">
        <f>P311=_R32Matchups[[#This Row],[1G vs]]</f>
        <v>1</v>
      </c>
      <c r="Z311" t="b">
        <f>Q311=_R32Matchups[[#This Row],[1I vs]]</f>
        <v>1</v>
      </c>
      <c r="AA311" t="b">
        <f>R311=_R32Matchups[[#This Row],[1K vs]]</f>
        <v>1</v>
      </c>
      <c r="AB311" t="b">
        <f>S311=_R32Matchups[[#This Row],[1L vs]]</f>
        <v>1</v>
      </c>
    </row>
    <row r="312" spans="1:28" ht="14.4">
      <c r="A312" s="2" t="s">
        <v>331</v>
      </c>
      <c r="B312" s="2" t="s">
        <v>10</v>
      </c>
      <c r="C312" s="2" t="s">
        <v>15</v>
      </c>
      <c r="D312" s="2" t="s">
        <v>65</v>
      </c>
      <c r="E312" s="2" t="s">
        <v>13</v>
      </c>
      <c r="F312" s="2" t="s">
        <v>186</v>
      </c>
      <c r="G312" s="2" t="s">
        <v>14</v>
      </c>
      <c r="H312" s="2" t="s">
        <v>16</v>
      </c>
      <c r="I312" s="2" t="s">
        <v>12</v>
      </c>
      <c r="K312" t="s">
        <v>331</v>
      </c>
      <c r="L312" t="s">
        <v>10</v>
      </c>
      <c r="M312" t="s">
        <v>15</v>
      </c>
      <c r="N312" t="s">
        <v>65</v>
      </c>
      <c r="O312" t="s">
        <v>13</v>
      </c>
      <c r="P312" t="s">
        <v>186</v>
      </c>
      <c r="Q312" t="s">
        <v>14</v>
      </c>
      <c r="R312" t="s">
        <v>16</v>
      </c>
      <c r="S312" t="s">
        <v>12</v>
      </c>
      <c r="U312" t="b">
        <f>L312=_R32Matchups[[#This Row],[1A vs]]</f>
        <v>1</v>
      </c>
      <c r="V312" t="b">
        <f>M312=_R32Matchups[[#This Row],[1B vs]]</f>
        <v>1</v>
      </c>
      <c r="W312" t="b">
        <f>N312=_R32Matchups[[#This Row],[1D vs]]</f>
        <v>1</v>
      </c>
      <c r="X312" t="b">
        <f>O312=_R32Matchups[[#This Row],[1E vs]]</f>
        <v>1</v>
      </c>
      <c r="Y312" t="b">
        <f>P312=_R32Matchups[[#This Row],[1G vs]]</f>
        <v>1</v>
      </c>
      <c r="Z312" t="b">
        <f>Q312=_R32Matchups[[#This Row],[1I vs]]</f>
        <v>1</v>
      </c>
      <c r="AA312" t="b">
        <f>R312=_R32Matchups[[#This Row],[1K vs]]</f>
        <v>1</v>
      </c>
      <c r="AB312" t="b">
        <f>S312=_R32Matchups[[#This Row],[1L vs]]</f>
        <v>1</v>
      </c>
    </row>
    <row r="313" spans="1:28" ht="14.4">
      <c r="A313" s="2" t="s">
        <v>332</v>
      </c>
      <c r="B313" s="2" t="s">
        <v>10</v>
      </c>
      <c r="C313" s="2" t="s">
        <v>15</v>
      </c>
      <c r="D313" s="2" t="s">
        <v>65</v>
      </c>
      <c r="E313" s="2" t="s">
        <v>13</v>
      </c>
      <c r="F313" s="2" t="s">
        <v>186</v>
      </c>
      <c r="G313" s="2" t="s">
        <v>14</v>
      </c>
      <c r="H313" s="2" t="s">
        <v>12</v>
      </c>
      <c r="I313" s="2" t="s">
        <v>17</v>
      </c>
      <c r="K313" t="s">
        <v>332</v>
      </c>
      <c r="L313" t="s">
        <v>10</v>
      </c>
      <c r="M313" t="s">
        <v>15</v>
      </c>
      <c r="N313" t="s">
        <v>65</v>
      </c>
      <c r="O313" t="s">
        <v>13</v>
      </c>
      <c r="P313" t="s">
        <v>186</v>
      </c>
      <c r="Q313" t="s">
        <v>14</v>
      </c>
      <c r="R313" t="s">
        <v>12</v>
      </c>
      <c r="S313" t="s">
        <v>17</v>
      </c>
      <c r="U313" t="b">
        <f>L313=_R32Matchups[[#This Row],[1A vs]]</f>
        <v>1</v>
      </c>
      <c r="V313" t="b">
        <f>M313=_R32Matchups[[#This Row],[1B vs]]</f>
        <v>1</v>
      </c>
      <c r="W313" t="b">
        <f>N313=_R32Matchups[[#This Row],[1D vs]]</f>
        <v>1</v>
      </c>
      <c r="X313" t="b">
        <f>O313=_R32Matchups[[#This Row],[1E vs]]</f>
        <v>1</v>
      </c>
      <c r="Y313" t="b">
        <f>P313=_R32Matchups[[#This Row],[1G vs]]</f>
        <v>1</v>
      </c>
      <c r="Z313" t="b">
        <f>Q313=_R32Matchups[[#This Row],[1I vs]]</f>
        <v>1</v>
      </c>
      <c r="AA313" t="b">
        <f>R313=_R32Matchups[[#This Row],[1K vs]]</f>
        <v>1</v>
      </c>
      <c r="AB313" t="b">
        <f>S313=_R32Matchups[[#This Row],[1L vs]]</f>
        <v>1</v>
      </c>
    </row>
    <row r="314" spans="1:28" ht="14.4">
      <c r="A314" s="2" t="s">
        <v>333</v>
      </c>
      <c r="B314" s="2" t="s">
        <v>14</v>
      </c>
      <c r="C314" s="2" t="s">
        <v>11</v>
      </c>
      <c r="D314" s="2" t="s">
        <v>65</v>
      </c>
      <c r="E314" s="2" t="s">
        <v>13</v>
      </c>
      <c r="F314" s="2" t="s">
        <v>186</v>
      </c>
      <c r="G314" s="2" t="s">
        <v>15</v>
      </c>
      <c r="H314" s="2" t="s">
        <v>10</v>
      </c>
      <c r="I314" s="2" t="s">
        <v>12</v>
      </c>
      <c r="K314" t="s">
        <v>333</v>
      </c>
      <c r="L314" t="s">
        <v>14</v>
      </c>
      <c r="M314" t="s">
        <v>11</v>
      </c>
      <c r="N314" t="s">
        <v>65</v>
      </c>
      <c r="O314" t="s">
        <v>13</v>
      </c>
      <c r="P314" t="s">
        <v>186</v>
      </c>
      <c r="Q314" t="s">
        <v>15</v>
      </c>
      <c r="R314" t="s">
        <v>10</v>
      </c>
      <c r="S314" t="s">
        <v>12</v>
      </c>
      <c r="U314" t="b">
        <f>L314=_R32Matchups[[#This Row],[1A vs]]</f>
        <v>1</v>
      </c>
      <c r="V314" t="b">
        <f>M314=_R32Matchups[[#This Row],[1B vs]]</f>
        <v>1</v>
      </c>
      <c r="W314" t="b">
        <f>N314=_R32Matchups[[#This Row],[1D vs]]</f>
        <v>1</v>
      </c>
      <c r="X314" t="b">
        <f>O314=_R32Matchups[[#This Row],[1E vs]]</f>
        <v>1</v>
      </c>
      <c r="Y314" t="b">
        <f>P314=_R32Matchups[[#This Row],[1G vs]]</f>
        <v>1</v>
      </c>
      <c r="Z314" t="b">
        <f>Q314=_R32Matchups[[#This Row],[1I vs]]</f>
        <v>1</v>
      </c>
      <c r="AA314" t="b">
        <f>R314=_R32Matchups[[#This Row],[1K vs]]</f>
        <v>1</v>
      </c>
      <c r="AB314" t="b">
        <f>S314=_R32Matchups[[#This Row],[1L vs]]</f>
        <v>1</v>
      </c>
    </row>
    <row r="315" spans="1:28" ht="14.4">
      <c r="A315" s="2" t="s">
        <v>334</v>
      </c>
      <c r="B315" s="2" t="s">
        <v>12</v>
      </c>
      <c r="C315" s="2" t="s">
        <v>11</v>
      </c>
      <c r="D315" s="2" t="s">
        <v>65</v>
      </c>
      <c r="E315" s="2" t="s">
        <v>19</v>
      </c>
      <c r="F315" s="2" t="s">
        <v>186</v>
      </c>
      <c r="G315" s="2" t="s">
        <v>14</v>
      </c>
      <c r="H315" s="2" t="s">
        <v>16</v>
      </c>
      <c r="I315" s="2" t="s">
        <v>17</v>
      </c>
      <c r="K315" t="s">
        <v>334</v>
      </c>
      <c r="L315" t="s">
        <v>12</v>
      </c>
      <c r="M315" t="s">
        <v>11</v>
      </c>
      <c r="N315" t="s">
        <v>65</v>
      </c>
      <c r="O315" t="s">
        <v>19</v>
      </c>
      <c r="P315" t="s">
        <v>186</v>
      </c>
      <c r="Q315" t="s">
        <v>14</v>
      </c>
      <c r="R315" t="s">
        <v>16</v>
      </c>
      <c r="S315" t="s">
        <v>17</v>
      </c>
      <c r="U315" t="b">
        <f>L315=_R32Matchups[[#This Row],[1A vs]]</f>
        <v>1</v>
      </c>
      <c r="V315" t="b">
        <f>M315=_R32Matchups[[#This Row],[1B vs]]</f>
        <v>1</v>
      </c>
      <c r="W315" t="b">
        <f>N315=_R32Matchups[[#This Row],[1D vs]]</f>
        <v>1</v>
      </c>
      <c r="X315" t="b">
        <f>O315=_R32Matchups[[#This Row],[1E vs]]</f>
        <v>1</v>
      </c>
      <c r="Y315" t="b">
        <f>P315=_R32Matchups[[#This Row],[1G vs]]</f>
        <v>1</v>
      </c>
      <c r="Z315" t="b">
        <f>Q315=_R32Matchups[[#This Row],[1I vs]]</f>
        <v>1</v>
      </c>
      <c r="AA315" t="b">
        <f>R315=_R32Matchups[[#This Row],[1K vs]]</f>
        <v>1</v>
      </c>
      <c r="AB315" t="b">
        <f>S315=_R32Matchups[[#This Row],[1L vs]]</f>
        <v>1</v>
      </c>
    </row>
    <row r="316" spans="1:28" ht="14.4">
      <c r="A316" s="2" t="s">
        <v>335</v>
      </c>
      <c r="B316" s="2" t="s">
        <v>12</v>
      </c>
      <c r="C316" s="2" t="s">
        <v>11</v>
      </c>
      <c r="D316" s="2" t="s">
        <v>65</v>
      </c>
      <c r="E316" s="2" t="s">
        <v>19</v>
      </c>
      <c r="F316" s="2" t="s">
        <v>186</v>
      </c>
      <c r="G316" s="2" t="s">
        <v>15</v>
      </c>
      <c r="H316" s="2" t="s">
        <v>16</v>
      </c>
      <c r="I316" s="2" t="s">
        <v>17</v>
      </c>
      <c r="K316" t="s">
        <v>335</v>
      </c>
      <c r="L316" t="s">
        <v>12</v>
      </c>
      <c r="M316" t="s">
        <v>11</v>
      </c>
      <c r="N316" t="s">
        <v>65</v>
      </c>
      <c r="O316" t="s">
        <v>19</v>
      </c>
      <c r="P316" t="s">
        <v>186</v>
      </c>
      <c r="Q316" t="s">
        <v>15</v>
      </c>
      <c r="R316" t="s">
        <v>16</v>
      </c>
      <c r="S316" t="s">
        <v>17</v>
      </c>
      <c r="U316" t="b">
        <f>L316=_R32Matchups[[#This Row],[1A vs]]</f>
        <v>1</v>
      </c>
      <c r="V316" t="b">
        <f>M316=_R32Matchups[[#This Row],[1B vs]]</f>
        <v>1</v>
      </c>
      <c r="W316" t="b">
        <f>N316=_R32Matchups[[#This Row],[1D vs]]</f>
        <v>1</v>
      </c>
      <c r="X316" t="b">
        <f>O316=_R32Matchups[[#This Row],[1E vs]]</f>
        <v>1</v>
      </c>
      <c r="Y316" t="b">
        <f>P316=_R32Matchups[[#This Row],[1G vs]]</f>
        <v>1</v>
      </c>
      <c r="Z316" t="b">
        <f>Q316=_R32Matchups[[#This Row],[1I vs]]</f>
        <v>1</v>
      </c>
      <c r="AA316" t="b">
        <f>R316=_R32Matchups[[#This Row],[1K vs]]</f>
        <v>1</v>
      </c>
      <c r="AB316" t="b">
        <f>S316=_R32Matchups[[#This Row],[1L vs]]</f>
        <v>1</v>
      </c>
    </row>
    <row r="317" spans="1:28" ht="14.4">
      <c r="A317" s="2" t="s">
        <v>336</v>
      </c>
      <c r="B317" s="2" t="s">
        <v>14</v>
      </c>
      <c r="C317" s="2" t="s">
        <v>11</v>
      </c>
      <c r="D317" s="2" t="s">
        <v>65</v>
      </c>
      <c r="E317" s="2" t="s">
        <v>19</v>
      </c>
      <c r="F317" s="2" t="s">
        <v>186</v>
      </c>
      <c r="G317" s="2" t="s">
        <v>15</v>
      </c>
      <c r="H317" s="2" t="s">
        <v>16</v>
      </c>
      <c r="I317" s="2" t="s">
        <v>17</v>
      </c>
      <c r="K317" t="s">
        <v>336</v>
      </c>
      <c r="L317" t="s">
        <v>14</v>
      </c>
      <c r="M317" t="s">
        <v>11</v>
      </c>
      <c r="N317" t="s">
        <v>65</v>
      </c>
      <c r="O317" t="s">
        <v>19</v>
      </c>
      <c r="P317" t="s">
        <v>186</v>
      </c>
      <c r="Q317" t="s">
        <v>15</v>
      </c>
      <c r="R317" t="s">
        <v>16</v>
      </c>
      <c r="S317" t="s">
        <v>17</v>
      </c>
      <c r="U317" t="b">
        <f>L317=_R32Matchups[[#This Row],[1A vs]]</f>
        <v>1</v>
      </c>
      <c r="V317" t="b">
        <f>M317=_R32Matchups[[#This Row],[1B vs]]</f>
        <v>1</v>
      </c>
      <c r="W317" t="b">
        <f>N317=_R32Matchups[[#This Row],[1D vs]]</f>
        <v>1</v>
      </c>
      <c r="X317" t="b">
        <f>O317=_R32Matchups[[#This Row],[1E vs]]</f>
        <v>1</v>
      </c>
      <c r="Y317" t="b">
        <f>P317=_R32Matchups[[#This Row],[1G vs]]</f>
        <v>1</v>
      </c>
      <c r="Z317" t="b">
        <f>Q317=_R32Matchups[[#This Row],[1I vs]]</f>
        <v>1</v>
      </c>
      <c r="AA317" t="b">
        <f>R317=_R32Matchups[[#This Row],[1K vs]]</f>
        <v>1</v>
      </c>
      <c r="AB317" t="b">
        <f>S317=_R32Matchups[[#This Row],[1L vs]]</f>
        <v>1</v>
      </c>
    </row>
    <row r="318" spans="1:28" ht="14.4">
      <c r="A318" s="2" t="s">
        <v>337</v>
      </c>
      <c r="B318" s="2" t="s">
        <v>12</v>
      </c>
      <c r="C318" s="2" t="s">
        <v>15</v>
      </c>
      <c r="D318" s="2" t="s">
        <v>65</v>
      </c>
      <c r="E318" s="2" t="s">
        <v>19</v>
      </c>
      <c r="F318" s="2" t="s">
        <v>186</v>
      </c>
      <c r="G318" s="2" t="s">
        <v>14</v>
      </c>
      <c r="H318" s="2" t="s">
        <v>16</v>
      </c>
      <c r="I318" s="2" t="s">
        <v>17</v>
      </c>
      <c r="K318" t="s">
        <v>337</v>
      </c>
      <c r="L318" t="s">
        <v>12</v>
      </c>
      <c r="M318" t="s">
        <v>15</v>
      </c>
      <c r="N318" t="s">
        <v>65</v>
      </c>
      <c r="O318" t="s">
        <v>19</v>
      </c>
      <c r="P318" t="s">
        <v>186</v>
      </c>
      <c r="Q318" t="s">
        <v>14</v>
      </c>
      <c r="R318" t="s">
        <v>16</v>
      </c>
      <c r="S318" t="s">
        <v>17</v>
      </c>
      <c r="U318" t="b">
        <f>L318=_R32Matchups[[#This Row],[1A vs]]</f>
        <v>1</v>
      </c>
      <c r="V318" t="b">
        <f>M318=_R32Matchups[[#This Row],[1B vs]]</f>
        <v>1</v>
      </c>
      <c r="W318" t="b">
        <f>N318=_R32Matchups[[#This Row],[1D vs]]</f>
        <v>1</v>
      </c>
      <c r="X318" t="b">
        <f>O318=_R32Matchups[[#This Row],[1E vs]]</f>
        <v>1</v>
      </c>
      <c r="Y318" t="b">
        <f>P318=_R32Matchups[[#This Row],[1G vs]]</f>
        <v>1</v>
      </c>
      <c r="Z318" t="b">
        <f>Q318=_R32Matchups[[#This Row],[1I vs]]</f>
        <v>1</v>
      </c>
      <c r="AA318" t="b">
        <f>R318=_R32Matchups[[#This Row],[1K vs]]</f>
        <v>1</v>
      </c>
      <c r="AB318" t="b">
        <f>S318=_R32Matchups[[#This Row],[1L vs]]</f>
        <v>1</v>
      </c>
    </row>
    <row r="319" spans="1:28" ht="14.4">
      <c r="A319" s="2" t="s">
        <v>338</v>
      </c>
      <c r="B319" s="2" t="s">
        <v>14</v>
      </c>
      <c r="C319" s="2" t="s">
        <v>11</v>
      </c>
      <c r="D319" s="2" t="s">
        <v>65</v>
      </c>
      <c r="E319" s="2" t="s">
        <v>19</v>
      </c>
      <c r="F319" s="2" t="s">
        <v>186</v>
      </c>
      <c r="G319" s="2" t="s">
        <v>15</v>
      </c>
      <c r="H319" s="2" t="s">
        <v>16</v>
      </c>
      <c r="I319" s="2" t="s">
        <v>12</v>
      </c>
      <c r="K319" t="s">
        <v>338</v>
      </c>
      <c r="L319" t="s">
        <v>14</v>
      </c>
      <c r="M319" t="s">
        <v>11</v>
      </c>
      <c r="N319" t="s">
        <v>65</v>
      </c>
      <c r="O319" t="s">
        <v>19</v>
      </c>
      <c r="P319" t="s">
        <v>186</v>
      </c>
      <c r="Q319" t="s">
        <v>15</v>
      </c>
      <c r="R319" t="s">
        <v>16</v>
      </c>
      <c r="S319" t="s">
        <v>12</v>
      </c>
      <c r="U319" t="b">
        <f>L319=_R32Matchups[[#This Row],[1A vs]]</f>
        <v>1</v>
      </c>
      <c r="V319" t="b">
        <f>M319=_R32Matchups[[#This Row],[1B vs]]</f>
        <v>1</v>
      </c>
      <c r="W319" t="b">
        <f>N319=_R32Matchups[[#This Row],[1D vs]]</f>
        <v>1</v>
      </c>
      <c r="X319" t="b">
        <f>O319=_R32Matchups[[#This Row],[1E vs]]</f>
        <v>1</v>
      </c>
      <c r="Y319" t="b">
        <f>P319=_R32Matchups[[#This Row],[1G vs]]</f>
        <v>1</v>
      </c>
      <c r="Z319" t="b">
        <f>Q319=_R32Matchups[[#This Row],[1I vs]]</f>
        <v>1</v>
      </c>
      <c r="AA319" t="b">
        <f>R319=_R32Matchups[[#This Row],[1K vs]]</f>
        <v>1</v>
      </c>
      <c r="AB319" t="b">
        <f>S319=_R32Matchups[[#This Row],[1L vs]]</f>
        <v>1</v>
      </c>
    </row>
    <row r="320" spans="1:28" ht="14.4">
      <c r="A320" s="2" t="s">
        <v>339</v>
      </c>
      <c r="B320" s="2" t="s">
        <v>14</v>
      </c>
      <c r="C320" s="2" t="s">
        <v>11</v>
      </c>
      <c r="D320" s="2" t="s">
        <v>65</v>
      </c>
      <c r="E320" s="2" t="s">
        <v>19</v>
      </c>
      <c r="F320" s="2" t="s">
        <v>186</v>
      </c>
      <c r="G320" s="2" t="s">
        <v>15</v>
      </c>
      <c r="H320" s="2" t="s">
        <v>12</v>
      </c>
      <c r="I320" s="2" t="s">
        <v>17</v>
      </c>
      <c r="K320" t="s">
        <v>339</v>
      </c>
      <c r="L320" t="s">
        <v>14</v>
      </c>
      <c r="M320" t="s">
        <v>11</v>
      </c>
      <c r="N320" t="s">
        <v>65</v>
      </c>
      <c r="O320" t="s">
        <v>19</v>
      </c>
      <c r="P320" t="s">
        <v>186</v>
      </c>
      <c r="Q320" t="s">
        <v>15</v>
      </c>
      <c r="R320" t="s">
        <v>12</v>
      </c>
      <c r="S320" t="s">
        <v>17</v>
      </c>
      <c r="U320" t="b">
        <f>L320=_R32Matchups[[#This Row],[1A vs]]</f>
        <v>1</v>
      </c>
      <c r="V320" t="b">
        <f>M320=_R32Matchups[[#This Row],[1B vs]]</f>
        <v>1</v>
      </c>
      <c r="W320" t="b">
        <f>N320=_R32Matchups[[#This Row],[1D vs]]</f>
        <v>1</v>
      </c>
      <c r="X320" t="b">
        <f>O320=_R32Matchups[[#This Row],[1E vs]]</f>
        <v>1</v>
      </c>
      <c r="Y320" t="b">
        <f>P320=_R32Matchups[[#This Row],[1G vs]]</f>
        <v>1</v>
      </c>
      <c r="Z320" t="b">
        <f>Q320=_R32Matchups[[#This Row],[1I vs]]</f>
        <v>1</v>
      </c>
      <c r="AA320" t="b">
        <f>R320=_R32Matchups[[#This Row],[1K vs]]</f>
        <v>1</v>
      </c>
      <c r="AB320" t="b">
        <f>S320=_R32Matchups[[#This Row],[1L vs]]</f>
        <v>1</v>
      </c>
    </row>
    <row r="321" spans="1:28" ht="14.4">
      <c r="A321" s="2" t="s">
        <v>340</v>
      </c>
      <c r="B321" s="2" t="s">
        <v>12</v>
      </c>
      <c r="C321" s="2" t="s">
        <v>11</v>
      </c>
      <c r="D321" s="2" t="s">
        <v>65</v>
      </c>
      <c r="E321" s="2" t="s">
        <v>19</v>
      </c>
      <c r="F321" s="2" t="s">
        <v>186</v>
      </c>
      <c r="G321" s="2" t="s">
        <v>13</v>
      </c>
      <c r="H321" s="2" t="s">
        <v>16</v>
      </c>
      <c r="I321" s="2" t="s">
        <v>17</v>
      </c>
      <c r="K321" t="s">
        <v>340</v>
      </c>
      <c r="L321" t="s">
        <v>12</v>
      </c>
      <c r="M321" t="s">
        <v>11</v>
      </c>
      <c r="N321" t="s">
        <v>65</v>
      </c>
      <c r="O321" t="s">
        <v>19</v>
      </c>
      <c r="P321" t="s">
        <v>186</v>
      </c>
      <c r="Q321" t="s">
        <v>13</v>
      </c>
      <c r="R321" t="s">
        <v>16</v>
      </c>
      <c r="S321" t="s">
        <v>17</v>
      </c>
      <c r="U321" t="b">
        <f>L321=_R32Matchups[[#This Row],[1A vs]]</f>
        <v>1</v>
      </c>
      <c r="V321" t="b">
        <f>M321=_R32Matchups[[#This Row],[1B vs]]</f>
        <v>1</v>
      </c>
      <c r="W321" t="b">
        <f>N321=_R32Matchups[[#This Row],[1D vs]]</f>
        <v>1</v>
      </c>
      <c r="X321" t="b">
        <f>O321=_R32Matchups[[#This Row],[1E vs]]</f>
        <v>1</v>
      </c>
      <c r="Y321" t="b">
        <f>P321=_R32Matchups[[#This Row],[1G vs]]</f>
        <v>1</v>
      </c>
      <c r="Z321" t="b">
        <f>Q321=_R32Matchups[[#This Row],[1I vs]]</f>
        <v>1</v>
      </c>
      <c r="AA321" t="b">
        <f>R321=_R32Matchups[[#This Row],[1K vs]]</f>
        <v>1</v>
      </c>
      <c r="AB321" t="b">
        <f>S321=_R32Matchups[[#This Row],[1L vs]]</f>
        <v>1</v>
      </c>
    </row>
    <row r="322" spans="1:28" ht="14.4">
      <c r="A322" s="2" t="s">
        <v>341</v>
      </c>
      <c r="B322" s="2" t="s">
        <v>14</v>
      </c>
      <c r="C322" s="2" t="s">
        <v>11</v>
      </c>
      <c r="D322" s="2" t="s">
        <v>65</v>
      </c>
      <c r="E322" s="2" t="s">
        <v>19</v>
      </c>
      <c r="F322" s="2" t="s">
        <v>186</v>
      </c>
      <c r="G322" s="2" t="s">
        <v>13</v>
      </c>
      <c r="H322" s="2" t="s">
        <v>16</v>
      </c>
      <c r="I322" s="2" t="s">
        <v>17</v>
      </c>
      <c r="K322" t="s">
        <v>341</v>
      </c>
      <c r="L322" t="s">
        <v>14</v>
      </c>
      <c r="M322" t="s">
        <v>11</v>
      </c>
      <c r="N322" t="s">
        <v>65</v>
      </c>
      <c r="O322" t="s">
        <v>19</v>
      </c>
      <c r="P322" t="s">
        <v>186</v>
      </c>
      <c r="Q322" t="s">
        <v>13</v>
      </c>
      <c r="R322" t="s">
        <v>16</v>
      </c>
      <c r="S322" t="s">
        <v>17</v>
      </c>
      <c r="U322" t="b">
        <f>L322=_R32Matchups[[#This Row],[1A vs]]</f>
        <v>1</v>
      </c>
      <c r="V322" t="b">
        <f>M322=_R32Matchups[[#This Row],[1B vs]]</f>
        <v>1</v>
      </c>
      <c r="W322" t="b">
        <f>N322=_R32Matchups[[#This Row],[1D vs]]</f>
        <v>1</v>
      </c>
      <c r="X322" t="b">
        <f>O322=_R32Matchups[[#This Row],[1E vs]]</f>
        <v>1</v>
      </c>
      <c r="Y322" t="b">
        <f>P322=_R32Matchups[[#This Row],[1G vs]]</f>
        <v>1</v>
      </c>
      <c r="Z322" t="b">
        <f>Q322=_R32Matchups[[#This Row],[1I vs]]</f>
        <v>1</v>
      </c>
      <c r="AA322" t="b">
        <f>R322=_R32Matchups[[#This Row],[1K vs]]</f>
        <v>1</v>
      </c>
      <c r="AB322" t="b">
        <f>S322=_R32Matchups[[#This Row],[1L vs]]</f>
        <v>1</v>
      </c>
    </row>
    <row r="323" spans="1:28" ht="14.4">
      <c r="A323" s="2" t="s">
        <v>342</v>
      </c>
      <c r="B323" s="2" t="s">
        <v>14</v>
      </c>
      <c r="C323" s="2" t="s">
        <v>12</v>
      </c>
      <c r="D323" s="2" t="s">
        <v>65</v>
      </c>
      <c r="E323" s="2" t="s">
        <v>19</v>
      </c>
      <c r="F323" s="2" t="s">
        <v>186</v>
      </c>
      <c r="G323" s="2" t="s">
        <v>13</v>
      </c>
      <c r="H323" s="2" t="s">
        <v>16</v>
      </c>
      <c r="I323" s="2" t="s">
        <v>17</v>
      </c>
      <c r="K323" t="s">
        <v>342</v>
      </c>
      <c r="L323" t="s">
        <v>14</v>
      </c>
      <c r="M323" t="s">
        <v>12</v>
      </c>
      <c r="N323" t="s">
        <v>65</v>
      </c>
      <c r="O323" t="s">
        <v>19</v>
      </c>
      <c r="P323" t="s">
        <v>186</v>
      </c>
      <c r="Q323" t="s">
        <v>13</v>
      </c>
      <c r="R323" t="s">
        <v>16</v>
      </c>
      <c r="S323" t="s">
        <v>17</v>
      </c>
      <c r="U323" t="b">
        <f>L323=_R32Matchups[[#This Row],[1A vs]]</f>
        <v>1</v>
      </c>
      <c r="V323" t="b">
        <f>M323=_R32Matchups[[#This Row],[1B vs]]</f>
        <v>1</v>
      </c>
      <c r="W323" t="b">
        <f>N323=_R32Matchups[[#This Row],[1D vs]]</f>
        <v>1</v>
      </c>
      <c r="X323" t="b">
        <f>O323=_R32Matchups[[#This Row],[1E vs]]</f>
        <v>1</v>
      </c>
      <c r="Y323" t="b">
        <f>P323=_R32Matchups[[#This Row],[1G vs]]</f>
        <v>1</v>
      </c>
      <c r="Z323" t="b">
        <f>Q323=_R32Matchups[[#This Row],[1I vs]]</f>
        <v>1</v>
      </c>
      <c r="AA323" t="b">
        <f>R323=_R32Matchups[[#This Row],[1K vs]]</f>
        <v>1</v>
      </c>
      <c r="AB323" t="b">
        <f>S323=_R32Matchups[[#This Row],[1L vs]]</f>
        <v>1</v>
      </c>
    </row>
    <row r="324" spans="1:28" ht="14.4">
      <c r="A324" s="2" t="s">
        <v>343</v>
      </c>
      <c r="B324" s="2" t="s">
        <v>14</v>
      </c>
      <c r="C324" s="2" t="s">
        <v>11</v>
      </c>
      <c r="D324" s="2" t="s">
        <v>65</v>
      </c>
      <c r="E324" s="2" t="s">
        <v>19</v>
      </c>
      <c r="F324" s="2" t="s">
        <v>186</v>
      </c>
      <c r="G324" s="2" t="s">
        <v>13</v>
      </c>
      <c r="H324" s="2" t="s">
        <v>16</v>
      </c>
      <c r="I324" s="2" t="s">
        <v>12</v>
      </c>
      <c r="K324" t="s">
        <v>343</v>
      </c>
      <c r="L324" t="s">
        <v>14</v>
      </c>
      <c r="M324" t="s">
        <v>11</v>
      </c>
      <c r="N324" t="s">
        <v>65</v>
      </c>
      <c r="O324" t="s">
        <v>19</v>
      </c>
      <c r="P324" t="s">
        <v>186</v>
      </c>
      <c r="Q324" t="s">
        <v>13</v>
      </c>
      <c r="R324" t="s">
        <v>16</v>
      </c>
      <c r="S324" t="s">
        <v>12</v>
      </c>
      <c r="U324" t="b">
        <f>L324=_R32Matchups[[#This Row],[1A vs]]</f>
        <v>1</v>
      </c>
      <c r="V324" t="b">
        <f>M324=_R32Matchups[[#This Row],[1B vs]]</f>
        <v>1</v>
      </c>
      <c r="W324" t="b">
        <f>N324=_R32Matchups[[#This Row],[1D vs]]</f>
        <v>1</v>
      </c>
      <c r="X324" t="b">
        <f>O324=_R32Matchups[[#This Row],[1E vs]]</f>
        <v>1</v>
      </c>
      <c r="Y324" t="b">
        <f>P324=_R32Matchups[[#This Row],[1G vs]]</f>
        <v>1</v>
      </c>
      <c r="Z324" t="b">
        <f>Q324=_R32Matchups[[#This Row],[1I vs]]</f>
        <v>1</v>
      </c>
      <c r="AA324" t="b">
        <f>R324=_R32Matchups[[#This Row],[1K vs]]</f>
        <v>1</v>
      </c>
      <c r="AB324" t="b">
        <f>S324=_R32Matchups[[#This Row],[1L vs]]</f>
        <v>1</v>
      </c>
    </row>
    <row r="325" spans="1:28" ht="14.4">
      <c r="A325" s="2" t="s">
        <v>344</v>
      </c>
      <c r="B325" s="2" t="s">
        <v>14</v>
      </c>
      <c r="C325" s="2" t="s">
        <v>11</v>
      </c>
      <c r="D325" s="2" t="s">
        <v>65</v>
      </c>
      <c r="E325" s="2" t="s">
        <v>19</v>
      </c>
      <c r="F325" s="2" t="s">
        <v>186</v>
      </c>
      <c r="G325" s="2" t="s">
        <v>13</v>
      </c>
      <c r="H325" s="2" t="s">
        <v>12</v>
      </c>
      <c r="I325" s="2" t="s">
        <v>17</v>
      </c>
      <c r="K325" t="s">
        <v>344</v>
      </c>
      <c r="L325" t="s">
        <v>14</v>
      </c>
      <c r="M325" t="s">
        <v>11</v>
      </c>
      <c r="N325" t="s">
        <v>65</v>
      </c>
      <c r="O325" t="s">
        <v>19</v>
      </c>
      <c r="P325" t="s">
        <v>186</v>
      </c>
      <c r="Q325" t="s">
        <v>13</v>
      </c>
      <c r="R325" t="s">
        <v>12</v>
      </c>
      <c r="S325" t="s">
        <v>17</v>
      </c>
      <c r="U325" t="b">
        <f>L325=_R32Matchups[[#This Row],[1A vs]]</f>
        <v>1</v>
      </c>
      <c r="V325" t="b">
        <f>M325=_R32Matchups[[#This Row],[1B vs]]</f>
        <v>1</v>
      </c>
      <c r="W325" t="b">
        <f>N325=_R32Matchups[[#This Row],[1D vs]]</f>
        <v>1</v>
      </c>
      <c r="X325" t="b">
        <f>O325=_R32Matchups[[#This Row],[1E vs]]</f>
        <v>1</v>
      </c>
      <c r="Y325" t="b">
        <f>P325=_R32Matchups[[#This Row],[1G vs]]</f>
        <v>1</v>
      </c>
      <c r="Z325" t="b">
        <f>Q325=_R32Matchups[[#This Row],[1I vs]]</f>
        <v>1</v>
      </c>
      <c r="AA325" t="b">
        <f>R325=_R32Matchups[[#This Row],[1K vs]]</f>
        <v>1</v>
      </c>
      <c r="AB325" t="b">
        <f>S325=_R32Matchups[[#This Row],[1L vs]]</f>
        <v>1</v>
      </c>
    </row>
    <row r="326" spans="1:28" ht="14.4">
      <c r="A326" s="2" t="s">
        <v>345</v>
      </c>
      <c r="B326" s="2" t="s">
        <v>13</v>
      </c>
      <c r="C326" s="2" t="s">
        <v>11</v>
      </c>
      <c r="D326" s="2" t="s">
        <v>65</v>
      </c>
      <c r="E326" s="2" t="s">
        <v>19</v>
      </c>
      <c r="F326" s="2" t="s">
        <v>186</v>
      </c>
      <c r="G326" s="2" t="s">
        <v>15</v>
      </c>
      <c r="H326" s="2" t="s">
        <v>16</v>
      </c>
      <c r="I326" s="2" t="s">
        <v>17</v>
      </c>
      <c r="K326" t="s">
        <v>345</v>
      </c>
      <c r="L326" t="s">
        <v>13</v>
      </c>
      <c r="M326" t="s">
        <v>11</v>
      </c>
      <c r="N326" t="s">
        <v>65</v>
      </c>
      <c r="O326" t="s">
        <v>19</v>
      </c>
      <c r="P326" t="s">
        <v>186</v>
      </c>
      <c r="Q326" t="s">
        <v>15</v>
      </c>
      <c r="R326" t="s">
        <v>16</v>
      </c>
      <c r="S326" t="s">
        <v>17</v>
      </c>
      <c r="U326" t="b">
        <f>L326=_R32Matchups[[#This Row],[1A vs]]</f>
        <v>1</v>
      </c>
      <c r="V326" t="b">
        <f>M326=_R32Matchups[[#This Row],[1B vs]]</f>
        <v>1</v>
      </c>
      <c r="W326" t="b">
        <f>N326=_R32Matchups[[#This Row],[1D vs]]</f>
        <v>1</v>
      </c>
      <c r="X326" t="b">
        <f>O326=_R32Matchups[[#This Row],[1E vs]]</f>
        <v>1</v>
      </c>
      <c r="Y326" t="b">
        <f>P326=_R32Matchups[[#This Row],[1G vs]]</f>
        <v>1</v>
      </c>
      <c r="Z326" t="b">
        <f>Q326=_R32Matchups[[#This Row],[1I vs]]</f>
        <v>1</v>
      </c>
      <c r="AA326" t="b">
        <f>R326=_R32Matchups[[#This Row],[1K vs]]</f>
        <v>1</v>
      </c>
      <c r="AB326" t="b">
        <f>S326=_R32Matchups[[#This Row],[1L vs]]</f>
        <v>1</v>
      </c>
    </row>
    <row r="327" spans="1:28" ht="14.4">
      <c r="A327" s="2" t="s">
        <v>346</v>
      </c>
      <c r="B327" s="2" t="s">
        <v>12</v>
      </c>
      <c r="C327" s="2" t="s">
        <v>15</v>
      </c>
      <c r="D327" s="2" t="s">
        <v>65</v>
      </c>
      <c r="E327" s="2" t="s">
        <v>19</v>
      </c>
      <c r="F327" s="2" t="s">
        <v>186</v>
      </c>
      <c r="G327" s="2" t="s">
        <v>13</v>
      </c>
      <c r="H327" s="2" t="s">
        <v>16</v>
      </c>
      <c r="I327" s="2" t="s">
        <v>17</v>
      </c>
      <c r="K327" t="s">
        <v>346</v>
      </c>
      <c r="L327" t="s">
        <v>12</v>
      </c>
      <c r="M327" t="s">
        <v>15</v>
      </c>
      <c r="N327" t="s">
        <v>65</v>
      </c>
      <c r="O327" t="s">
        <v>19</v>
      </c>
      <c r="P327" t="s">
        <v>186</v>
      </c>
      <c r="Q327" t="s">
        <v>13</v>
      </c>
      <c r="R327" t="s">
        <v>16</v>
      </c>
      <c r="S327" t="s">
        <v>17</v>
      </c>
      <c r="U327" t="b">
        <f>L327=_R32Matchups[[#This Row],[1A vs]]</f>
        <v>1</v>
      </c>
      <c r="V327" t="b">
        <f>M327=_R32Matchups[[#This Row],[1B vs]]</f>
        <v>1</v>
      </c>
      <c r="W327" t="b">
        <f>N327=_R32Matchups[[#This Row],[1D vs]]</f>
        <v>1</v>
      </c>
      <c r="X327" t="b">
        <f>O327=_R32Matchups[[#This Row],[1E vs]]</f>
        <v>1</v>
      </c>
      <c r="Y327" t="b">
        <f>P327=_R32Matchups[[#This Row],[1G vs]]</f>
        <v>1</v>
      </c>
      <c r="Z327" t="b">
        <f>Q327=_R32Matchups[[#This Row],[1I vs]]</f>
        <v>1</v>
      </c>
      <c r="AA327" t="b">
        <f>R327=_R32Matchups[[#This Row],[1K vs]]</f>
        <v>1</v>
      </c>
      <c r="AB327" t="b">
        <f>S327=_R32Matchups[[#This Row],[1L vs]]</f>
        <v>1</v>
      </c>
    </row>
    <row r="328" spans="1:28" ht="14.4">
      <c r="A328" s="2" t="s">
        <v>347</v>
      </c>
      <c r="B328" s="2" t="s">
        <v>13</v>
      </c>
      <c r="C328" s="2" t="s">
        <v>11</v>
      </c>
      <c r="D328" s="2" t="s">
        <v>65</v>
      </c>
      <c r="E328" s="2" t="s">
        <v>19</v>
      </c>
      <c r="F328" s="2" t="s">
        <v>186</v>
      </c>
      <c r="G328" s="2" t="s">
        <v>15</v>
      </c>
      <c r="H328" s="2" t="s">
        <v>16</v>
      </c>
      <c r="I328" s="2" t="s">
        <v>12</v>
      </c>
      <c r="K328" t="s">
        <v>347</v>
      </c>
      <c r="L328" t="s">
        <v>13</v>
      </c>
      <c r="M328" t="s">
        <v>11</v>
      </c>
      <c r="N328" t="s">
        <v>65</v>
      </c>
      <c r="O328" t="s">
        <v>19</v>
      </c>
      <c r="P328" t="s">
        <v>186</v>
      </c>
      <c r="Q328" t="s">
        <v>15</v>
      </c>
      <c r="R328" t="s">
        <v>16</v>
      </c>
      <c r="S328" t="s">
        <v>12</v>
      </c>
      <c r="U328" t="b">
        <f>L328=_R32Matchups[[#This Row],[1A vs]]</f>
        <v>1</v>
      </c>
      <c r="V328" t="b">
        <f>M328=_R32Matchups[[#This Row],[1B vs]]</f>
        <v>1</v>
      </c>
      <c r="W328" t="b">
        <f>N328=_R32Matchups[[#This Row],[1D vs]]</f>
        <v>1</v>
      </c>
      <c r="X328" t="b">
        <f>O328=_R32Matchups[[#This Row],[1E vs]]</f>
        <v>1</v>
      </c>
      <c r="Y328" t="b">
        <f>P328=_R32Matchups[[#This Row],[1G vs]]</f>
        <v>1</v>
      </c>
      <c r="Z328" t="b">
        <f>Q328=_R32Matchups[[#This Row],[1I vs]]</f>
        <v>1</v>
      </c>
      <c r="AA328" t="b">
        <f>R328=_R32Matchups[[#This Row],[1K vs]]</f>
        <v>1</v>
      </c>
      <c r="AB328" t="b">
        <f>S328=_R32Matchups[[#This Row],[1L vs]]</f>
        <v>1</v>
      </c>
    </row>
    <row r="329" spans="1:28" ht="14.4">
      <c r="A329" s="2" t="s">
        <v>348</v>
      </c>
      <c r="B329" s="2" t="s">
        <v>13</v>
      </c>
      <c r="C329" s="2" t="s">
        <v>11</v>
      </c>
      <c r="D329" s="2" t="s">
        <v>65</v>
      </c>
      <c r="E329" s="2" t="s">
        <v>19</v>
      </c>
      <c r="F329" s="2" t="s">
        <v>186</v>
      </c>
      <c r="G329" s="2" t="s">
        <v>15</v>
      </c>
      <c r="H329" s="2" t="s">
        <v>12</v>
      </c>
      <c r="I329" s="2" t="s">
        <v>17</v>
      </c>
      <c r="K329" t="s">
        <v>348</v>
      </c>
      <c r="L329" t="s">
        <v>13</v>
      </c>
      <c r="M329" t="s">
        <v>11</v>
      </c>
      <c r="N329" t="s">
        <v>65</v>
      </c>
      <c r="O329" t="s">
        <v>19</v>
      </c>
      <c r="P329" t="s">
        <v>186</v>
      </c>
      <c r="Q329" t="s">
        <v>15</v>
      </c>
      <c r="R329" t="s">
        <v>12</v>
      </c>
      <c r="S329" t="s">
        <v>17</v>
      </c>
      <c r="U329" t="b">
        <f>L329=_R32Matchups[[#This Row],[1A vs]]</f>
        <v>1</v>
      </c>
      <c r="V329" t="b">
        <f>M329=_R32Matchups[[#This Row],[1B vs]]</f>
        <v>1</v>
      </c>
      <c r="W329" t="b">
        <f>N329=_R32Matchups[[#This Row],[1D vs]]</f>
        <v>1</v>
      </c>
      <c r="X329" t="b">
        <f>O329=_R32Matchups[[#This Row],[1E vs]]</f>
        <v>1</v>
      </c>
      <c r="Y329" t="b">
        <f>P329=_R32Matchups[[#This Row],[1G vs]]</f>
        <v>1</v>
      </c>
      <c r="Z329" t="b">
        <f>Q329=_R32Matchups[[#This Row],[1I vs]]</f>
        <v>1</v>
      </c>
      <c r="AA329" t="b">
        <f>R329=_R32Matchups[[#This Row],[1K vs]]</f>
        <v>1</v>
      </c>
      <c r="AB329" t="b">
        <f>S329=_R32Matchups[[#This Row],[1L vs]]</f>
        <v>1</v>
      </c>
    </row>
    <row r="330" spans="1:28" ht="14.4">
      <c r="A330" s="2" t="s">
        <v>349</v>
      </c>
      <c r="B330" s="2" t="s">
        <v>14</v>
      </c>
      <c r="C330" s="2" t="s">
        <v>15</v>
      </c>
      <c r="D330" s="2" t="s">
        <v>65</v>
      </c>
      <c r="E330" s="2" t="s">
        <v>19</v>
      </c>
      <c r="F330" s="2" t="s">
        <v>186</v>
      </c>
      <c r="G330" s="2" t="s">
        <v>13</v>
      </c>
      <c r="H330" s="2" t="s">
        <v>16</v>
      </c>
      <c r="I330" s="2" t="s">
        <v>17</v>
      </c>
      <c r="K330" t="s">
        <v>349</v>
      </c>
      <c r="L330" t="s">
        <v>14</v>
      </c>
      <c r="M330" t="s">
        <v>15</v>
      </c>
      <c r="N330" t="s">
        <v>65</v>
      </c>
      <c r="O330" t="s">
        <v>19</v>
      </c>
      <c r="P330" t="s">
        <v>186</v>
      </c>
      <c r="Q330" t="s">
        <v>13</v>
      </c>
      <c r="R330" t="s">
        <v>16</v>
      </c>
      <c r="S330" t="s">
        <v>17</v>
      </c>
      <c r="U330" t="b">
        <f>L330=_R32Matchups[[#This Row],[1A vs]]</f>
        <v>1</v>
      </c>
      <c r="V330" t="b">
        <f>M330=_R32Matchups[[#This Row],[1B vs]]</f>
        <v>1</v>
      </c>
      <c r="W330" t="b">
        <f>N330=_R32Matchups[[#This Row],[1D vs]]</f>
        <v>1</v>
      </c>
      <c r="X330" t="b">
        <f>O330=_R32Matchups[[#This Row],[1E vs]]</f>
        <v>1</v>
      </c>
      <c r="Y330" t="b">
        <f>P330=_R32Matchups[[#This Row],[1G vs]]</f>
        <v>1</v>
      </c>
      <c r="Z330" t="b">
        <f>Q330=_R32Matchups[[#This Row],[1I vs]]</f>
        <v>1</v>
      </c>
      <c r="AA330" t="b">
        <f>R330=_R32Matchups[[#This Row],[1K vs]]</f>
        <v>1</v>
      </c>
      <c r="AB330" t="b">
        <f>S330=_R32Matchups[[#This Row],[1L vs]]</f>
        <v>1</v>
      </c>
    </row>
    <row r="331" spans="1:28" ht="14.4">
      <c r="A331" s="2" t="s">
        <v>350</v>
      </c>
      <c r="B331" s="2" t="s">
        <v>14</v>
      </c>
      <c r="C331" s="2" t="s">
        <v>15</v>
      </c>
      <c r="D331" s="2" t="s">
        <v>65</v>
      </c>
      <c r="E331" s="2" t="s">
        <v>19</v>
      </c>
      <c r="F331" s="2" t="s">
        <v>186</v>
      </c>
      <c r="G331" s="2" t="s">
        <v>13</v>
      </c>
      <c r="H331" s="2" t="s">
        <v>16</v>
      </c>
      <c r="I331" s="2" t="s">
        <v>11</v>
      </c>
      <c r="K331" t="s">
        <v>350</v>
      </c>
      <c r="L331" t="s">
        <v>14</v>
      </c>
      <c r="M331" t="s">
        <v>15</v>
      </c>
      <c r="N331" t="s">
        <v>65</v>
      </c>
      <c r="O331" t="s">
        <v>19</v>
      </c>
      <c r="P331" t="s">
        <v>186</v>
      </c>
      <c r="Q331" t="s">
        <v>13</v>
      </c>
      <c r="R331" t="s">
        <v>16</v>
      </c>
      <c r="S331" t="s">
        <v>11</v>
      </c>
      <c r="U331" t="b">
        <f>L331=_R32Matchups[[#This Row],[1A vs]]</f>
        <v>1</v>
      </c>
      <c r="V331" t="b">
        <f>M331=_R32Matchups[[#This Row],[1B vs]]</f>
        <v>1</v>
      </c>
      <c r="W331" t="b">
        <f>N331=_R32Matchups[[#This Row],[1D vs]]</f>
        <v>1</v>
      </c>
      <c r="X331" t="b">
        <f>O331=_R32Matchups[[#This Row],[1E vs]]</f>
        <v>1</v>
      </c>
      <c r="Y331" t="b">
        <f>P331=_R32Matchups[[#This Row],[1G vs]]</f>
        <v>1</v>
      </c>
      <c r="Z331" t="b">
        <f>Q331=_R32Matchups[[#This Row],[1I vs]]</f>
        <v>1</v>
      </c>
      <c r="AA331" t="b">
        <f>R331=_R32Matchups[[#This Row],[1K vs]]</f>
        <v>1</v>
      </c>
      <c r="AB331" t="b">
        <f>S331=_R32Matchups[[#This Row],[1L vs]]</f>
        <v>1</v>
      </c>
    </row>
    <row r="332" spans="1:28" ht="14.4">
      <c r="A332" s="2" t="s">
        <v>351</v>
      </c>
      <c r="B332" s="2" t="s">
        <v>14</v>
      </c>
      <c r="C332" s="2" t="s">
        <v>15</v>
      </c>
      <c r="D332" s="2" t="s">
        <v>65</v>
      </c>
      <c r="E332" s="2" t="s">
        <v>19</v>
      </c>
      <c r="F332" s="2" t="s">
        <v>186</v>
      </c>
      <c r="G332" s="2" t="s">
        <v>13</v>
      </c>
      <c r="H332" s="2" t="s">
        <v>11</v>
      </c>
      <c r="I332" s="2" t="s">
        <v>17</v>
      </c>
      <c r="K332" t="s">
        <v>351</v>
      </c>
      <c r="L332" t="s">
        <v>14</v>
      </c>
      <c r="M332" t="s">
        <v>15</v>
      </c>
      <c r="N332" t="s">
        <v>65</v>
      </c>
      <c r="O332" t="s">
        <v>19</v>
      </c>
      <c r="P332" t="s">
        <v>186</v>
      </c>
      <c r="Q332" t="s">
        <v>13</v>
      </c>
      <c r="R332" t="s">
        <v>11</v>
      </c>
      <c r="S332" t="s">
        <v>17</v>
      </c>
      <c r="U332" t="b">
        <f>L332=_R32Matchups[[#This Row],[1A vs]]</f>
        <v>1</v>
      </c>
      <c r="V332" t="b">
        <f>M332=_R32Matchups[[#This Row],[1B vs]]</f>
        <v>1</v>
      </c>
      <c r="W332" t="b">
        <f>N332=_R32Matchups[[#This Row],[1D vs]]</f>
        <v>1</v>
      </c>
      <c r="X332" t="b">
        <f>O332=_R32Matchups[[#This Row],[1E vs]]</f>
        <v>1</v>
      </c>
      <c r="Y332" t="b">
        <f>P332=_R32Matchups[[#This Row],[1G vs]]</f>
        <v>1</v>
      </c>
      <c r="Z332" t="b">
        <f>Q332=_R32Matchups[[#This Row],[1I vs]]</f>
        <v>1</v>
      </c>
      <c r="AA332" t="b">
        <f>R332=_R32Matchups[[#This Row],[1K vs]]</f>
        <v>1</v>
      </c>
      <c r="AB332" t="b">
        <f>S332=_R32Matchups[[#This Row],[1L vs]]</f>
        <v>1</v>
      </c>
    </row>
    <row r="333" spans="1:28" ht="14.4">
      <c r="A333" s="2" t="s">
        <v>352</v>
      </c>
      <c r="B333" s="2" t="s">
        <v>14</v>
      </c>
      <c r="C333" s="2" t="s">
        <v>15</v>
      </c>
      <c r="D333" s="2" t="s">
        <v>65</v>
      </c>
      <c r="E333" s="2" t="s">
        <v>19</v>
      </c>
      <c r="F333" s="2" t="s">
        <v>186</v>
      </c>
      <c r="G333" s="2" t="s">
        <v>13</v>
      </c>
      <c r="H333" s="2" t="s">
        <v>16</v>
      </c>
      <c r="I333" s="2" t="s">
        <v>12</v>
      </c>
      <c r="K333" t="s">
        <v>352</v>
      </c>
      <c r="L333" t="s">
        <v>14</v>
      </c>
      <c r="M333" t="s">
        <v>15</v>
      </c>
      <c r="N333" t="s">
        <v>65</v>
      </c>
      <c r="O333" t="s">
        <v>19</v>
      </c>
      <c r="P333" t="s">
        <v>186</v>
      </c>
      <c r="Q333" t="s">
        <v>13</v>
      </c>
      <c r="R333" t="s">
        <v>16</v>
      </c>
      <c r="S333" t="s">
        <v>12</v>
      </c>
      <c r="U333" t="b">
        <f>L333=_R32Matchups[[#This Row],[1A vs]]</f>
        <v>1</v>
      </c>
      <c r="V333" t="b">
        <f>M333=_R32Matchups[[#This Row],[1B vs]]</f>
        <v>1</v>
      </c>
      <c r="W333" t="b">
        <f>N333=_R32Matchups[[#This Row],[1D vs]]</f>
        <v>1</v>
      </c>
      <c r="X333" t="b">
        <f>O333=_R32Matchups[[#This Row],[1E vs]]</f>
        <v>1</v>
      </c>
      <c r="Y333" t="b">
        <f>P333=_R32Matchups[[#This Row],[1G vs]]</f>
        <v>1</v>
      </c>
      <c r="Z333" t="b">
        <f>Q333=_R32Matchups[[#This Row],[1I vs]]</f>
        <v>1</v>
      </c>
      <c r="AA333" t="b">
        <f>R333=_R32Matchups[[#This Row],[1K vs]]</f>
        <v>1</v>
      </c>
      <c r="AB333" t="b">
        <f>S333=_R32Matchups[[#This Row],[1L vs]]</f>
        <v>1</v>
      </c>
    </row>
    <row r="334" spans="1:28" ht="14.4">
      <c r="A334" s="2" t="s">
        <v>353</v>
      </c>
      <c r="B334" s="2" t="s">
        <v>14</v>
      </c>
      <c r="C334" s="2" t="s">
        <v>15</v>
      </c>
      <c r="D334" s="2" t="s">
        <v>65</v>
      </c>
      <c r="E334" s="2" t="s">
        <v>19</v>
      </c>
      <c r="F334" s="2" t="s">
        <v>186</v>
      </c>
      <c r="G334" s="2" t="s">
        <v>13</v>
      </c>
      <c r="H334" s="2" t="s">
        <v>12</v>
      </c>
      <c r="I334" s="2" t="s">
        <v>17</v>
      </c>
      <c r="K334" t="s">
        <v>353</v>
      </c>
      <c r="L334" t="s">
        <v>14</v>
      </c>
      <c r="M334" t="s">
        <v>15</v>
      </c>
      <c r="N334" t="s">
        <v>65</v>
      </c>
      <c r="O334" t="s">
        <v>19</v>
      </c>
      <c r="P334" t="s">
        <v>186</v>
      </c>
      <c r="Q334" t="s">
        <v>13</v>
      </c>
      <c r="R334" t="s">
        <v>12</v>
      </c>
      <c r="S334" t="s">
        <v>17</v>
      </c>
      <c r="U334" t="b">
        <f>L334=_R32Matchups[[#This Row],[1A vs]]</f>
        <v>1</v>
      </c>
      <c r="V334" t="b">
        <f>M334=_R32Matchups[[#This Row],[1B vs]]</f>
        <v>1</v>
      </c>
      <c r="W334" t="b">
        <f>N334=_R32Matchups[[#This Row],[1D vs]]</f>
        <v>1</v>
      </c>
      <c r="X334" t="b">
        <f>O334=_R32Matchups[[#This Row],[1E vs]]</f>
        <v>1</v>
      </c>
      <c r="Y334" t="b">
        <f>P334=_R32Matchups[[#This Row],[1G vs]]</f>
        <v>1</v>
      </c>
      <c r="Z334" t="b">
        <f>Q334=_R32Matchups[[#This Row],[1I vs]]</f>
        <v>1</v>
      </c>
      <c r="AA334" t="b">
        <f>R334=_R32Matchups[[#This Row],[1K vs]]</f>
        <v>1</v>
      </c>
      <c r="AB334" t="b">
        <f>S334=_R32Matchups[[#This Row],[1L vs]]</f>
        <v>1</v>
      </c>
    </row>
    <row r="335" spans="1:28" ht="14.4">
      <c r="A335" s="2" t="s">
        <v>354</v>
      </c>
      <c r="B335" s="2" t="s">
        <v>14</v>
      </c>
      <c r="C335" s="2" t="s">
        <v>15</v>
      </c>
      <c r="D335" s="2" t="s">
        <v>65</v>
      </c>
      <c r="E335" s="2" t="s">
        <v>19</v>
      </c>
      <c r="F335" s="2" t="s">
        <v>186</v>
      </c>
      <c r="G335" s="2" t="s">
        <v>13</v>
      </c>
      <c r="H335" s="2" t="s">
        <v>12</v>
      </c>
      <c r="I335" s="2" t="s">
        <v>11</v>
      </c>
      <c r="K335" t="s">
        <v>354</v>
      </c>
      <c r="L335" t="s">
        <v>14</v>
      </c>
      <c r="M335" t="s">
        <v>15</v>
      </c>
      <c r="N335" t="s">
        <v>65</v>
      </c>
      <c r="O335" t="s">
        <v>19</v>
      </c>
      <c r="P335" t="s">
        <v>186</v>
      </c>
      <c r="Q335" t="s">
        <v>13</v>
      </c>
      <c r="R335" t="s">
        <v>12</v>
      </c>
      <c r="S335" t="s">
        <v>11</v>
      </c>
      <c r="U335" t="b">
        <f>L335=_R32Matchups[[#This Row],[1A vs]]</f>
        <v>1</v>
      </c>
      <c r="V335" t="b">
        <f>M335=_R32Matchups[[#This Row],[1B vs]]</f>
        <v>1</v>
      </c>
      <c r="W335" t="b">
        <f>N335=_R32Matchups[[#This Row],[1D vs]]</f>
        <v>1</v>
      </c>
      <c r="X335" t="b">
        <f>O335=_R32Matchups[[#This Row],[1E vs]]</f>
        <v>1</v>
      </c>
      <c r="Y335" t="b">
        <f>P335=_R32Matchups[[#This Row],[1G vs]]</f>
        <v>1</v>
      </c>
      <c r="Z335" t="b">
        <f>Q335=_R32Matchups[[#This Row],[1I vs]]</f>
        <v>1</v>
      </c>
      <c r="AA335" t="b">
        <f>R335=_R32Matchups[[#This Row],[1K vs]]</f>
        <v>1</v>
      </c>
      <c r="AB335" t="b">
        <f>S335=_R32Matchups[[#This Row],[1L vs]]</f>
        <v>1</v>
      </c>
    </row>
    <row r="336" spans="1:28" ht="14.4">
      <c r="A336" s="2" t="s">
        <v>355</v>
      </c>
      <c r="B336" s="2" t="s">
        <v>10</v>
      </c>
      <c r="C336" s="2" t="s">
        <v>11</v>
      </c>
      <c r="D336" s="2" t="s">
        <v>65</v>
      </c>
      <c r="E336" s="2" t="s">
        <v>186</v>
      </c>
      <c r="F336" s="2" t="s">
        <v>12</v>
      </c>
      <c r="G336" s="2" t="s">
        <v>19</v>
      </c>
      <c r="H336" s="2" t="s">
        <v>16</v>
      </c>
      <c r="I336" s="2" t="s">
        <v>17</v>
      </c>
      <c r="K336" t="s">
        <v>355</v>
      </c>
      <c r="L336" t="s">
        <v>10</v>
      </c>
      <c r="M336" t="s">
        <v>11</v>
      </c>
      <c r="N336" t="s">
        <v>65</v>
      </c>
      <c r="O336" t="s">
        <v>186</v>
      </c>
      <c r="P336" t="s">
        <v>12</v>
      </c>
      <c r="Q336" t="s">
        <v>19</v>
      </c>
      <c r="R336" t="s">
        <v>16</v>
      </c>
      <c r="S336" t="s">
        <v>17</v>
      </c>
      <c r="U336" t="b">
        <f>L336=_R32Matchups[[#This Row],[1A vs]]</f>
        <v>1</v>
      </c>
      <c r="V336" t="b">
        <f>M336=_R32Matchups[[#This Row],[1B vs]]</f>
        <v>1</v>
      </c>
      <c r="W336" t="b">
        <f>N336=_R32Matchups[[#This Row],[1D vs]]</f>
        <v>1</v>
      </c>
      <c r="X336" t="b">
        <f>O336=_R32Matchups[[#This Row],[1E vs]]</f>
        <v>1</v>
      </c>
      <c r="Y336" t="b">
        <f>P336=_R32Matchups[[#This Row],[1G vs]]</f>
        <v>1</v>
      </c>
      <c r="Z336" t="b">
        <f>Q336=_R32Matchups[[#This Row],[1I vs]]</f>
        <v>1</v>
      </c>
      <c r="AA336" t="b">
        <f>R336=_R32Matchups[[#This Row],[1K vs]]</f>
        <v>1</v>
      </c>
      <c r="AB336" t="b">
        <f>S336=_R32Matchups[[#This Row],[1L vs]]</f>
        <v>1</v>
      </c>
    </row>
    <row r="337" spans="1:28" ht="14.4">
      <c r="A337" s="2" t="s">
        <v>356</v>
      </c>
      <c r="B337" s="2" t="s">
        <v>10</v>
      </c>
      <c r="C337" s="2" t="s">
        <v>11</v>
      </c>
      <c r="D337" s="2" t="s">
        <v>65</v>
      </c>
      <c r="E337" s="2" t="s">
        <v>19</v>
      </c>
      <c r="F337" s="2" t="s">
        <v>186</v>
      </c>
      <c r="G337" s="2" t="s">
        <v>14</v>
      </c>
      <c r="H337" s="2" t="s">
        <v>16</v>
      </c>
      <c r="I337" s="2" t="s">
        <v>17</v>
      </c>
      <c r="K337" t="s">
        <v>356</v>
      </c>
      <c r="L337" t="s">
        <v>10</v>
      </c>
      <c r="M337" t="s">
        <v>11</v>
      </c>
      <c r="N337" t="s">
        <v>65</v>
      </c>
      <c r="O337" t="s">
        <v>19</v>
      </c>
      <c r="P337" t="s">
        <v>186</v>
      </c>
      <c r="Q337" t="s">
        <v>14</v>
      </c>
      <c r="R337" t="s">
        <v>16</v>
      </c>
      <c r="S337" t="s">
        <v>17</v>
      </c>
      <c r="U337" t="b">
        <f>L337=_R32Matchups[[#This Row],[1A vs]]</f>
        <v>1</v>
      </c>
      <c r="V337" t="b">
        <f>M337=_R32Matchups[[#This Row],[1B vs]]</f>
        <v>1</v>
      </c>
      <c r="W337" t="b">
        <f>N337=_R32Matchups[[#This Row],[1D vs]]</f>
        <v>1</v>
      </c>
      <c r="X337" t="b">
        <f>O337=_R32Matchups[[#This Row],[1E vs]]</f>
        <v>1</v>
      </c>
      <c r="Y337" t="b">
        <f>P337=_R32Matchups[[#This Row],[1G vs]]</f>
        <v>1</v>
      </c>
      <c r="Z337" t="b">
        <f>Q337=_R32Matchups[[#This Row],[1I vs]]</f>
        <v>1</v>
      </c>
      <c r="AA337" t="b">
        <f>R337=_R32Matchups[[#This Row],[1K vs]]</f>
        <v>1</v>
      </c>
      <c r="AB337" t="b">
        <f>S337=_R32Matchups[[#This Row],[1L vs]]</f>
        <v>1</v>
      </c>
    </row>
    <row r="338" spans="1:28" ht="14.4">
      <c r="A338" s="2" t="s">
        <v>357</v>
      </c>
      <c r="B338" s="2" t="s">
        <v>10</v>
      </c>
      <c r="C338" s="2" t="s">
        <v>12</v>
      </c>
      <c r="D338" s="2" t="s">
        <v>65</v>
      </c>
      <c r="E338" s="2" t="s">
        <v>19</v>
      </c>
      <c r="F338" s="2" t="s">
        <v>186</v>
      </c>
      <c r="G338" s="2" t="s">
        <v>14</v>
      </c>
      <c r="H338" s="2" t="s">
        <v>16</v>
      </c>
      <c r="I338" s="2" t="s">
        <v>17</v>
      </c>
      <c r="K338" t="s">
        <v>357</v>
      </c>
      <c r="L338" t="s">
        <v>10</v>
      </c>
      <c r="M338" t="s">
        <v>12</v>
      </c>
      <c r="N338" t="s">
        <v>65</v>
      </c>
      <c r="O338" t="s">
        <v>19</v>
      </c>
      <c r="P338" t="s">
        <v>186</v>
      </c>
      <c r="Q338" t="s">
        <v>14</v>
      </c>
      <c r="R338" t="s">
        <v>16</v>
      </c>
      <c r="S338" t="s">
        <v>17</v>
      </c>
      <c r="U338" t="b">
        <f>L338=_R32Matchups[[#This Row],[1A vs]]</f>
        <v>1</v>
      </c>
      <c r="V338" t="b">
        <f>M338=_R32Matchups[[#This Row],[1B vs]]</f>
        <v>1</v>
      </c>
      <c r="W338" t="b">
        <f>N338=_R32Matchups[[#This Row],[1D vs]]</f>
        <v>1</v>
      </c>
      <c r="X338" t="b">
        <f>O338=_R32Matchups[[#This Row],[1E vs]]</f>
        <v>1</v>
      </c>
      <c r="Y338" t="b">
        <f>P338=_R32Matchups[[#This Row],[1G vs]]</f>
        <v>1</v>
      </c>
      <c r="Z338" t="b">
        <f>Q338=_R32Matchups[[#This Row],[1I vs]]</f>
        <v>1</v>
      </c>
      <c r="AA338" t="b">
        <f>R338=_R32Matchups[[#This Row],[1K vs]]</f>
        <v>1</v>
      </c>
      <c r="AB338" t="b">
        <f>S338=_R32Matchups[[#This Row],[1L vs]]</f>
        <v>1</v>
      </c>
    </row>
    <row r="339" spans="1:28" ht="14.4">
      <c r="A339" s="2" t="s">
        <v>358</v>
      </c>
      <c r="B339" s="2" t="s">
        <v>10</v>
      </c>
      <c r="C339" s="2" t="s">
        <v>11</v>
      </c>
      <c r="D339" s="2" t="s">
        <v>65</v>
      </c>
      <c r="E339" s="2" t="s">
        <v>19</v>
      </c>
      <c r="F339" s="2" t="s">
        <v>186</v>
      </c>
      <c r="G339" s="2" t="s">
        <v>14</v>
      </c>
      <c r="H339" s="2" t="s">
        <v>16</v>
      </c>
      <c r="I339" s="2" t="s">
        <v>12</v>
      </c>
      <c r="K339" t="s">
        <v>358</v>
      </c>
      <c r="L339" t="s">
        <v>10</v>
      </c>
      <c r="M339" t="s">
        <v>11</v>
      </c>
      <c r="N339" t="s">
        <v>65</v>
      </c>
      <c r="O339" t="s">
        <v>19</v>
      </c>
      <c r="P339" t="s">
        <v>186</v>
      </c>
      <c r="Q339" t="s">
        <v>14</v>
      </c>
      <c r="R339" t="s">
        <v>16</v>
      </c>
      <c r="S339" t="s">
        <v>12</v>
      </c>
      <c r="U339" t="b">
        <f>L339=_R32Matchups[[#This Row],[1A vs]]</f>
        <v>1</v>
      </c>
      <c r="V339" t="b">
        <f>M339=_R32Matchups[[#This Row],[1B vs]]</f>
        <v>1</v>
      </c>
      <c r="W339" t="b">
        <f>N339=_R32Matchups[[#This Row],[1D vs]]</f>
        <v>1</v>
      </c>
      <c r="X339" t="b">
        <f>O339=_R32Matchups[[#This Row],[1E vs]]</f>
        <v>1</v>
      </c>
      <c r="Y339" t="b">
        <f>P339=_R32Matchups[[#This Row],[1G vs]]</f>
        <v>1</v>
      </c>
      <c r="Z339" t="b">
        <f>Q339=_R32Matchups[[#This Row],[1I vs]]</f>
        <v>1</v>
      </c>
      <c r="AA339" t="b">
        <f>R339=_R32Matchups[[#This Row],[1K vs]]</f>
        <v>1</v>
      </c>
      <c r="AB339" t="b">
        <f>S339=_R32Matchups[[#This Row],[1L vs]]</f>
        <v>1</v>
      </c>
    </row>
    <row r="340" spans="1:28" ht="14.4">
      <c r="A340" s="2" t="s">
        <v>359</v>
      </c>
      <c r="B340" s="2" t="s">
        <v>10</v>
      </c>
      <c r="C340" s="2" t="s">
        <v>11</v>
      </c>
      <c r="D340" s="2" t="s">
        <v>65</v>
      </c>
      <c r="E340" s="2" t="s">
        <v>19</v>
      </c>
      <c r="F340" s="2" t="s">
        <v>186</v>
      </c>
      <c r="G340" s="2" t="s">
        <v>14</v>
      </c>
      <c r="H340" s="2" t="s">
        <v>12</v>
      </c>
      <c r="I340" s="2" t="s">
        <v>17</v>
      </c>
      <c r="K340" t="s">
        <v>359</v>
      </c>
      <c r="L340" t="s">
        <v>10</v>
      </c>
      <c r="M340" t="s">
        <v>11</v>
      </c>
      <c r="N340" t="s">
        <v>65</v>
      </c>
      <c r="O340" t="s">
        <v>19</v>
      </c>
      <c r="P340" t="s">
        <v>186</v>
      </c>
      <c r="Q340" t="s">
        <v>14</v>
      </c>
      <c r="R340" t="s">
        <v>12</v>
      </c>
      <c r="S340" t="s">
        <v>17</v>
      </c>
      <c r="U340" t="b">
        <f>L340=_R32Matchups[[#This Row],[1A vs]]</f>
        <v>1</v>
      </c>
      <c r="V340" t="b">
        <f>M340=_R32Matchups[[#This Row],[1B vs]]</f>
        <v>1</v>
      </c>
      <c r="W340" t="b">
        <f>N340=_R32Matchups[[#This Row],[1D vs]]</f>
        <v>1</v>
      </c>
      <c r="X340" t="b">
        <f>O340=_R32Matchups[[#This Row],[1E vs]]</f>
        <v>1</v>
      </c>
      <c r="Y340" t="b">
        <f>P340=_R32Matchups[[#This Row],[1G vs]]</f>
        <v>1</v>
      </c>
      <c r="Z340" t="b">
        <f>Q340=_R32Matchups[[#This Row],[1I vs]]</f>
        <v>1</v>
      </c>
      <c r="AA340" t="b">
        <f>R340=_R32Matchups[[#This Row],[1K vs]]</f>
        <v>1</v>
      </c>
      <c r="AB340" t="b">
        <f>S340=_R32Matchups[[#This Row],[1L vs]]</f>
        <v>1</v>
      </c>
    </row>
    <row r="341" spans="1:28" ht="14.4">
      <c r="A341" s="2" t="s">
        <v>360</v>
      </c>
      <c r="B341" s="2" t="s">
        <v>10</v>
      </c>
      <c r="C341" s="2" t="s">
        <v>11</v>
      </c>
      <c r="D341" s="2" t="s">
        <v>65</v>
      </c>
      <c r="E341" s="2" t="s">
        <v>19</v>
      </c>
      <c r="F341" s="2" t="s">
        <v>186</v>
      </c>
      <c r="G341" s="2" t="s">
        <v>15</v>
      </c>
      <c r="H341" s="2" t="s">
        <v>16</v>
      </c>
      <c r="I341" s="2" t="s">
        <v>17</v>
      </c>
      <c r="K341" t="s">
        <v>360</v>
      </c>
      <c r="L341" t="s">
        <v>10</v>
      </c>
      <c r="M341" t="s">
        <v>11</v>
      </c>
      <c r="N341" t="s">
        <v>65</v>
      </c>
      <c r="O341" t="s">
        <v>19</v>
      </c>
      <c r="P341" t="s">
        <v>186</v>
      </c>
      <c r="Q341" t="s">
        <v>15</v>
      </c>
      <c r="R341" t="s">
        <v>16</v>
      </c>
      <c r="S341" t="s">
        <v>17</v>
      </c>
      <c r="U341" t="b">
        <f>L341=_R32Matchups[[#This Row],[1A vs]]</f>
        <v>1</v>
      </c>
      <c r="V341" t="b">
        <f>M341=_R32Matchups[[#This Row],[1B vs]]</f>
        <v>1</v>
      </c>
      <c r="W341" t="b">
        <f>N341=_R32Matchups[[#This Row],[1D vs]]</f>
        <v>1</v>
      </c>
      <c r="X341" t="b">
        <f>O341=_R32Matchups[[#This Row],[1E vs]]</f>
        <v>1</v>
      </c>
      <c r="Y341" t="b">
        <f>P341=_R32Matchups[[#This Row],[1G vs]]</f>
        <v>1</v>
      </c>
      <c r="Z341" t="b">
        <f>Q341=_R32Matchups[[#This Row],[1I vs]]</f>
        <v>1</v>
      </c>
      <c r="AA341" t="b">
        <f>R341=_R32Matchups[[#This Row],[1K vs]]</f>
        <v>1</v>
      </c>
      <c r="AB341" t="b">
        <f>S341=_R32Matchups[[#This Row],[1L vs]]</f>
        <v>1</v>
      </c>
    </row>
    <row r="342" spans="1:28" ht="14.4">
      <c r="A342" s="2" t="s">
        <v>361</v>
      </c>
      <c r="B342" s="2" t="s">
        <v>10</v>
      </c>
      <c r="C342" s="2" t="s">
        <v>15</v>
      </c>
      <c r="D342" s="2" t="s">
        <v>65</v>
      </c>
      <c r="E342" s="2" t="s">
        <v>186</v>
      </c>
      <c r="F342" s="2" t="s">
        <v>12</v>
      </c>
      <c r="G342" s="2" t="s">
        <v>19</v>
      </c>
      <c r="H342" s="2" t="s">
        <v>16</v>
      </c>
      <c r="I342" s="2" t="s">
        <v>17</v>
      </c>
      <c r="K342" t="s">
        <v>361</v>
      </c>
      <c r="L342" t="s">
        <v>10</v>
      </c>
      <c r="M342" t="s">
        <v>15</v>
      </c>
      <c r="N342" t="s">
        <v>65</v>
      </c>
      <c r="O342" t="s">
        <v>186</v>
      </c>
      <c r="P342" t="s">
        <v>12</v>
      </c>
      <c r="Q342" t="s">
        <v>19</v>
      </c>
      <c r="R342" t="s">
        <v>16</v>
      </c>
      <c r="S342" t="s">
        <v>17</v>
      </c>
      <c r="U342" t="b">
        <f>L342=_R32Matchups[[#This Row],[1A vs]]</f>
        <v>1</v>
      </c>
      <c r="V342" t="b">
        <f>M342=_R32Matchups[[#This Row],[1B vs]]</f>
        <v>1</v>
      </c>
      <c r="W342" t="b">
        <f>N342=_R32Matchups[[#This Row],[1D vs]]</f>
        <v>1</v>
      </c>
      <c r="X342" t="b">
        <f>O342=_R32Matchups[[#This Row],[1E vs]]</f>
        <v>1</v>
      </c>
      <c r="Y342" t="b">
        <f>P342=_R32Matchups[[#This Row],[1G vs]]</f>
        <v>1</v>
      </c>
      <c r="Z342" t="b">
        <f>Q342=_R32Matchups[[#This Row],[1I vs]]</f>
        <v>1</v>
      </c>
      <c r="AA342" t="b">
        <f>R342=_R32Matchups[[#This Row],[1K vs]]</f>
        <v>1</v>
      </c>
      <c r="AB342" t="b">
        <f>S342=_R32Matchups[[#This Row],[1L vs]]</f>
        <v>1</v>
      </c>
    </row>
    <row r="343" spans="1:28" ht="14.4">
      <c r="A343" s="2" t="s">
        <v>362</v>
      </c>
      <c r="B343" s="2" t="s">
        <v>10</v>
      </c>
      <c r="C343" s="2" t="s">
        <v>11</v>
      </c>
      <c r="D343" s="2" t="s">
        <v>65</v>
      </c>
      <c r="E343" s="2" t="s">
        <v>19</v>
      </c>
      <c r="F343" s="2" t="s">
        <v>186</v>
      </c>
      <c r="G343" s="2" t="s">
        <v>15</v>
      </c>
      <c r="H343" s="2" t="s">
        <v>16</v>
      </c>
      <c r="I343" s="2" t="s">
        <v>12</v>
      </c>
      <c r="K343" t="s">
        <v>362</v>
      </c>
      <c r="L343" t="s">
        <v>10</v>
      </c>
      <c r="M343" t="s">
        <v>11</v>
      </c>
      <c r="N343" t="s">
        <v>65</v>
      </c>
      <c r="O343" t="s">
        <v>19</v>
      </c>
      <c r="P343" t="s">
        <v>186</v>
      </c>
      <c r="Q343" t="s">
        <v>15</v>
      </c>
      <c r="R343" t="s">
        <v>16</v>
      </c>
      <c r="S343" t="s">
        <v>12</v>
      </c>
      <c r="U343" t="b">
        <f>L343=_R32Matchups[[#This Row],[1A vs]]</f>
        <v>1</v>
      </c>
      <c r="V343" t="b">
        <f>M343=_R32Matchups[[#This Row],[1B vs]]</f>
        <v>1</v>
      </c>
      <c r="W343" t="b">
        <f>N343=_R32Matchups[[#This Row],[1D vs]]</f>
        <v>1</v>
      </c>
      <c r="X343" t="b">
        <f>O343=_R32Matchups[[#This Row],[1E vs]]</f>
        <v>1</v>
      </c>
      <c r="Y343" t="b">
        <f>P343=_R32Matchups[[#This Row],[1G vs]]</f>
        <v>1</v>
      </c>
      <c r="Z343" t="b">
        <f>Q343=_R32Matchups[[#This Row],[1I vs]]</f>
        <v>1</v>
      </c>
      <c r="AA343" t="b">
        <f>R343=_R32Matchups[[#This Row],[1K vs]]</f>
        <v>1</v>
      </c>
      <c r="AB343" t="b">
        <f>S343=_R32Matchups[[#This Row],[1L vs]]</f>
        <v>1</v>
      </c>
    </row>
    <row r="344" spans="1:28" ht="14.4">
      <c r="A344" s="2" t="s">
        <v>363</v>
      </c>
      <c r="B344" s="2" t="s">
        <v>10</v>
      </c>
      <c r="C344" s="2" t="s">
        <v>11</v>
      </c>
      <c r="D344" s="2" t="s">
        <v>65</v>
      </c>
      <c r="E344" s="2" t="s">
        <v>19</v>
      </c>
      <c r="F344" s="2" t="s">
        <v>186</v>
      </c>
      <c r="G344" s="2" t="s">
        <v>15</v>
      </c>
      <c r="H344" s="2" t="s">
        <v>12</v>
      </c>
      <c r="I344" s="2" t="s">
        <v>17</v>
      </c>
      <c r="K344" t="s">
        <v>363</v>
      </c>
      <c r="L344" t="s">
        <v>10</v>
      </c>
      <c r="M344" t="s">
        <v>11</v>
      </c>
      <c r="N344" t="s">
        <v>65</v>
      </c>
      <c r="O344" t="s">
        <v>19</v>
      </c>
      <c r="P344" t="s">
        <v>186</v>
      </c>
      <c r="Q344" t="s">
        <v>15</v>
      </c>
      <c r="R344" t="s">
        <v>12</v>
      </c>
      <c r="S344" t="s">
        <v>17</v>
      </c>
      <c r="U344" t="b">
        <f>L344=_R32Matchups[[#This Row],[1A vs]]</f>
        <v>1</v>
      </c>
      <c r="V344" t="b">
        <f>M344=_R32Matchups[[#This Row],[1B vs]]</f>
        <v>1</v>
      </c>
      <c r="W344" t="b">
        <f>N344=_R32Matchups[[#This Row],[1D vs]]</f>
        <v>1</v>
      </c>
      <c r="X344" t="b">
        <f>O344=_R32Matchups[[#This Row],[1E vs]]</f>
        <v>1</v>
      </c>
      <c r="Y344" t="b">
        <f>P344=_R32Matchups[[#This Row],[1G vs]]</f>
        <v>1</v>
      </c>
      <c r="Z344" t="b">
        <f>Q344=_R32Matchups[[#This Row],[1I vs]]</f>
        <v>1</v>
      </c>
      <c r="AA344" t="b">
        <f>R344=_R32Matchups[[#This Row],[1K vs]]</f>
        <v>1</v>
      </c>
      <c r="AB344" t="b">
        <f>S344=_R32Matchups[[#This Row],[1L vs]]</f>
        <v>1</v>
      </c>
    </row>
    <row r="345" spans="1:28" ht="14.4">
      <c r="A345" s="2" t="s">
        <v>364</v>
      </c>
      <c r="B345" s="2" t="s">
        <v>10</v>
      </c>
      <c r="C345" s="2" t="s">
        <v>15</v>
      </c>
      <c r="D345" s="2" t="s">
        <v>65</v>
      </c>
      <c r="E345" s="2" t="s">
        <v>19</v>
      </c>
      <c r="F345" s="2" t="s">
        <v>186</v>
      </c>
      <c r="G345" s="2" t="s">
        <v>14</v>
      </c>
      <c r="H345" s="2" t="s">
        <v>16</v>
      </c>
      <c r="I345" s="2" t="s">
        <v>17</v>
      </c>
      <c r="K345" t="s">
        <v>364</v>
      </c>
      <c r="L345" t="s">
        <v>10</v>
      </c>
      <c r="M345" t="s">
        <v>15</v>
      </c>
      <c r="N345" t="s">
        <v>65</v>
      </c>
      <c r="O345" t="s">
        <v>19</v>
      </c>
      <c r="P345" t="s">
        <v>186</v>
      </c>
      <c r="Q345" t="s">
        <v>14</v>
      </c>
      <c r="R345" t="s">
        <v>16</v>
      </c>
      <c r="S345" t="s">
        <v>17</v>
      </c>
      <c r="U345" t="b">
        <f>L345=_R32Matchups[[#This Row],[1A vs]]</f>
        <v>1</v>
      </c>
      <c r="V345" t="b">
        <f>M345=_R32Matchups[[#This Row],[1B vs]]</f>
        <v>1</v>
      </c>
      <c r="W345" t="b">
        <f>N345=_R32Matchups[[#This Row],[1D vs]]</f>
        <v>1</v>
      </c>
      <c r="X345" t="b">
        <f>O345=_R32Matchups[[#This Row],[1E vs]]</f>
        <v>1</v>
      </c>
      <c r="Y345" t="b">
        <f>P345=_R32Matchups[[#This Row],[1G vs]]</f>
        <v>1</v>
      </c>
      <c r="Z345" t="b">
        <f>Q345=_R32Matchups[[#This Row],[1I vs]]</f>
        <v>1</v>
      </c>
      <c r="AA345" t="b">
        <f>R345=_R32Matchups[[#This Row],[1K vs]]</f>
        <v>1</v>
      </c>
      <c r="AB345" t="b">
        <f>S345=_R32Matchups[[#This Row],[1L vs]]</f>
        <v>1</v>
      </c>
    </row>
    <row r="346" spans="1:28" ht="14.4">
      <c r="A346" s="2" t="s">
        <v>365</v>
      </c>
      <c r="B346" s="2" t="s">
        <v>14</v>
      </c>
      <c r="C346" s="2" t="s">
        <v>11</v>
      </c>
      <c r="D346" s="2" t="s">
        <v>65</v>
      </c>
      <c r="E346" s="2" t="s">
        <v>19</v>
      </c>
      <c r="F346" s="2" t="s">
        <v>186</v>
      </c>
      <c r="G346" s="2" t="s">
        <v>15</v>
      </c>
      <c r="H346" s="2" t="s">
        <v>16</v>
      </c>
      <c r="I346" s="2" t="s">
        <v>10</v>
      </c>
      <c r="K346" t="s">
        <v>365</v>
      </c>
      <c r="L346" t="s">
        <v>14</v>
      </c>
      <c r="M346" t="s">
        <v>11</v>
      </c>
      <c r="N346" t="s">
        <v>65</v>
      </c>
      <c r="O346" t="s">
        <v>19</v>
      </c>
      <c r="P346" t="s">
        <v>186</v>
      </c>
      <c r="Q346" t="s">
        <v>15</v>
      </c>
      <c r="R346" t="s">
        <v>16</v>
      </c>
      <c r="S346" t="s">
        <v>10</v>
      </c>
      <c r="U346" t="b">
        <f>L346=_R32Matchups[[#This Row],[1A vs]]</f>
        <v>1</v>
      </c>
      <c r="V346" t="b">
        <f>M346=_R32Matchups[[#This Row],[1B vs]]</f>
        <v>1</v>
      </c>
      <c r="W346" t="b">
        <f>N346=_R32Matchups[[#This Row],[1D vs]]</f>
        <v>1</v>
      </c>
      <c r="X346" t="b">
        <f>O346=_R32Matchups[[#This Row],[1E vs]]</f>
        <v>1</v>
      </c>
      <c r="Y346" t="b">
        <f>P346=_R32Matchups[[#This Row],[1G vs]]</f>
        <v>1</v>
      </c>
      <c r="Z346" t="b">
        <f>Q346=_R32Matchups[[#This Row],[1I vs]]</f>
        <v>1</v>
      </c>
      <c r="AA346" t="b">
        <f>R346=_R32Matchups[[#This Row],[1K vs]]</f>
        <v>1</v>
      </c>
      <c r="AB346" t="b">
        <f>S346=_R32Matchups[[#This Row],[1L vs]]</f>
        <v>1</v>
      </c>
    </row>
    <row r="347" spans="1:28" ht="14.4">
      <c r="A347" s="2" t="s">
        <v>366</v>
      </c>
      <c r="B347" s="2" t="s">
        <v>14</v>
      </c>
      <c r="C347" s="2" t="s">
        <v>11</v>
      </c>
      <c r="D347" s="2" t="s">
        <v>65</v>
      </c>
      <c r="E347" s="2" t="s">
        <v>19</v>
      </c>
      <c r="F347" s="2" t="s">
        <v>186</v>
      </c>
      <c r="G347" s="2" t="s">
        <v>15</v>
      </c>
      <c r="H347" s="2" t="s">
        <v>10</v>
      </c>
      <c r="I347" s="2" t="s">
        <v>17</v>
      </c>
      <c r="K347" t="s">
        <v>366</v>
      </c>
      <c r="L347" t="s">
        <v>14</v>
      </c>
      <c r="M347" t="s">
        <v>11</v>
      </c>
      <c r="N347" t="s">
        <v>65</v>
      </c>
      <c r="O347" t="s">
        <v>19</v>
      </c>
      <c r="P347" t="s">
        <v>186</v>
      </c>
      <c r="Q347" t="s">
        <v>15</v>
      </c>
      <c r="R347" t="s">
        <v>10</v>
      </c>
      <c r="S347" t="s">
        <v>17</v>
      </c>
      <c r="U347" t="b">
        <f>L347=_R32Matchups[[#This Row],[1A vs]]</f>
        <v>1</v>
      </c>
      <c r="V347" t="b">
        <f>M347=_R32Matchups[[#This Row],[1B vs]]</f>
        <v>1</v>
      </c>
      <c r="W347" t="b">
        <f>N347=_R32Matchups[[#This Row],[1D vs]]</f>
        <v>1</v>
      </c>
      <c r="X347" t="b">
        <f>O347=_R32Matchups[[#This Row],[1E vs]]</f>
        <v>1</v>
      </c>
      <c r="Y347" t="b">
        <f>P347=_R32Matchups[[#This Row],[1G vs]]</f>
        <v>1</v>
      </c>
      <c r="Z347" t="b">
        <f>Q347=_R32Matchups[[#This Row],[1I vs]]</f>
        <v>1</v>
      </c>
      <c r="AA347" t="b">
        <f>R347=_R32Matchups[[#This Row],[1K vs]]</f>
        <v>1</v>
      </c>
      <c r="AB347" t="b">
        <f>S347=_R32Matchups[[#This Row],[1L vs]]</f>
        <v>1</v>
      </c>
    </row>
    <row r="348" spans="1:28" ht="14.4">
      <c r="A348" s="2" t="s">
        <v>367</v>
      </c>
      <c r="B348" s="2" t="s">
        <v>10</v>
      </c>
      <c r="C348" s="2" t="s">
        <v>15</v>
      </c>
      <c r="D348" s="2" t="s">
        <v>65</v>
      </c>
      <c r="E348" s="2" t="s">
        <v>19</v>
      </c>
      <c r="F348" s="2" t="s">
        <v>186</v>
      </c>
      <c r="G348" s="2" t="s">
        <v>14</v>
      </c>
      <c r="H348" s="2" t="s">
        <v>16</v>
      </c>
      <c r="I348" s="2" t="s">
        <v>12</v>
      </c>
      <c r="K348" t="s">
        <v>367</v>
      </c>
      <c r="L348" t="s">
        <v>10</v>
      </c>
      <c r="M348" t="s">
        <v>15</v>
      </c>
      <c r="N348" t="s">
        <v>65</v>
      </c>
      <c r="O348" t="s">
        <v>19</v>
      </c>
      <c r="P348" t="s">
        <v>186</v>
      </c>
      <c r="Q348" t="s">
        <v>14</v>
      </c>
      <c r="R348" t="s">
        <v>16</v>
      </c>
      <c r="S348" t="s">
        <v>12</v>
      </c>
      <c r="U348" t="b">
        <f>L348=_R32Matchups[[#This Row],[1A vs]]</f>
        <v>1</v>
      </c>
      <c r="V348" t="b">
        <f>M348=_R32Matchups[[#This Row],[1B vs]]</f>
        <v>1</v>
      </c>
      <c r="W348" t="b">
        <f>N348=_R32Matchups[[#This Row],[1D vs]]</f>
        <v>1</v>
      </c>
      <c r="X348" t="b">
        <f>O348=_R32Matchups[[#This Row],[1E vs]]</f>
        <v>1</v>
      </c>
      <c r="Y348" t="b">
        <f>P348=_R32Matchups[[#This Row],[1G vs]]</f>
        <v>1</v>
      </c>
      <c r="Z348" t="b">
        <f>Q348=_R32Matchups[[#This Row],[1I vs]]</f>
        <v>1</v>
      </c>
      <c r="AA348" t="b">
        <f>R348=_R32Matchups[[#This Row],[1K vs]]</f>
        <v>1</v>
      </c>
      <c r="AB348" t="b">
        <f>S348=_R32Matchups[[#This Row],[1L vs]]</f>
        <v>1</v>
      </c>
    </row>
    <row r="349" spans="1:28" ht="14.4">
      <c r="A349" s="2" t="s">
        <v>368</v>
      </c>
      <c r="B349" s="2" t="s">
        <v>10</v>
      </c>
      <c r="C349" s="2" t="s">
        <v>15</v>
      </c>
      <c r="D349" s="2" t="s">
        <v>65</v>
      </c>
      <c r="E349" s="2" t="s">
        <v>19</v>
      </c>
      <c r="F349" s="2" t="s">
        <v>186</v>
      </c>
      <c r="G349" s="2" t="s">
        <v>14</v>
      </c>
      <c r="H349" s="2" t="s">
        <v>12</v>
      </c>
      <c r="I349" s="2" t="s">
        <v>17</v>
      </c>
      <c r="K349" t="s">
        <v>368</v>
      </c>
      <c r="L349" t="s">
        <v>10</v>
      </c>
      <c r="M349" t="s">
        <v>15</v>
      </c>
      <c r="N349" t="s">
        <v>65</v>
      </c>
      <c r="O349" t="s">
        <v>19</v>
      </c>
      <c r="P349" t="s">
        <v>186</v>
      </c>
      <c r="Q349" t="s">
        <v>14</v>
      </c>
      <c r="R349" t="s">
        <v>12</v>
      </c>
      <c r="S349" t="s">
        <v>17</v>
      </c>
      <c r="U349" t="b">
        <f>L349=_R32Matchups[[#This Row],[1A vs]]</f>
        <v>1</v>
      </c>
      <c r="V349" t="b">
        <f>M349=_R32Matchups[[#This Row],[1B vs]]</f>
        <v>1</v>
      </c>
      <c r="W349" t="b">
        <f>N349=_R32Matchups[[#This Row],[1D vs]]</f>
        <v>1</v>
      </c>
      <c r="X349" t="b">
        <f>O349=_R32Matchups[[#This Row],[1E vs]]</f>
        <v>1</v>
      </c>
      <c r="Y349" t="b">
        <f>P349=_R32Matchups[[#This Row],[1G vs]]</f>
        <v>1</v>
      </c>
      <c r="Z349" t="b">
        <f>Q349=_R32Matchups[[#This Row],[1I vs]]</f>
        <v>1</v>
      </c>
      <c r="AA349" t="b">
        <f>R349=_R32Matchups[[#This Row],[1K vs]]</f>
        <v>1</v>
      </c>
      <c r="AB349" t="b">
        <f>S349=_R32Matchups[[#This Row],[1L vs]]</f>
        <v>1</v>
      </c>
    </row>
    <row r="350" spans="1:28" ht="14.4">
      <c r="A350" s="2" t="s">
        <v>369</v>
      </c>
      <c r="B350" s="2" t="s">
        <v>14</v>
      </c>
      <c r="C350" s="2" t="s">
        <v>11</v>
      </c>
      <c r="D350" s="2" t="s">
        <v>65</v>
      </c>
      <c r="E350" s="2" t="s">
        <v>19</v>
      </c>
      <c r="F350" s="2" t="s">
        <v>186</v>
      </c>
      <c r="G350" s="2" t="s">
        <v>15</v>
      </c>
      <c r="H350" s="2" t="s">
        <v>10</v>
      </c>
      <c r="I350" s="2" t="s">
        <v>12</v>
      </c>
      <c r="K350" t="s">
        <v>369</v>
      </c>
      <c r="L350" t="s">
        <v>14</v>
      </c>
      <c r="M350" t="s">
        <v>11</v>
      </c>
      <c r="N350" t="s">
        <v>65</v>
      </c>
      <c r="O350" t="s">
        <v>19</v>
      </c>
      <c r="P350" t="s">
        <v>186</v>
      </c>
      <c r="Q350" t="s">
        <v>15</v>
      </c>
      <c r="R350" t="s">
        <v>10</v>
      </c>
      <c r="S350" t="s">
        <v>12</v>
      </c>
      <c r="U350" t="b">
        <f>L350=_R32Matchups[[#This Row],[1A vs]]</f>
        <v>1</v>
      </c>
      <c r="V350" t="b">
        <f>M350=_R32Matchups[[#This Row],[1B vs]]</f>
        <v>1</v>
      </c>
      <c r="W350" t="b">
        <f>N350=_R32Matchups[[#This Row],[1D vs]]</f>
        <v>1</v>
      </c>
      <c r="X350" t="b">
        <f>O350=_R32Matchups[[#This Row],[1E vs]]</f>
        <v>1</v>
      </c>
      <c r="Y350" t="b">
        <f>P350=_R32Matchups[[#This Row],[1G vs]]</f>
        <v>1</v>
      </c>
      <c r="Z350" t="b">
        <f>Q350=_R32Matchups[[#This Row],[1I vs]]</f>
        <v>1</v>
      </c>
      <c r="AA350" t="b">
        <f>R350=_R32Matchups[[#This Row],[1K vs]]</f>
        <v>1</v>
      </c>
      <c r="AB350" t="b">
        <f>S350=_R32Matchups[[#This Row],[1L vs]]</f>
        <v>1</v>
      </c>
    </row>
    <row r="351" spans="1:28" ht="14.4">
      <c r="A351" s="2" t="s">
        <v>370</v>
      </c>
      <c r="B351" s="2" t="s">
        <v>10</v>
      </c>
      <c r="C351" s="2" t="s">
        <v>11</v>
      </c>
      <c r="D351" s="2" t="s">
        <v>65</v>
      </c>
      <c r="E351" s="2" t="s">
        <v>19</v>
      </c>
      <c r="F351" s="2" t="s">
        <v>186</v>
      </c>
      <c r="G351" s="2" t="s">
        <v>13</v>
      </c>
      <c r="H351" s="2" t="s">
        <v>16</v>
      </c>
      <c r="I351" s="2" t="s">
        <v>17</v>
      </c>
      <c r="K351" t="s">
        <v>370</v>
      </c>
      <c r="L351" t="s">
        <v>10</v>
      </c>
      <c r="M351" t="s">
        <v>11</v>
      </c>
      <c r="N351" t="s">
        <v>65</v>
      </c>
      <c r="O351" t="s">
        <v>19</v>
      </c>
      <c r="P351" t="s">
        <v>186</v>
      </c>
      <c r="Q351" t="s">
        <v>13</v>
      </c>
      <c r="R351" t="s">
        <v>16</v>
      </c>
      <c r="S351" t="s">
        <v>17</v>
      </c>
      <c r="U351" t="b">
        <f>L351=_R32Matchups[[#This Row],[1A vs]]</f>
        <v>1</v>
      </c>
      <c r="V351" t="b">
        <f>M351=_R32Matchups[[#This Row],[1B vs]]</f>
        <v>1</v>
      </c>
      <c r="W351" t="b">
        <f>N351=_R32Matchups[[#This Row],[1D vs]]</f>
        <v>1</v>
      </c>
      <c r="X351" t="b">
        <f>O351=_R32Matchups[[#This Row],[1E vs]]</f>
        <v>1</v>
      </c>
      <c r="Y351" t="b">
        <f>P351=_R32Matchups[[#This Row],[1G vs]]</f>
        <v>1</v>
      </c>
      <c r="Z351" t="b">
        <f>Q351=_R32Matchups[[#This Row],[1I vs]]</f>
        <v>1</v>
      </c>
      <c r="AA351" t="b">
        <f>R351=_R32Matchups[[#This Row],[1K vs]]</f>
        <v>1</v>
      </c>
      <c r="AB351" t="b">
        <f>S351=_R32Matchups[[#This Row],[1L vs]]</f>
        <v>1</v>
      </c>
    </row>
    <row r="352" spans="1:28" ht="14.4">
      <c r="A352" s="2" t="s">
        <v>371</v>
      </c>
      <c r="B352" s="2" t="s">
        <v>10</v>
      </c>
      <c r="C352" s="2" t="s">
        <v>12</v>
      </c>
      <c r="D352" s="2" t="s">
        <v>65</v>
      </c>
      <c r="E352" s="2" t="s">
        <v>19</v>
      </c>
      <c r="F352" s="2" t="s">
        <v>186</v>
      </c>
      <c r="G352" s="2" t="s">
        <v>13</v>
      </c>
      <c r="H352" s="2" t="s">
        <v>16</v>
      </c>
      <c r="I352" s="2" t="s">
        <v>17</v>
      </c>
      <c r="K352" t="s">
        <v>371</v>
      </c>
      <c r="L352" t="s">
        <v>10</v>
      </c>
      <c r="M352" t="s">
        <v>12</v>
      </c>
      <c r="N352" t="s">
        <v>65</v>
      </c>
      <c r="O352" t="s">
        <v>19</v>
      </c>
      <c r="P352" t="s">
        <v>186</v>
      </c>
      <c r="Q352" t="s">
        <v>13</v>
      </c>
      <c r="R352" t="s">
        <v>16</v>
      </c>
      <c r="S352" t="s">
        <v>17</v>
      </c>
      <c r="U352" t="b">
        <f>L352=_R32Matchups[[#This Row],[1A vs]]</f>
        <v>1</v>
      </c>
      <c r="V352" t="b">
        <f>M352=_R32Matchups[[#This Row],[1B vs]]</f>
        <v>1</v>
      </c>
      <c r="W352" t="b">
        <f>N352=_R32Matchups[[#This Row],[1D vs]]</f>
        <v>1</v>
      </c>
      <c r="X352" t="b">
        <f>O352=_R32Matchups[[#This Row],[1E vs]]</f>
        <v>1</v>
      </c>
      <c r="Y352" t="b">
        <f>P352=_R32Matchups[[#This Row],[1G vs]]</f>
        <v>1</v>
      </c>
      <c r="Z352" t="b">
        <f>Q352=_R32Matchups[[#This Row],[1I vs]]</f>
        <v>1</v>
      </c>
      <c r="AA352" t="b">
        <f>R352=_R32Matchups[[#This Row],[1K vs]]</f>
        <v>1</v>
      </c>
      <c r="AB352" t="b">
        <f>S352=_R32Matchups[[#This Row],[1L vs]]</f>
        <v>1</v>
      </c>
    </row>
    <row r="353" spans="1:28" ht="14.4">
      <c r="A353" s="2" t="s">
        <v>372</v>
      </c>
      <c r="B353" s="2" t="s">
        <v>10</v>
      </c>
      <c r="C353" s="2" t="s">
        <v>11</v>
      </c>
      <c r="D353" s="2" t="s">
        <v>65</v>
      </c>
      <c r="E353" s="2" t="s">
        <v>19</v>
      </c>
      <c r="F353" s="2" t="s">
        <v>186</v>
      </c>
      <c r="G353" s="2" t="s">
        <v>13</v>
      </c>
      <c r="H353" s="2" t="s">
        <v>16</v>
      </c>
      <c r="I353" s="2" t="s">
        <v>12</v>
      </c>
      <c r="K353" t="s">
        <v>372</v>
      </c>
      <c r="L353" t="s">
        <v>10</v>
      </c>
      <c r="M353" t="s">
        <v>11</v>
      </c>
      <c r="N353" t="s">
        <v>65</v>
      </c>
      <c r="O353" t="s">
        <v>19</v>
      </c>
      <c r="P353" t="s">
        <v>186</v>
      </c>
      <c r="Q353" t="s">
        <v>13</v>
      </c>
      <c r="R353" t="s">
        <v>16</v>
      </c>
      <c r="S353" t="s">
        <v>12</v>
      </c>
      <c r="U353" t="b">
        <f>L353=_R32Matchups[[#This Row],[1A vs]]</f>
        <v>1</v>
      </c>
      <c r="V353" t="b">
        <f>M353=_R32Matchups[[#This Row],[1B vs]]</f>
        <v>1</v>
      </c>
      <c r="W353" t="b">
        <f>N353=_R32Matchups[[#This Row],[1D vs]]</f>
        <v>1</v>
      </c>
      <c r="X353" t="b">
        <f>O353=_R32Matchups[[#This Row],[1E vs]]</f>
        <v>1</v>
      </c>
      <c r="Y353" t="b">
        <f>P353=_R32Matchups[[#This Row],[1G vs]]</f>
        <v>1</v>
      </c>
      <c r="Z353" t="b">
        <f>Q353=_R32Matchups[[#This Row],[1I vs]]</f>
        <v>1</v>
      </c>
      <c r="AA353" t="b">
        <f>R353=_R32Matchups[[#This Row],[1K vs]]</f>
        <v>1</v>
      </c>
      <c r="AB353" t="b">
        <f>S353=_R32Matchups[[#This Row],[1L vs]]</f>
        <v>1</v>
      </c>
    </row>
    <row r="354" spans="1:28" ht="14.4">
      <c r="A354" s="2" t="s">
        <v>373</v>
      </c>
      <c r="B354" s="2" t="s">
        <v>10</v>
      </c>
      <c r="C354" s="2" t="s">
        <v>11</v>
      </c>
      <c r="D354" s="2" t="s">
        <v>65</v>
      </c>
      <c r="E354" s="2" t="s">
        <v>19</v>
      </c>
      <c r="F354" s="2" t="s">
        <v>186</v>
      </c>
      <c r="G354" s="2" t="s">
        <v>13</v>
      </c>
      <c r="H354" s="2" t="s">
        <v>12</v>
      </c>
      <c r="I354" s="2" t="s">
        <v>17</v>
      </c>
      <c r="K354" t="s">
        <v>373</v>
      </c>
      <c r="L354" t="s">
        <v>10</v>
      </c>
      <c r="M354" t="s">
        <v>11</v>
      </c>
      <c r="N354" t="s">
        <v>65</v>
      </c>
      <c r="O354" t="s">
        <v>19</v>
      </c>
      <c r="P354" t="s">
        <v>186</v>
      </c>
      <c r="Q354" t="s">
        <v>13</v>
      </c>
      <c r="R354" t="s">
        <v>12</v>
      </c>
      <c r="S354" t="s">
        <v>17</v>
      </c>
      <c r="U354" t="b">
        <f>L354=_R32Matchups[[#This Row],[1A vs]]</f>
        <v>1</v>
      </c>
      <c r="V354" t="b">
        <f>M354=_R32Matchups[[#This Row],[1B vs]]</f>
        <v>1</v>
      </c>
      <c r="W354" t="b">
        <f>N354=_R32Matchups[[#This Row],[1D vs]]</f>
        <v>1</v>
      </c>
      <c r="X354" t="b">
        <f>O354=_R32Matchups[[#This Row],[1E vs]]</f>
        <v>1</v>
      </c>
      <c r="Y354" t="b">
        <f>P354=_R32Matchups[[#This Row],[1G vs]]</f>
        <v>1</v>
      </c>
      <c r="Z354" t="b">
        <f>Q354=_R32Matchups[[#This Row],[1I vs]]</f>
        <v>1</v>
      </c>
      <c r="AA354" t="b">
        <f>R354=_R32Matchups[[#This Row],[1K vs]]</f>
        <v>1</v>
      </c>
      <c r="AB354" t="b">
        <f>S354=_R32Matchups[[#This Row],[1L vs]]</f>
        <v>1</v>
      </c>
    </row>
    <row r="355" spans="1:28" ht="14.4">
      <c r="A355" s="2" t="s">
        <v>374</v>
      </c>
      <c r="B355" s="2" t="s">
        <v>14</v>
      </c>
      <c r="C355" s="2" t="s">
        <v>10</v>
      </c>
      <c r="D355" s="2" t="s">
        <v>65</v>
      </c>
      <c r="E355" s="2" t="s">
        <v>19</v>
      </c>
      <c r="F355" s="2" t="s">
        <v>186</v>
      </c>
      <c r="G355" s="2" t="s">
        <v>13</v>
      </c>
      <c r="H355" s="2" t="s">
        <v>16</v>
      </c>
      <c r="I355" s="2" t="s">
        <v>17</v>
      </c>
      <c r="K355" t="s">
        <v>374</v>
      </c>
      <c r="L355" t="s">
        <v>14</v>
      </c>
      <c r="M355" t="s">
        <v>10</v>
      </c>
      <c r="N355" t="s">
        <v>65</v>
      </c>
      <c r="O355" t="s">
        <v>19</v>
      </c>
      <c r="P355" t="s">
        <v>186</v>
      </c>
      <c r="Q355" t="s">
        <v>13</v>
      </c>
      <c r="R355" t="s">
        <v>16</v>
      </c>
      <c r="S355" t="s">
        <v>17</v>
      </c>
      <c r="U355" t="b">
        <f>L355=_R32Matchups[[#This Row],[1A vs]]</f>
        <v>1</v>
      </c>
      <c r="V355" t="b">
        <f>M355=_R32Matchups[[#This Row],[1B vs]]</f>
        <v>1</v>
      </c>
      <c r="W355" t="b">
        <f>N355=_R32Matchups[[#This Row],[1D vs]]</f>
        <v>1</v>
      </c>
      <c r="X355" t="b">
        <f>O355=_R32Matchups[[#This Row],[1E vs]]</f>
        <v>1</v>
      </c>
      <c r="Y355" t="b">
        <f>P355=_R32Matchups[[#This Row],[1G vs]]</f>
        <v>1</v>
      </c>
      <c r="Z355" t="b">
        <f>Q355=_R32Matchups[[#This Row],[1I vs]]</f>
        <v>1</v>
      </c>
      <c r="AA355" t="b">
        <f>R355=_R32Matchups[[#This Row],[1K vs]]</f>
        <v>1</v>
      </c>
      <c r="AB355" t="b">
        <f>S355=_R32Matchups[[#This Row],[1L vs]]</f>
        <v>1</v>
      </c>
    </row>
    <row r="356" spans="1:28" ht="14.4">
      <c r="A356" s="2" t="s">
        <v>375</v>
      </c>
      <c r="B356" s="2" t="s">
        <v>14</v>
      </c>
      <c r="C356" s="2" t="s">
        <v>11</v>
      </c>
      <c r="D356" s="2" t="s">
        <v>65</v>
      </c>
      <c r="E356" s="2" t="s">
        <v>19</v>
      </c>
      <c r="F356" s="2" t="s">
        <v>186</v>
      </c>
      <c r="G356" s="2" t="s">
        <v>13</v>
      </c>
      <c r="H356" s="2" t="s">
        <v>16</v>
      </c>
      <c r="I356" s="2" t="s">
        <v>10</v>
      </c>
      <c r="K356" t="s">
        <v>375</v>
      </c>
      <c r="L356" t="s">
        <v>14</v>
      </c>
      <c r="M356" t="s">
        <v>11</v>
      </c>
      <c r="N356" t="s">
        <v>65</v>
      </c>
      <c r="O356" t="s">
        <v>19</v>
      </c>
      <c r="P356" t="s">
        <v>186</v>
      </c>
      <c r="Q356" t="s">
        <v>13</v>
      </c>
      <c r="R356" t="s">
        <v>16</v>
      </c>
      <c r="S356" t="s">
        <v>10</v>
      </c>
      <c r="U356" t="b">
        <f>L356=_R32Matchups[[#This Row],[1A vs]]</f>
        <v>1</v>
      </c>
      <c r="V356" t="b">
        <f>M356=_R32Matchups[[#This Row],[1B vs]]</f>
        <v>1</v>
      </c>
      <c r="W356" t="b">
        <f>N356=_R32Matchups[[#This Row],[1D vs]]</f>
        <v>1</v>
      </c>
      <c r="X356" t="b">
        <f>O356=_R32Matchups[[#This Row],[1E vs]]</f>
        <v>1</v>
      </c>
      <c r="Y356" t="b">
        <f>P356=_R32Matchups[[#This Row],[1G vs]]</f>
        <v>1</v>
      </c>
      <c r="Z356" t="b">
        <f>Q356=_R32Matchups[[#This Row],[1I vs]]</f>
        <v>1</v>
      </c>
      <c r="AA356" t="b">
        <f>R356=_R32Matchups[[#This Row],[1K vs]]</f>
        <v>1</v>
      </c>
      <c r="AB356" t="b">
        <f>S356=_R32Matchups[[#This Row],[1L vs]]</f>
        <v>1</v>
      </c>
    </row>
    <row r="357" spans="1:28" ht="14.4">
      <c r="A357" s="2" t="s">
        <v>376</v>
      </c>
      <c r="B357" s="2" t="s">
        <v>14</v>
      </c>
      <c r="C357" s="2" t="s">
        <v>11</v>
      </c>
      <c r="D357" s="2" t="s">
        <v>65</v>
      </c>
      <c r="E357" s="2" t="s">
        <v>19</v>
      </c>
      <c r="F357" s="2" t="s">
        <v>186</v>
      </c>
      <c r="G357" s="2" t="s">
        <v>13</v>
      </c>
      <c r="H357" s="2" t="s">
        <v>10</v>
      </c>
      <c r="I357" s="2" t="s">
        <v>17</v>
      </c>
      <c r="K357" t="s">
        <v>376</v>
      </c>
      <c r="L357" t="s">
        <v>14</v>
      </c>
      <c r="M357" t="s">
        <v>11</v>
      </c>
      <c r="N357" t="s">
        <v>65</v>
      </c>
      <c r="O357" t="s">
        <v>19</v>
      </c>
      <c r="P357" t="s">
        <v>186</v>
      </c>
      <c r="Q357" t="s">
        <v>13</v>
      </c>
      <c r="R357" t="s">
        <v>10</v>
      </c>
      <c r="S357" t="s">
        <v>17</v>
      </c>
      <c r="U357" t="b">
        <f>L357=_R32Matchups[[#This Row],[1A vs]]</f>
        <v>1</v>
      </c>
      <c r="V357" t="b">
        <f>M357=_R32Matchups[[#This Row],[1B vs]]</f>
        <v>1</v>
      </c>
      <c r="W357" t="b">
        <f>N357=_R32Matchups[[#This Row],[1D vs]]</f>
        <v>1</v>
      </c>
      <c r="X357" t="b">
        <f>O357=_R32Matchups[[#This Row],[1E vs]]</f>
        <v>1</v>
      </c>
      <c r="Y357" t="b">
        <f>P357=_R32Matchups[[#This Row],[1G vs]]</f>
        <v>1</v>
      </c>
      <c r="Z357" t="b">
        <f>Q357=_R32Matchups[[#This Row],[1I vs]]</f>
        <v>1</v>
      </c>
      <c r="AA357" t="b">
        <f>R357=_R32Matchups[[#This Row],[1K vs]]</f>
        <v>1</v>
      </c>
      <c r="AB357" t="b">
        <f>S357=_R32Matchups[[#This Row],[1L vs]]</f>
        <v>1</v>
      </c>
    </row>
    <row r="358" spans="1:28" ht="14.4">
      <c r="A358" s="2" t="s">
        <v>377</v>
      </c>
      <c r="B358" s="2" t="s">
        <v>14</v>
      </c>
      <c r="C358" s="2" t="s">
        <v>10</v>
      </c>
      <c r="D358" s="2" t="s">
        <v>65</v>
      </c>
      <c r="E358" s="2" t="s">
        <v>19</v>
      </c>
      <c r="F358" s="2" t="s">
        <v>186</v>
      </c>
      <c r="G358" s="2" t="s">
        <v>13</v>
      </c>
      <c r="H358" s="2" t="s">
        <v>16</v>
      </c>
      <c r="I358" s="2" t="s">
        <v>12</v>
      </c>
      <c r="K358" t="s">
        <v>377</v>
      </c>
      <c r="L358" t="s">
        <v>14</v>
      </c>
      <c r="M358" t="s">
        <v>10</v>
      </c>
      <c r="N358" t="s">
        <v>65</v>
      </c>
      <c r="O358" t="s">
        <v>19</v>
      </c>
      <c r="P358" t="s">
        <v>186</v>
      </c>
      <c r="Q358" t="s">
        <v>13</v>
      </c>
      <c r="R358" t="s">
        <v>16</v>
      </c>
      <c r="S358" t="s">
        <v>12</v>
      </c>
      <c r="U358" t="b">
        <f>L358=_R32Matchups[[#This Row],[1A vs]]</f>
        <v>1</v>
      </c>
      <c r="V358" t="b">
        <f>M358=_R32Matchups[[#This Row],[1B vs]]</f>
        <v>1</v>
      </c>
      <c r="W358" t="b">
        <f>N358=_R32Matchups[[#This Row],[1D vs]]</f>
        <v>1</v>
      </c>
      <c r="X358" t="b">
        <f>O358=_R32Matchups[[#This Row],[1E vs]]</f>
        <v>1</v>
      </c>
      <c r="Y358" t="b">
        <f>P358=_R32Matchups[[#This Row],[1G vs]]</f>
        <v>1</v>
      </c>
      <c r="Z358" t="b">
        <f>Q358=_R32Matchups[[#This Row],[1I vs]]</f>
        <v>1</v>
      </c>
      <c r="AA358" t="b">
        <f>R358=_R32Matchups[[#This Row],[1K vs]]</f>
        <v>1</v>
      </c>
      <c r="AB358" t="b">
        <f>S358=_R32Matchups[[#This Row],[1L vs]]</f>
        <v>1</v>
      </c>
    </row>
    <row r="359" spans="1:28" ht="14.4">
      <c r="A359" s="2" t="s">
        <v>378</v>
      </c>
      <c r="B359" s="2" t="s">
        <v>14</v>
      </c>
      <c r="C359" s="2" t="s">
        <v>10</v>
      </c>
      <c r="D359" s="2" t="s">
        <v>65</v>
      </c>
      <c r="E359" s="2" t="s">
        <v>19</v>
      </c>
      <c r="F359" s="2" t="s">
        <v>186</v>
      </c>
      <c r="G359" s="2" t="s">
        <v>13</v>
      </c>
      <c r="H359" s="2" t="s">
        <v>12</v>
      </c>
      <c r="I359" s="2" t="s">
        <v>17</v>
      </c>
      <c r="K359" t="s">
        <v>378</v>
      </c>
      <c r="L359" t="s">
        <v>14</v>
      </c>
      <c r="M359" t="s">
        <v>10</v>
      </c>
      <c r="N359" t="s">
        <v>65</v>
      </c>
      <c r="O359" t="s">
        <v>19</v>
      </c>
      <c r="P359" t="s">
        <v>186</v>
      </c>
      <c r="Q359" t="s">
        <v>13</v>
      </c>
      <c r="R359" t="s">
        <v>12</v>
      </c>
      <c r="S359" t="s">
        <v>17</v>
      </c>
      <c r="U359" t="b">
        <f>L359=_R32Matchups[[#This Row],[1A vs]]</f>
        <v>1</v>
      </c>
      <c r="V359" t="b">
        <f>M359=_R32Matchups[[#This Row],[1B vs]]</f>
        <v>1</v>
      </c>
      <c r="W359" t="b">
        <f>N359=_R32Matchups[[#This Row],[1D vs]]</f>
        <v>1</v>
      </c>
      <c r="X359" t="b">
        <f>O359=_R32Matchups[[#This Row],[1E vs]]</f>
        <v>1</v>
      </c>
      <c r="Y359" t="b">
        <f>P359=_R32Matchups[[#This Row],[1G vs]]</f>
        <v>1</v>
      </c>
      <c r="Z359" t="b">
        <f>Q359=_R32Matchups[[#This Row],[1I vs]]</f>
        <v>1</v>
      </c>
      <c r="AA359" t="b">
        <f>R359=_R32Matchups[[#This Row],[1K vs]]</f>
        <v>1</v>
      </c>
      <c r="AB359" t="b">
        <f>S359=_R32Matchups[[#This Row],[1L vs]]</f>
        <v>1</v>
      </c>
    </row>
    <row r="360" spans="1:28" ht="14.4">
      <c r="A360" s="2" t="s">
        <v>379</v>
      </c>
      <c r="B360" s="2" t="s">
        <v>14</v>
      </c>
      <c r="C360" s="2" t="s">
        <v>11</v>
      </c>
      <c r="D360" s="2" t="s">
        <v>65</v>
      </c>
      <c r="E360" s="2" t="s">
        <v>19</v>
      </c>
      <c r="F360" s="2" t="s">
        <v>186</v>
      </c>
      <c r="G360" s="2" t="s">
        <v>13</v>
      </c>
      <c r="H360" s="2" t="s">
        <v>10</v>
      </c>
      <c r="I360" s="2" t="s">
        <v>12</v>
      </c>
      <c r="K360" t="s">
        <v>379</v>
      </c>
      <c r="L360" t="s">
        <v>14</v>
      </c>
      <c r="M360" t="s">
        <v>11</v>
      </c>
      <c r="N360" t="s">
        <v>65</v>
      </c>
      <c r="O360" t="s">
        <v>19</v>
      </c>
      <c r="P360" t="s">
        <v>186</v>
      </c>
      <c r="Q360" t="s">
        <v>13</v>
      </c>
      <c r="R360" t="s">
        <v>10</v>
      </c>
      <c r="S360" t="s">
        <v>12</v>
      </c>
      <c r="U360" t="b">
        <f>L360=_R32Matchups[[#This Row],[1A vs]]</f>
        <v>1</v>
      </c>
      <c r="V360" t="b">
        <f>M360=_R32Matchups[[#This Row],[1B vs]]</f>
        <v>1</v>
      </c>
      <c r="W360" t="b">
        <f>N360=_R32Matchups[[#This Row],[1D vs]]</f>
        <v>1</v>
      </c>
      <c r="X360" t="b">
        <f>O360=_R32Matchups[[#This Row],[1E vs]]</f>
        <v>1</v>
      </c>
      <c r="Y360" t="b">
        <f>P360=_R32Matchups[[#This Row],[1G vs]]</f>
        <v>1</v>
      </c>
      <c r="Z360" t="b">
        <f>Q360=_R32Matchups[[#This Row],[1I vs]]</f>
        <v>1</v>
      </c>
      <c r="AA360" t="b">
        <f>R360=_R32Matchups[[#This Row],[1K vs]]</f>
        <v>1</v>
      </c>
      <c r="AB360" t="b">
        <f>S360=_R32Matchups[[#This Row],[1L vs]]</f>
        <v>1</v>
      </c>
    </row>
    <row r="361" spans="1:28" ht="14.4">
      <c r="A361" s="2" t="s">
        <v>380</v>
      </c>
      <c r="B361" s="2" t="s">
        <v>10</v>
      </c>
      <c r="C361" s="2" t="s">
        <v>15</v>
      </c>
      <c r="D361" s="2" t="s">
        <v>65</v>
      </c>
      <c r="E361" s="2" t="s">
        <v>19</v>
      </c>
      <c r="F361" s="2" t="s">
        <v>186</v>
      </c>
      <c r="G361" s="2" t="s">
        <v>13</v>
      </c>
      <c r="H361" s="2" t="s">
        <v>16</v>
      </c>
      <c r="I361" s="2" t="s">
        <v>17</v>
      </c>
      <c r="K361" t="s">
        <v>380</v>
      </c>
      <c r="L361" t="s">
        <v>10</v>
      </c>
      <c r="M361" t="s">
        <v>15</v>
      </c>
      <c r="N361" t="s">
        <v>65</v>
      </c>
      <c r="O361" t="s">
        <v>19</v>
      </c>
      <c r="P361" t="s">
        <v>186</v>
      </c>
      <c r="Q361" t="s">
        <v>13</v>
      </c>
      <c r="R361" t="s">
        <v>16</v>
      </c>
      <c r="S361" t="s">
        <v>17</v>
      </c>
      <c r="U361" t="b">
        <f>L361=_R32Matchups[[#This Row],[1A vs]]</f>
        <v>1</v>
      </c>
      <c r="V361" t="b">
        <f>M361=_R32Matchups[[#This Row],[1B vs]]</f>
        <v>1</v>
      </c>
      <c r="W361" t="b">
        <f>N361=_R32Matchups[[#This Row],[1D vs]]</f>
        <v>1</v>
      </c>
      <c r="X361" t="b">
        <f>O361=_R32Matchups[[#This Row],[1E vs]]</f>
        <v>1</v>
      </c>
      <c r="Y361" t="b">
        <f>P361=_R32Matchups[[#This Row],[1G vs]]</f>
        <v>1</v>
      </c>
      <c r="Z361" t="b">
        <f>Q361=_R32Matchups[[#This Row],[1I vs]]</f>
        <v>1</v>
      </c>
      <c r="AA361" t="b">
        <f>R361=_R32Matchups[[#This Row],[1K vs]]</f>
        <v>1</v>
      </c>
      <c r="AB361" t="b">
        <f>S361=_R32Matchups[[#This Row],[1L vs]]</f>
        <v>1</v>
      </c>
    </row>
    <row r="362" spans="1:28" ht="14.4">
      <c r="A362" s="2" t="s">
        <v>381</v>
      </c>
      <c r="B362" s="2" t="s">
        <v>10</v>
      </c>
      <c r="C362" s="2" t="s">
        <v>15</v>
      </c>
      <c r="D362" s="2" t="s">
        <v>65</v>
      </c>
      <c r="E362" s="2" t="s">
        <v>19</v>
      </c>
      <c r="F362" s="2" t="s">
        <v>186</v>
      </c>
      <c r="G362" s="2" t="s">
        <v>13</v>
      </c>
      <c r="H362" s="2" t="s">
        <v>16</v>
      </c>
      <c r="I362" s="2" t="s">
        <v>11</v>
      </c>
      <c r="K362" t="s">
        <v>381</v>
      </c>
      <c r="L362" t="s">
        <v>10</v>
      </c>
      <c r="M362" t="s">
        <v>15</v>
      </c>
      <c r="N362" t="s">
        <v>65</v>
      </c>
      <c r="O362" t="s">
        <v>19</v>
      </c>
      <c r="P362" t="s">
        <v>186</v>
      </c>
      <c r="Q362" t="s">
        <v>13</v>
      </c>
      <c r="R362" t="s">
        <v>16</v>
      </c>
      <c r="S362" t="s">
        <v>11</v>
      </c>
      <c r="U362" t="b">
        <f>L362=_R32Matchups[[#This Row],[1A vs]]</f>
        <v>1</v>
      </c>
      <c r="V362" t="b">
        <f>M362=_R32Matchups[[#This Row],[1B vs]]</f>
        <v>1</v>
      </c>
      <c r="W362" t="b">
        <f>N362=_R32Matchups[[#This Row],[1D vs]]</f>
        <v>1</v>
      </c>
      <c r="X362" t="b">
        <f>O362=_R32Matchups[[#This Row],[1E vs]]</f>
        <v>1</v>
      </c>
      <c r="Y362" t="b">
        <f>P362=_R32Matchups[[#This Row],[1G vs]]</f>
        <v>1</v>
      </c>
      <c r="Z362" t="b">
        <f>Q362=_R32Matchups[[#This Row],[1I vs]]</f>
        <v>1</v>
      </c>
      <c r="AA362" t="b">
        <f>R362=_R32Matchups[[#This Row],[1K vs]]</f>
        <v>1</v>
      </c>
      <c r="AB362" t="b">
        <f>S362=_R32Matchups[[#This Row],[1L vs]]</f>
        <v>1</v>
      </c>
    </row>
    <row r="363" spans="1:28" ht="14.4">
      <c r="A363" s="2" t="s">
        <v>382</v>
      </c>
      <c r="B363" s="2" t="s">
        <v>10</v>
      </c>
      <c r="C363" s="2" t="s">
        <v>15</v>
      </c>
      <c r="D363" s="2" t="s">
        <v>65</v>
      </c>
      <c r="E363" s="2" t="s">
        <v>19</v>
      </c>
      <c r="F363" s="2" t="s">
        <v>186</v>
      </c>
      <c r="G363" s="2" t="s">
        <v>13</v>
      </c>
      <c r="H363" s="2" t="s">
        <v>11</v>
      </c>
      <c r="I363" s="2" t="s">
        <v>17</v>
      </c>
      <c r="K363" t="s">
        <v>382</v>
      </c>
      <c r="L363" t="s">
        <v>10</v>
      </c>
      <c r="M363" t="s">
        <v>15</v>
      </c>
      <c r="N363" t="s">
        <v>65</v>
      </c>
      <c r="O363" t="s">
        <v>19</v>
      </c>
      <c r="P363" t="s">
        <v>186</v>
      </c>
      <c r="Q363" t="s">
        <v>13</v>
      </c>
      <c r="R363" t="s">
        <v>11</v>
      </c>
      <c r="S363" t="s">
        <v>17</v>
      </c>
      <c r="U363" t="b">
        <f>L363=_R32Matchups[[#This Row],[1A vs]]</f>
        <v>1</v>
      </c>
      <c r="V363" t="b">
        <f>M363=_R32Matchups[[#This Row],[1B vs]]</f>
        <v>1</v>
      </c>
      <c r="W363" t="b">
        <f>N363=_R32Matchups[[#This Row],[1D vs]]</f>
        <v>1</v>
      </c>
      <c r="X363" t="b">
        <f>O363=_R32Matchups[[#This Row],[1E vs]]</f>
        <v>1</v>
      </c>
      <c r="Y363" t="b">
        <f>P363=_R32Matchups[[#This Row],[1G vs]]</f>
        <v>1</v>
      </c>
      <c r="Z363" t="b">
        <f>Q363=_R32Matchups[[#This Row],[1I vs]]</f>
        <v>1</v>
      </c>
      <c r="AA363" t="b">
        <f>R363=_R32Matchups[[#This Row],[1K vs]]</f>
        <v>1</v>
      </c>
      <c r="AB363" t="b">
        <f>S363=_R32Matchups[[#This Row],[1L vs]]</f>
        <v>1</v>
      </c>
    </row>
    <row r="364" spans="1:28" ht="14.4">
      <c r="A364" s="2" t="s">
        <v>383</v>
      </c>
      <c r="B364" s="2" t="s">
        <v>10</v>
      </c>
      <c r="C364" s="2" t="s">
        <v>15</v>
      </c>
      <c r="D364" s="2" t="s">
        <v>65</v>
      </c>
      <c r="E364" s="2" t="s">
        <v>19</v>
      </c>
      <c r="F364" s="2" t="s">
        <v>186</v>
      </c>
      <c r="G364" s="2" t="s">
        <v>13</v>
      </c>
      <c r="H364" s="2" t="s">
        <v>16</v>
      </c>
      <c r="I364" s="2" t="s">
        <v>12</v>
      </c>
      <c r="K364" t="s">
        <v>383</v>
      </c>
      <c r="L364" t="s">
        <v>10</v>
      </c>
      <c r="M364" t="s">
        <v>15</v>
      </c>
      <c r="N364" t="s">
        <v>65</v>
      </c>
      <c r="O364" t="s">
        <v>19</v>
      </c>
      <c r="P364" t="s">
        <v>186</v>
      </c>
      <c r="Q364" t="s">
        <v>13</v>
      </c>
      <c r="R364" t="s">
        <v>16</v>
      </c>
      <c r="S364" t="s">
        <v>12</v>
      </c>
      <c r="U364" t="b">
        <f>L364=_R32Matchups[[#This Row],[1A vs]]</f>
        <v>1</v>
      </c>
      <c r="V364" t="b">
        <f>M364=_R32Matchups[[#This Row],[1B vs]]</f>
        <v>1</v>
      </c>
      <c r="W364" t="b">
        <f>N364=_R32Matchups[[#This Row],[1D vs]]</f>
        <v>1</v>
      </c>
      <c r="X364" t="b">
        <f>O364=_R32Matchups[[#This Row],[1E vs]]</f>
        <v>1</v>
      </c>
      <c r="Y364" t="b">
        <f>P364=_R32Matchups[[#This Row],[1G vs]]</f>
        <v>1</v>
      </c>
      <c r="Z364" t="b">
        <f>Q364=_R32Matchups[[#This Row],[1I vs]]</f>
        <v>1</v>
      </c>
      <c r="AA364" t="b">
        <f>R364=_R32Matchups[[#This Row],[1K vs]]</f>
        <v>1</v>
      </c>
      <c r="AB364" t="b">
        <f>S364=_R32Matchups[[#This Row],[1L vs]]</f>
        <v>1</v>
      </c>
    </row>
    <row r="365" spans="1:28" ht="14.4">
      <c r="A365" s="2" t="s">
        <v>384</v>
      </c>
      <c r="B365" s="2" t="s">
        <v>10</v>
      </c>
      <c r="C365" s="2" t="s">
        <v>15</v>
      </c>
      <c r="D365" s="2" t="s">
        <v>65</v>
      </c>
      <c r="E365" s="2" t="s">
        <v>19</v>
      </c>
      <c r="F365" s="2" t="s">
        <v>186</v>
      </c>
      <c r="G365" s="2" t="s">
        <v>13</v>
      </c>
      <c r="H365" s="2" t="s">
        <v>12</v>
      </c>
      <c r="I365" s="2" t="s">
        <v>17</v>
      </c>
      <c r="K365" t="s">
        <v>384</v>
      </c>
      <c r="L365" t="s">
        <v>10</v>
      </c>
      <c r="M365" t="s">
        <v>15</v>
      </c>
      <c r="N365" t="s">
        <v>65</v>
      </c>
      <c r="O365" t="s">
        <v>19</v>
      </c>
      <c r="P365" t="s">
        <v>186</v>
      </c>
      <c r="Q365" t="s">
        <v>13</v>
      </c>
      <c r="R365" t="s">
        <v>12</v>
      </c>
      <c r="S365" t="s">
        <v>17</v>
      </c>
      <c r="U365" t="b">
        <f>L365=_R32Matchups[[#This Row],[1A vs]]</f>
        <v>1</v>
      </c>
      <c r="V365" t="b">
        <f>M365=_R32Matchups[[#This Row],[1B vs]]</f>
        <v>1</v>
      </c>
      <c r="W365" t="b">
        <f>N365=_R32Matchups[[#This Row],[1D vs]]</f>
        <v>1</v>
      </c>
      <c r="X365" t="b">
        <f>O365=_R32Matchups[[#This Row],[1E vs]]</f>
        <v>1</v>
      </c>
      <c r="Y365" t="b">
        <f>P365=_R32Matchups[[#This Row],[1G vs]]</f>
        <v>1</v>
      </c>
      <c r="Z365" t="b">
        <f>Q365=_R32Matchups[[#This Row],[1I vs]]</f>
        <v>1</v>
      </c>
      <c r="AA365" t="b">
        <f>R365=_R32Matchups[[#This Row],[1K vs]]</f>
        <v>1</v>
      </c>
      <c r="AB365" t="b">
        <f>S365=_R32Matchups[[#This Row],[1L vs]]</f>
        <v>1</v>
      </c>
    </row>
    <row r="366" spans="1:28" ht="14.4">
      <c r="A366" s="2" t="s">
        <v>385</v>
      </c>
      <c r="B366" s="2" t="s">
        <v>10</v>
      </c>
      <c r="C366" s="2" t="s">
        <v>15</v>
      </c>
      <c r="D366" s="2" t="s">
        <v>65</v>
      </c>
      <c r="E366" s="2" t="s">
        <v>19</v>
      </c>
      <c r="F366" s="2" t="s">
        <v>186</v>
      </c>
      <c r="G366" s="2" t="s">
        <v>13</v>
      </c>
      <c r="H366" s="2" t="s">
        <v>12</v>
      </c>
      <c r="I366" s="2" t="s">
        <v>11</v>
      </c>
      <c r="K366" t="s">
        <v>385</v>
      </c>
      <c r="L366" t="s">
        <v>10</v>
      </c>
      <c r="M366" t="s">
        <v>15</v>
      </c>
      <c r="N366" t="s">
        <v>65</v>
      </c>
      <c r="O366" t="s">
        <v>19</v>
      </c>
      <c r="P366" t="s">
        <v>186</v>
      </c>
      <c r="Q366" t="s">
        <v>13</v>
      </c>
      <c r="R366" t="s">
        <v>12</v>
      </c>
      <c r="S366" t="s">
        <v>11</v>
      </c>
      <c r="U366" t="b">
        <f>L366=_R32Matchups[[#This Row],[1A vs]]</f>
        <v>1</v>
      </c>
      <c r="V366" t="b">
        <f>M366=_R32Matchups[[#This Row],[1B vs]]</f>
        <v>1</v>
      </c>
      <c r="W366" t="b">
        <f>N366=_R32Matchups[[#This Row],[1D vs]]</f>
        <v>1</v>
      </c>
      <c r="X366" t="b">
        <f>O366=_R32Matchups[[#This Row],[1E vs]]</f>
        <v>1</v>
      </c>
      <c r="Y366" t="b">
        <f>P366=_R32Matchups[[#This Row],[1G vs]]</f>
        <v>1</v>
      </c>
      <c r="Z366" t="b">
        <f>Q366=_R32Matchups[[#This Row],[1I vs]]</f>
        <v>1</v>
      </c>
      <c r="AA366" t="b">
        <f>R366=_R32Matchups[[#This Row],[1K vs]]</f>
        <v>1</v>
      </c>
      <c r="AB366" t="b">
        <f>S366=_R32Matchups[[#This Row],[1L vs]]</f>
        <v>1</v>
      </c>
    </row>
    <row r="367" spans="1:28" ht="14.4">
      <c r="A367" s="2" t="s">
        <v>386</v>
      </c>
      <c r="B367" s="2" t="s">
        <v>14</v>
      </c>
      <c r="C367" s="2" t="s">
        <v>15</v>
      </c>
      <c r="D367" s="2" t="s">
        <v>65</v>
      </c>
      <c r="E367" s="2" t="s">
        <v>19</v>
      </c>
      <c r="F367" s="2" t="s">
        <v>186</v>
      </c>
      <c r="G367" s="2" t="s">
        <v>13</v>
      </c>
      <c r="H367" s="2" t="s">
        <v>16</v>
      </c>
      <c r="I367" s="2" t="s">
        <v>10</v>
      </c>
      <c r="K367" t="s">
        <v>386</v>
      </c>
      <c r="L367" t="s">
        <v>14</v>
      </c>
      <c r="M367" t="s">
        <v>15</v>
      </c>
      <c r="N367" t="s">
        <v>65</v>
      </c>
      <c r="O367" t="s">
        <v>19</v>
      </c>
      <c r="P367" t="s">
        <v>186</v>
      </c>
      <c r="Q367" t="s">
        <v>13</v>
      </c>
      <c r="R367" t="s">
        <v>16</v>
      </c>
      <c r="S367" t="s">
        <v>10</v>
      </c>
      <c r="U367" t="b">
        <f>L367=_R32Matchups[[#This Row],[1A vs]]</f>
        <v>1</v>
      </c>
      <c r="V367" t="b">
        <f>M367=_R32Matchups[[#This Row],[1B vs]]</f>
        <v>1</v>
      </c>
      <c r="W367" t="b">
        <f>N367=_R32Matchups[[#This Row],[1D vs]]</f>
        <v>1</v>
      </c>
      <c r="X367" t="b">
        <f>O367=_R32Matchups[[#This Row],[1E vs]]</f>
        <v>1</v>
      </c>
      <c r="Y367" t="b">
        <f>P367=_R32Matchups[[#This Row],[1G vs]]</f>
        <v>1</v>
      </c>
      <c r="Z367" t="b">
        <f>Q367=_R32Matchups[[#This Row],[1I vs]]</f>
        <v>1</v>
      </c>
      <c r="AA367" t="b">
        <f>R367=_R32Matchups[[#This Row],[1K vs]]</f>
        <v>1</v>
      </c>
      <c r="AB367" t="b">
        <f>S367=_R32Matchups[[#This Row],[1L vs]]</f>
        <v>1</v>
      </c>
    </row>
    <row r="368" spans="1:28" ht="14.4">
      <c r="A368" s="2" t="s">
        <v>387</v>
      </c>
      <c r="B368" s="2" t="s">
        <v>14</v>
      </c>
      <c r="C368" s="2" t="s">
        <v>15</v>
      </c>
      <c r="D368" s="2" t="s">
        <v>65</v>
      </c>
      <c r="E368" s="2" t="s">
        <v>19</v>
      </c>
      <c r="F368" s="2" t="s">
        <v>186</v>
      </c>
      <c r="G368" s="2" t="s">
        <v>13</v>
      </c>
      <c r="H368" s="2" t="s">
        <v>10</v>
      </c>
      <c r="I368" s="2" t="s">
        <v>17</v>
      </c>
      <c r="K368" t="s">
        <v>387</v>
      </c>
      <c r="L368" t="s">
        <v>14</v>
      </c>
      <c r="M368" t="s">
        <v>15</v>
      </c>
      <c r="N368" t="s">
        <v>65</v>
      </c>
      <c r="O368" t="s">
        <v>19</v>
      </c>
      <c r="P368" t="s">
        <v>186</v>
      </c>
      <c r="Q368" t="s">
        <v>13</v>
      </c>
      <c r="R368" t="s">
        <v>10</v>
      </c>
      <c r="S368" t="s">
        <v>17</v>
      </c>
      <c r="U368" t="b">
        <f>L368=_R32Matchups[[#This Row],[1A vs]]</f>
        <v>1</v>
      </c>
      <c r="V368" t="b">
        <f>M368=_R32Matchups[[#This Row],[1B vs]]</f>
        <v>1</v>
      </c>
      <c r="W368" t="b">
        <f>N368=_R32Matchups[[#This Row],[1D vs]]</f>
        <v>1</v>
      </c>
      <c r="X368" t="b">
        <f>O368=_R32Matchups[[#This Row],[1E vs]]</f>
        <v>1</v>
      </c>
      <c r="Y368" t="b">
        <f>P368=_R32Matchups[[#This Row],[1G vs]]</f>
        <v>1</v>
      </c>
      <c r="Z368" t="b">
        <f>Q368=_R32Matchups[[#This Row],[1I vs]]</f>
        <v>1</v>
      </c>
      <c r="AA368" t="b">
        <f>R368=_R32Matchups[[#This Row],[1K vs]]</f>
        <v>1</v>
      </c>
      <c r="AB368" t="b">
        <f>S368=_R32Matchups[[#This Row],[1L vs]]</f>
        <v>1</v>
      </c>
    </row>
    <row r="369" spans="1:28" ht="14.4">
      <c r="A369" s="2" t="s">
        <v>388</v>
      </c>
      <c r="B369" s="2" t="s">
        <v>14</v>
      </c>
      <c r="C369" s="2" t="s">
        <v>15</v>
      </c>
      <c r="D369" s="2" t="s">
        <v>65</v>
      </c>
      <c r="E369" s="2" t="s">
        <v>19</v>
      </c>
      <c r="F369" s="2" t="s">
        <v>186</v>
      </c>
      <c r="G369" s="2" t="s">
        <v>13</v>
      </c>
      <c r="H369" s="2" t="s">
        <v>10</v>
      </c>
      <c r="I369" s="2" t="s">
        <v>11</v>
      </c>
      <c r="K369" t="s">
        <v>388</v>
      </c>
      <c r="L369" t="s">
        <v>14</v>
      </c>
      <c r="M369" t="s">
        <v>15</v>
      </c>
      <c r="N369" t="s">
        <v>65</v>
      </c>
      <c r="O369" t="s">
        <v>19</v>
      </c>
      <c r="P369" t="s">
        <v>186</v>
      </c>
      <c r="Q369" t="s">
        <v>13</v>
      </c>
      <c r="R369" t="s">
        <v>10</v>
      </c>
      <c r="S369" t="s">
        <v>11</v>
      </c>
      <c r="U369" t="b">
        <f>L369=_R32Matchups[[#This Row],[1A vs]]</f>
        <v>1</v>
      </c>
      <c r="V369" t="b">
        <f>M369=_R32Matchups[[#This Row],[1B vs]]</f>
        <v>1</v>
      </c>
      <c r="W369" t="b">
        <f>N369=_R32Matchups[[#This Row],[1D vs]]</f>
        <v>1</v>
      </c>
      <c r="X369" t="b">
        <f>O369=_R32Matchups[[#This Row],[1E vs]]</f>
        <v>1</v>
      </c>
      <c r="Y369" t="b">
        <f>P369=_R32Matchups[[#This Row],[1G vs]]</f>
        <v>1</v>
      </c>
      <c r="Z369" t="b">
        <f>Q369=_R32Matchups[[#This Row],[1I vs]]</f>
        <v>1</v>
      </c>
      <c r="AA369" t="b">
        <f>R369=_R32Matchups[[#This Row],[1K vs]]</f>
        <v>1</v>
      </c>
      <c r="AB369" t="b">
        <f>S369=_R32Matchups[[#This Row],[1L vs]]</f>
        <v>1</v>
      </c>
    </row>
    <row r="370" spans="1:28" ht="14.4">
      <c r="A370" s="2" t="s">
        <v>389</v>
      </c>
      <c r="B370" s="2" t="s">
        <v>14</v>
      </c>
      <c r="C370" s="2" t="s">
        <v>15</v>
      </c>
      <c r="D370" s="2" t="s">
        <v>65</v>
      </c>
      <c r="E370" s="2" t="s">
        <v>19</v>
      </c>
      <c r="F370" s="2" t="s">
        <v>186</v>
      </c>
      <c r="G370" s="2" t="s">
        <v>13</v>
      </c>
      <c r="H370" s="2" t="s">
        <v>10</v>
      </c>
      <c r="I370" s="2" t="s">
        <v>12</v>
      </c>
      <c r="K370" t="s">
        <v>389</v>
      </c>
      <c r="L370" t="s">
        <v>14</v>
      </c>
      <c r="M370" t="s">
        <v>15</v>
      </c>
      <c r="N370" t="s">
        <v>65</v>
      </c>
      <c r="O370" t="s">
        <v>19</v>
      </c>
      <c r="P370" t="s">
        <v>186</v>
      </c>
      <c r="Q370" t="s">
        <v>13</v>
      </c>
      <c r="R370" t="s">
        <v>10</v>
      </c>
      <c r="S370" t="s">
        <v>12</v>
      </c>
      <c r="U370" t="b">
        <f>L370=_R32Matchups[[#This Row],[1A vs]]</f>
        <v>1</v>
      </c>
      <c r="V370" t="b">
        <f>M370=_R32Matchups[[#This Row],[1B vs]]</f>
        <v>1</v>
      </c>
      <c r="W370" t="b">
        <f>N370=_R32Matchups[[#This Row],[1D vs]]</f>
        <v>1</v>
      </c>
      <c r="X370" t="b">
        <f>O370=_R32Matchups[[#This Row],[1E vs]]</f>
        <v>1</v>
      </c>
      <c r="Y370" t="b">
        <f>P370=_R32Matchups[[#This Row],[1G vs]]</f>
        <v>1</v>
      </c>
      <c r="Z370" t="b">
        <f>Q370=_R32Matchups[[#This Row],[1I vs]]</f>
        <v>1</v>
      </c>
      <c r="AA370" t="b">
        <f>R370=_R32Matchups[[#This Row],[1K vs]]</f>
        <v>1</v>
      </c>
      <c r="AB370" t="b">
        <f>S370=_R32Matchups[[#This Row],[1L vs]]</f>
        <v>1</v>
      </c>
    </row>
    <row r="371" spans="1:28" ht="14.4">
      <c r="A371" s="2" t="s">
        <v>390</v>
      </c>
      <c r="B371" s="2" t="s">
        <v>12</v>
      </c>
      <c r="C371" s="2" t="s">
        <v>11</v>
      </c>
      <c r="D371" s="2" t="s">
        <v>65</v>
      </c>
      <c r="E371" s="2" t="s">
        <v>28</v>
      </c>
      <c r="F371" s="2" t="s">
        <v>186</v>
      </c>
      <c r="G371" s="2" t="s">
        <v>14</v>
      </c>
      <c r="H371" s="2" t="s">
        <v>16</v>
      </c>
      <c r="I371" s="2" t="s">
        <v>17</v>
      </c>
      <c r="K371" t="s">
        <v>390</v>
      </c>
      <c r="L371" t="s">
        <v>12</v>
      </c>
      <c r="M371" t="s">
        <v>11</v>
      </c>
      <c r="N371" t="s">
        <v>65</v>
      </c>
      <c r="O371" t="s">
        <v>28</v>
      </c>
      <c r="P371" t="s">
        <v>186</v>
      </c>
      <c r="Q371" t="s">
        <v>14</v>
      </c>
      <c r="R371" t="s">
        <v>16</v>
      </c>
      <c r="S371" t="s">
        <v>17</v>
      </c>
      <c r="U371" t="b">
        <f>L371=_R32Matchups[[#This Row],[1A vs]]</f>
        <v>1</v>
      </c>
      <c r="V371" t="b">
        <f>M371=_R32Matchups[[#This Row],[1B vs]]</f>
        <v>1</v>
      </c>
      <c r="W371" t="b">
        <f>N371=_R32Matchups[[#This Row],[1D vs]]</f>
        <v>1</v>
      </c>
      <c r="X371" t="b">
        <f>O371=_R32Matchups[[#This Row],[1E vs]]</f>
        <v>1</v>
      </c>
      <c r="Y371" t="b">
        <f>P371=_R32Matchups[[#This Row],[1G vs]]</f>
        <v>1</v>
      </c>
      <c r="Z371" t="b">
        <f>Q371=_R32Matchups[[#This Row],[1I vs]]</f>
        <v>1</v>
      </c>
      <c r="AA371" t="b">
        <f>R371=_R32Matchups[[#This Row],[1K vs]]</f>
        <v>1</v>
      </c>
      <c r="AB371" t="b">
        <f>S371=_R32Matchups[[#This Row],[1L vs]]</f>
        <v>1</v>
      </c>
    </row>
    <row r="372" spans="1:28" ht="14.4">
      <c r="A372" s="2" t="s">
        <v>391</v>
      </c>
      <c r="B372" s="2" t="s">
        <v>12</v>
      </c>
      <c r="C372" s="2" t="s">
        <v>11</v>
      </c>
      <c r="D372" s="2" t="s">
        <v>65</v>
      </c>
      <c r="E372" s="2" t="s">
        <v>28</v>
      </c>
      <c r="F372" s="2" t="s">
        <v>186</v>
      </c>
      <c r="G372" s="2" t="s">
        <v>15</v>
      </c>
      <c r="H372" s="2" t="s">
        <v>16</v>
      </c>
      <c r="I372" s="2" t="s">
        <v>17</v>
      </c>
      <c r="K372" t="s">
        <v>391</v>
      </c>
      <c r="L372" t="s">
        <v>12</v>
      </c>
      <c r="M372" t="s">
        <v>11</v>
      </c>
      <c r="N372" t="s">
        <v>65</v>
      </c>
      <c r="O372" t="s">
        <v>28</v>
      </c>
      <c r="P372" t="s">
        <v>186</v>
      </c>
      <c r="Q372" t="s">
        <v>15</v>
      </c>
      <c r="R372" t="s">
        <v>16</v>
      </c>
      <c r="S372" t="s">
        <v>17</v>
      </c>
      <c r="U372" t="b">
        <f>L372=_R32Matchups[[#This Row],[1A vs]]</f>
        <v>1</v>
      </c>
      <c r="V372" t="b">
        <f>M372=_R32Matchups[[#This Row],[1B vs]]</f>
        <v>1</v>
      </c>
      <c r="W372" t="b">
        <f>N372=_R32Matchups[[#This Row],[1D vs]]</f>
        <v>1</v>
      </c>
      <c r="X372" t="b">
        <f>O372=_R32Matchups[[#This Row],[1E vs]]</f>
        <v>1</v>
      </c>
      <c r="Y372" t="b">
        <f>P372=_R32Matchups[[#This Row],[1G vs]]</f>
        <v>1</v>
      </c>
      <c r="Z372" t="b">
        <f>Q372=_R32Matchups[[#This Row],[1I vs]]</f>
        <v>1</v>
      </c>
      <c r="AA372" t="b">
        <f>R372=_R32Matchups[[#This Row],[1K vs]]</f>
        <v>1</v>
      </c>
      <c r="AB372" t="b">
        <f>S372=_R32Matchups[[#This Row],[1L vs]]</f>
        <v>1</v>
      </c>
    </row>
    <row r="373" spans="1:28" ht="14.4">
      <c r="A373" s="2" t="s">
        <v>392</v>
      </c>
      <c r="B373" s="2" t="s">
        <v>14</v>
      </c>
      <c r="C373" s="2" t="s">
        <v>11</v>
      </c>
      <c r="D373" s="2" t="s">
        <v>65</v>
      </c>
      <c r="E373" s="2" t="s">
        <v>28</v>
      </c>
      <c r="F373" s="2" t="s">
        <v>186</v>
      </c>
      <c r="G373" s="2" t="s">
        <v>15</v>
      </c>
      <c r="H373" s="2" t="s">
        <v>16</v>
      </c>
      <c r="I373" s="2" t="s">
        <v>17</v>
      </c>
      <c r="K373" t="s">
        <v>392</v>
      </c>
      <c r="L373" t="s">
        <v>14</v>
      </c>
      <c r="M373" t="s">
        <v>11</v>
      </c>
      <c r="N373" t="s">
        <v>65</v>
      </c>
      <c r="O373" t="s">
        <v>28</v>
      </c>
      <c r="P373" t="s">
        <v>186</v>
      </c>
      <c r="Q373" t="s">
        <v>15</v>
      </c>
      <c r="R373" t="s">
        <v>16</v>
      </c>
      <c r="S373" t="s">
        <v>17</v>
      </c>
      <c r="U373" t="b">
        <f>L373=_R32Matchups[[#This Row],[1A vs]]</f>
        <v>1</v>
      </c>
      <c r="V373" t="b">
        <f>M373=_R32Matchups[[#This Row],[1B vs]]</f>
        <v>1</v>
      </c>
      <c r="W373" t="b">
        <f>N373=_R32Matchups[[#This Row],[1D vs]]</f>
        <v>1</v>
      </c>
      <c r="X373" t="b">
        <f>O373=_R32Matchups[[#This Row],[1E vs]]</f>
        <v>1</v>
      </c>
      <c r="Y373" t="b">
        <f>P373=_R32Matchups[[#This Row],[1G vs]]</f>
        <v>1</v>
      </c>
      <c r="Z373" t="b">
        <f>Q373=_R32Matchups[[#This Row],[1I vs]]</f>
        <v>1</v>
      </c>
      <c r="AA373" t="b">
        <f>R373=_R32Matchups[[#This Row],[1K vs]]</f>
        <v>1</v>
      </c>
      <c r="AB373" t="b">
        <f>S373=_R32Matchups[[#This Row],[1L vs]]</f>
        <v>1</v>
      </c>
    </row>
    <row r="374" spans="1:28" ht="14.4">
      <c r="A374" s="2" t="s">
        <v>393</v>
      </c>
      <c r="B374" s="2" t="s">
        <v>12</v>
      </c>
      <c r="C374" s="2" t="s">
        <v>15</v>
      </c>
      <c r="D374" s="2" t="s">
        <v>65</v>
      </c>
      <c r="E374" s="2" t="s">
        <v>28</v>
      </c>
      <c r="F374" s="2" t="s">
        <v>186</v>
      </c>
      <c r="G374" s="2" t="s">
        <v>14</v>
      </c>
      <c r="H374" s="2" t="s">
        <v>16</v>
      </c>
      <c r="I374" s="2" t="s">
        <v>17</v>
      </c>
      <c r="K374" t="s">
        <v>393</v>
      </c>
      <c r="L374" t="s">
        <v>12</v>
      </c>
      <c r="M374" t="s">
        <v>15</v>
      </c>
      <c r="N374" t="s">
        <v>65</v>
      </c>
      <c r="O374" t="s">
        <v>28</v>
      </c>
      <c r="P374" t="s">
        <v>186</v>
      </c>
      <c r="Q374" t="s">
        <v>14</v>
      </c>
      <c r="R374" t="s">
        <v>16</v>
      </c>
      <c r="S374" t="s">
        <v>17</v>
      </c>
      <c r="U374" t="b">
        <f>L374=_R32Matchups[[#This Row],[1A vs]]</f>
        <v>1</v>
      </c>
      <c r="V374" t="b">
        <f>M374=_R32Matchups[[#This Row],[1B vs]]</f>
        <v>1</v>
      </c>
      <c r="W374" t="b">
        <f>N374=_R32Matchups[[#This Row],[1D vs]]</f>
        <v>1</v>
      </c>
      <c r="X374" t="b">
        <f>O374=_R32Matchups[[#This Row],[1E vs]]</f>
        <v>1</v>
      </c>
      <c r="Y374" t="b">
        <f>P374=_R32Matchups[[#This Row],[1G vs]]</f>
        <v>1</v>
      </c>
      <c r="Z374" t="b">
        <f>Q374=_R32Matchups[[#This Row],[1I vs]]</f>
        <v>1</v>
      </c>
      <c r="AA374" t="b">
        <f>R374=_R32Matchups[[#This Row],[1K vs]]</f>
        <v>1</v>
      </c>
      <c r="AB374" t="b">
        <f>S374=_R32Matchups[[#This Row],[1L vs]]</f>
        <v>1</v>
      </c>
    </row>
    <row r="375" spans="1:28" ht="14.4">
      <c r="A375" s="2" t="s">
        <v>394</v>
      </c>
      <c r="B375" s="2" t="s">
        <v>14</v>
      </c>
      <c r="C375" s="2" t="s">
        <v>11</v>
      </c>
      <c r="D375" s="2" t="s">
        <v>65</v>
      </c>
      <c r="E375" s="2" t="s">
        <v>28</v>
      </c>
      <c r="F375" s="2" t="s">
        <v>186</v>
      </c>
      <c r="G375" s="2" t="s">
        <v>15</v>
      </c>
      <c r="H375" s="2" t="s">
        <v>16</v>
      </c>
      <c r="I375" s="2" t="s">
        <v>12</v>
      </c>
      <c r="K375" t="s">
        <v>394</v>
      </c>
      <c r="L375" t="s">
        <v>14</v>
      </c>
      <c r="M375" t="s">
        <v>11</v>
      </c>
      <c r="N375" t="s">
        <v>65</v>
      </c>
      <c r="O375" t="s">
        <v>28</v>
      </c>
      <c r="P375" t="s">
        <v>186</v>
      </c>
      <c r="Q375" t="s">
        <v>15</v>
      </c>
      <c r="R375" t="s">
        <v>16</v>
      </c>
      <c r="S375" t="s">
        <v>12</v>
      </c>
      <c r="U375" t="b">
        <f>L375=_R32Matchups[[#This Row],[1A vs]]</f>
        <v>1</v>
      </c>
      <c r="V375" t="b">
        <f>M375=_R32Matchups[[#This Row],[1B vs]]</f>
        <v>1</v>
      </c>
      <c r="W375" t="b">
        <f>N375=_R32Matchups[[#This Row],[1D vs]]</f>
        <v>1</v>
      </c>
      <c r="X375" t="b">
        <f>O375=_R32Matchups[[#This Row],[1E vs]]</f>
        <v>1</v>
      </c>
      <c r="Y375" t="b">
        <f>P375=_R32Matchups[[#This Row],[1G vs]]</f>
        <v>1</v>
      </c>
      <c r="Z375" t="b">
        <f>Q375=_R32Matchups[[#This Row],[1I vs]]</f>
        <v>1</v>
      </c>
      <c r="AA375" t="b">
        <f>R375=_R32Matchups[[#This Row],[1K vs]]</f>
        <v>1</v>
      </c>
      <c r="AB375" t="b">
        <f>S375=_R32Matchups[[#This Row],[1L vs]]</f>
        <v>1</v>
      </c>
    </row>
    <row r="376" spans="1:28" ht="14.4">
      <c r="A376" s="2" t="s">
        <v>395</v>
      </c>
      <c r="B376" s="2" t="s">
        <v>14</v>
      </c>
      <c r="C376" s="2" t="s">
        <v>11</v>
      </c>
      <c r="D376" s="2" t="s">
        <v>65</v>
      </c>
      <c r="E376" s="2" t="s">
        <v>28</v>
      </c>
      <c r="F376" s="2" t="s">
        <v>186</v>
      </c>
      <c r="G376" s="2" t="s">
        <v>15</v>
      </c>
      <c r="H376" s="2" t="s">
        <v>12</v>
      </c>
      <c r="I376" s="2" t="s">
        <v>17</v>
      </c>
      <c r="K376" t="s">
        <v>395</v>
      </c>
      <c r="L376" t="s">
        <v>14</v>
      </c>
      <c r="M376" t="s">
        <v>11</v>
      </c>
      <c r="N376" t="s">
        <v>65</v>
      </c>
      <c r="O376" t="s">
        <v>28</v>
      </c>
      <c r="P376" t="s">
        <v>186</v>
      </c>
      <c r="Q376" t="s">
        <v>15</v>
      </c>
      <c r="R376" t="s">
        <v>12</v>
      </c>
      <c r="S376" t="s">
        <v>17</v>
      </c>
      <c r="U376" t="b">
        <f>L376=_R32Matchups[[#This Row],[1A vs]]</f>
        <v>1</v>
      </c>
      <c r="V376" t="b">
        <f>M376=_R32Matchups[[#This Row],[1B vs]]</f>
        <v>1</v>
      </c>
      <c r="W376" t="b">
        <f>N376=_R32Matchups[[#This Row],[1D vs]]</f>
        <v>1</v>
      </c>
      <c r="X376" t="b">
        <f>O376=_R32Matchups[[#This Row],[1E vs]]</f>
        <v>1</v>
      </c>
      <c r="Y376" t="b">
        <f>P376=_R32Matchups[[#This Row],[1G vs]]</f>
        <v>1</v>
      </c>
      <c r="Z376" t="b">
        <f>Q376=_R32Matchups[[#This Row],[1I vs]]</f>
        <v>1</v>
      </c>
      <c r="AA376" t="b">
        <f>R376=_R32Matchups[[#This Row],[1K vs]]</f>
        <v>1</v>
      </c>
      <c r="AB376" t="b">
        <f>S376=_R32Matchups[[#This Row],[1L vs]]</f>
        <v>1</v>
      </c>
    </row>
    <row r="377" spans="1:28" ht="14.4">
      <c r="A377" s="2" t="s">
        <v>396</v>
      </c>
      <c r="B377" s="2" t="s">
        <v>12</v>
      </c>
      <c r="C377" s="2" t="s">
        <v>11</v>
      </c>
      <c r="D377" s="2" t="s">
        <v>65</v>
      </c>
      <c r="E377" s="2" t="s">
        <v>28</v>
      </c>
      <c r="F377" s="2" t="s">
        <v>186</v>
      </c>
      <c r="G377" s="2" t="s">
        <v>13</v>
      </c>
      <c r="H377" s="2" t="s">
        <v>16</v>
      </c>
      <c r="I377" s="2" t="s">
        <v>17</v>
      </c>
      <c r="K377" t="s">
        <v>396</v>
      </c>
      <c r="L377" t="s">
        <v>12</v>
      </c>
      <c r="M377" t="s">
        <v>11</v>
      </c>
      <c r="N377" t="s">
        <v>65</v>
      </c>
      <c r="O377" t="s">
        <v>28</v>
      </c>
      <c r="P377" t="s">
        <v>186</v>
      </c>
      <c r="Q377" t="s">
        <v>13</v>
      </c>
      <c r="R377" t="s">
        <v>16</v>
      </c>
      <c r="S377" t="s">
        <v>17</v>
      </c>
      <c r="U377" t="b">
        <f>L377=_R32Matchups[[#This Row],[1A vs]]</f>
        <v>1</v>
      </c>
      <c r="V377" t="b">
        <f>M377=_R32Matchups[[#This Row],[1B vs]]</f>
        <v>1</v>
      </c>
      <c r="W377" t="b">
        <f>N377=_R32Matchups[[#This Row],[1D vs]]</f>
        <v>1</v>
      </c>
      <c r="X377" t="b">
        <f>O377=_R32Matchups[[#This Row],[1E vs]]</f>
        <v>1</v>
      </c>
      <c r="Y377" t="b">
        <f>P377=_R32Matchups[[#This Row],[1G vs]]</f>
        <v>1</v>
      </c>
      <c r="Z377" t="b">
        <f>Q377=_R32Matchups[[#This Row],[1I vs]]</f>
        <v>1</v>
      </c>
      <c r="AA377" t="b">
        <f>R377=_R32Matchups[[#This Row],[1K vs]]</f>
        <v>1</v>
      </c>
      <c r="AB377" t="b">
        <f>S377=_R32Matchups[[#This Row],[1L vs]]</f>
        <v>1</v>
      </c>
    </row>
    <row r="378" spans="1:28" ht="14.4">
      <c r="A378" s="2" t="s">
        <v>397</v>
      </c>
      <c r="B378" s="2" t="s">
        <v>14</v>
      </c>
      <c r="C378" s="2" t="s">
        <v>11</v>
      </c>
      <c r="D378" s="2" t="s">
        <v>65</v>
      </c>
      <c r="E378" s="2" t="s">
        <v>28</v>
      </c>
      <c r="F378" s="2" t="s">
        <v>186</v>
      </c>
      <c r="G378" s="2" t="s">
        <v>13</v>
      </c>
      <c r="H378" s="2" t="s">
        <v>16</v>
      </c>
      <c r="I378" s="2" t="s">
        <v>17</v>
      </c>
      <c r="K378" t="s">
        <v>397</v>
      </c>
      <c r="L378" t="s">
        <v>14</v>
      </c>
      <c r="M378" t="s">
        <v>11</v>
      </c>
      <c r="N378" t="s">
        <v>65</v>
      </c>
      <c r="O378" t="s">
        <v>28</v>
      </c>
      <c r="P378" t="s">
        <v>186</v>
      </c>
      <c r="Q378" t="s">
        <v>13</v>
      </c>
      <c r="R378" t="s">
        <v>16</v>
      </c>
      <c r="S378" t="s">
        <v>17</v>
      </c>
      <c r="U378" t="b">
        <f>L378=_R32Matchups[[#This Row],[1A vs]]</f>
        <v>1</v>
      </c>
      <c r="V378" t="b">
        <f>M378=_R32Matchups[[#This Row],[1B vs]]</f>
        <v>1</v>
      </c>
      <c r="W378" t="b">
        <f>N378=_R32Matchups[[#This Row],[1D vs]]</f>
        <v>1</v>
      </c>
      <c r="X378" t="b">
        <f>O378=_R32Matchups[[#This Row],[1E vs]]</f>
        <v>1</v>
      </c>
      <c r="Y378" t="b">
        <f>P378=_R32Matchups[[#This Row],[1G vs]]</f>
        <v>1</v>
      </c>
      <c r="Z378" t="b">
        <f>Q378=_R32Matchups[[#This Row],[1I vs]]</f>
        <v>1</v>
      </c>
      <c r="AA378" t="b">
        <f>R378=_R32Matchups[[#This Row],[1K vs]]</f>
        <v>1</v>
      </c>
      <c r="AB378" t="b">
        <f>S378=_R32Matchups[[#This Row],[1L vs]]</f>
        <v>1</v>
      </c>
    </row>
    <row r="379" spans="1:28" ht="14.4">
      <c r="A379" s="2" t="s">
        <v>398</v>
      </c>
      <c r="B379" s="2" t="s">
        <v>14</v>
      </c>
      <c r="C379" s="2" t="s">
        <v>12</v>
      </c>
      <c r="D379" s="2" t="s">
        <v>65</v>
      </c>
      <c r="E379" s="2" t="s">
        <v>28</v>
      </c>
      <c r="F379" s="2" t="s">
        <v>186</v>
      </c>
      <c r="G379" s="2" t="s">
        <v>13</v>
      </c>
      <c r="H379" s="2" t="s">
        <v>16</v>
      </c>
      <c r="I379" s="2" t="s">
        <v>17</v>
      </c>
      <c r="K379" t="s">
        <v>398</v>
      </c>
      <c r="L379" t="s">
        <v>14</v>
      </c>
      <c r="M379" t="s">
        <v>12</v>
      </c>
      <c r="N379" t="s">
        <v>65</v>
      </c>
      <c r="O379" t="s">
        <v>28</v>
      </c>
      <c r="P379" t="s">
        <v>186</v>
      </c>
      <c r="Q379" t="s">
        <v>13</v>
      </c>
      <c r="R379" t="s">
        <v>16</v>
      </c>
      <c r="S379" t="s">
        <v>17</v>
      </c>
      <c r="U379" t="b">
        <f>L379=_R32Matchups[[#This Row],[1A vs]]</f>
        <v>1</v>
      </c>
      <c r="V379" t="b">
        <f>M379=_R32Matchups[[#This Row],[1B vs]]</f>
        <v>1</v>
      </c>
      <c r="W379" t="b">
        <f>N379=_R32Matchups[[#This Row],[1D vs]]</f>
        <v>1</v>
      </c>
      <c r="X379" t="b">
        <f>O379=_R32Matchups[[#This Row],[1E vs]]</f>
        <v>1</v>
      </c>
      <c r="Y379" t="b">
        <f>P379=_R32Matchups[[#This Row],[1G vs]]</f>
        <v>1</v>
      </c>
      <c r="Z379" t="b">
        <f>Q379=_R32Matchups[[#This Row],[1I vs]]</f>
        <v>1</v>
      </c>
      <c r="AA379" t="b">
        <f>R379=_R32Matchups[[#This Row],[1K vs]]</f>
        <v>1</v>
      </c>
      <c r="AB379" t="b">
        <f>S379=_R32Matchups[[#This Row],[1L vs]]</f>
        <v>1</v>
      </c>
    </row>
    <row r="380" spans="1:28" ht="14.4">
      <c r="A380" s="2" t="s">
        <v>399</v>
      </c>
      <c r="B380" s="2" t="s">
        <v>14</v>
      </c>
      <c r="C380" s="2" t="s">
        <v>11</v>
      </c>
      <c r="D380" s="2" t="s">
        <v>65</v>
      </c>
      <c r="E380" s="2" t="s">
        <v>28</v>
      </c>
      <c r="F380" s="2" t="s">
        <v>186</v>
      </c>
      <c r="G380" s="2" t="s">
        <v>13</v>
      </c>
      <c r="H380" s="2" t="s">
        <v>16</v>
      </c>
      <c r="I380" s="2" t="s">
        <v>12</v>
      </c>
      <c r="K380" t="s">
        <v>399</v>
      </c>
      <c r="L380" t="s">
        <v>14</v>
      </c>
      <c r="M380" t="s">
        <v>11</v>
      </c>
      <c r="N380" t="s">
        <v>65</v>
      </c>
      <c r="O380" t="s">
        <v>28</v>
      </c>
      <c r="P380" t="s">
        <v>186</v>
      </c>
      <c r="Q380" t="s">
        <v>13</v>
      </c>
      <c r="R380" t="s">
        <v>16</v>
      </c>
      <c r="S380" t="s">
        <v>12</v>
      </c>
      <c r="U380" t="b">
        <f>L380=_R32Matchups[[#This Row],[1A vs]]</f>
        <v>1</v>
      </c>
      <c r="V380" t="b">
        <f>M380=_R32Matchups[[#This Row],[1B vs]]</f>
        <v>1</v>
      </c>
      <c r="W380" t="b">
        <f>N380=_R32Matchups[[#This Row],[1D vs]]</f>
        <v>1</v>
      </c>
      <c r="X380" t="b">
        <f>O380=_R32Matchups[[#This Row],[1E vs]]</f>
        <v>1</v>
      </c>
      <c r="Y380" t="b">
        <f>P380=_R32Matchups[[#This Row],[1G vs]]</f>
        <v>1</v>
      </c>
      <c r="Z380" t="b">
        <f>Q380=_R32Matchups[[#This Row],[1I vs]]</f>
        <v>1</v>
      </c>
      <c r="AA380" t="b">
        <f>R380=_R32Matchups[[#This Row],[1K vs]]</f>
        <v>1</v>
      </c>
      <c r="AB380" t="b">
        <f>S380=_R32Matchups[[#This Row],[1L vs]]</f>
        <v>1</v>
      </c>
    </row>
    <row r="381" spans="1:28" ht="14.4">
      <c r="A381" s="2" t="s">
        <v>400</v>
      </c>
      <c r="B381" s="2" t="s">
        <v>14</v>
      </c>
      <c r="C381" s="2" t="s">
        <v>11</v>
      </c>
      <c r="D381" s="2" t="s">
        <v>65</v>
      </c>
      <c r="E381" s="2" t="s">
        <v>28</v>
      </c>
      <c r="F381" s="2" t="s">
        <v>186</v>
      </c>
      <c r="G381" s="2" t="s">
        <v>13</v>
      </c>
      <c r="H381" s="2" t="s">
        <v>12</v>
      </c>
      <c r="I381" s="2" t="s">
        <v>17</v>
      </c>
      <c r="K381" t="s">
        <v>400</v>
      </c>
      <c r="L381" t="s">
        <v>14</v>
      </c>
      <c r="M381" t="s">
        <v>11</v>
      </c>
      <c r="N381" t="s">
        <v>65</v>
      </c>
      <c r="O381" t="s">
        <v>28</v>
      </c>
      <c r="P381" t="s">
        <v>186</v>
      </c>
      <c r="Q381" t="s">
        <v>13</v>
      </c>
      <c r="R381" t="s">
        <v>12</v>
      </c>
      <c r="S381" t="s">
        <v>17</v>
      </c>
      <c r="U381" t="b">
        <f>L381=_R32Matchups[[#This Row],[1A vs]]</f>
        <v>1</v>
      </c>
      <c r="V381" t="b">
        <f>M381=_R32Matchups[[#This Row],[1B vs]]</f>
        <v>1</v>
      </c>
      <c r="W381" t="b">
        <f>N381=_R32Matchups[[#This Row],[1D vs]]</f>
        <v>1</v>
      </c>
      <c r="X381" t="b">
        <f>O381=_R32Matchups[[#This Row],[1E vs]]</f>
        <v>1</v>
      </c>
      <c r="Y381" t="b">
        <f>P381=_R32Matchups[[#This Row],[1G vs]]</f>
        <v>1</v>
      </c>
      <c r="Z381" t="b">
        <f>Q381=_R32Matchups[[#This Row],[1I vs]]</f>
        <v>1</v>
      </c>
      <c r="AA381" t="b">
        <f>R381=_R32Matchups[[#This Row],[1K vs]]</f>
        <v>1</v>
      </c>
      <c r="AB381" t="b">
        <f>S381=_R32Matchups[[#This Row],[1L vs]]</f>
        <v>1</v>
      </c>
    </row>
    <row r="382" spans="1:28" ht="14.4">
      <c r="A382" s="2" t="s">
        <v>401</v>
      </c>
      <c r="B382" s="2" t="s">
        <v>28</v>
      </c>
      <c r="C382" s="2" t="s">
        <v>11</v>
      </c>
      <c r="D382" s="2" t="s">
        <v>65</v>
      </c>
      <c r="E382" s="2" t="s">
        <v>13</v>
      </c>
      <c r="F382" s="2" t="s">
        <v>186</v>
      </c>
      <c r="G382" s="2" t="s">
        <v>15</v>
      </c>
      <c r="H382" s="2" t="s">
        <v>16</v>
      </c>
      <c r="I382" s="2" t="s">
        <v>17</v>
      </c>
      <c r="K382" t="s">
        <v>401</v>
      </c>
      <c r="L382" t="s">
        <v>28</v>
      </c>
      <c r="M382" t="s">
        <v>11</v>
      </c>
      <c r="N382" t="s">
        <v>65</v>
      </c>
      <c r="O382" t="s">
        <v>13</v>
      </c>
      <c r="P382" t="s">
        <v>186</v>
      </c>
      <c r="Q382" t="s">
        <v>15</v>
      </c>
      <c r="R382" t="s">
        <v>16</v>
      </c>
      <c r="S382" t="s">
        <v>17</v>
      </c>
      <c r="U382" t="b">
        <f>L382=_R32Matchups[[#This Row],[1A vs]]</f>
        <v>1</v>
      </c>
      <c r="V382" t="b">
        <f>M382=_R32Matchups[[#This Row],[1B vs]]</f>
        <v>1</v>
      </c>
      <c r="W382" t="b">
        <f>N382=_R32Matchups[[#This Row],[1D vs]]</f>
        <v>1</v>
      </c>
      <c r="X382" t="b">
        <f>O382=_R32Matchups[[#This Row],[1E vs]]</f>
        <v>1</v>
      </c>
      <c r="Y382" t="b">
        <f>P382=_R32Matchups[[#This Row],[1G vs]]</f>
        <v>1</v>
      </c>
      <c r="Z382" t="b">
        <f>Q382=_R32Matchups[[#This Row],[1I vs]]</f>
        <v>1</v>
      </c>
      <c r="AA382" t="b">
        <f>R382=_R32Matchups[[#This Row],[1K vs]]</f>
        <v>1</v>
      </c>
      <c r="AB382" t="b">
        <f>S382=_R32Matchups[[#This Row],[1L vs]]</f>
        <v>1</v>
      </c>
    </row>
    <row r="383" spans="1:28" ht="14.4">
      <c r="A383" s="2" t="s">
        <v>402</v>
      </c>
      <c r="B383" s="2" t="s">
        <v>12</v>
      </c>
      <c r="C383" s="2" t="s">
        <v>15</v>
      </c>
      <c r="D383" s="2" t="s">
        <v>65</v>
      </c>
      <c r="E383" s="2" t="s">
        <v>28</v>
      </c>
      <c r="F383" s="2" t="s">
        <v>186</v>
      </c>
      <c r="G383" s="2" t="s">
        <v>13</v>
      </c>
      <c r="H383" s="2" t="s">
        <v>16</v>
      </c>
      <c r="I383" s="2" t="s">
        <v>17</v>
      </c>
      <c r="K383" t="s">
        <v>402</v>
      </c>
      <c r="L383" t="s">
        <v>12</v>
      </c>
      <c r="M383" t="s">
        <v>15</v>
      </c>
      <c r="N383" t="s">
        <v>65</v>
      </c>
      <c r="O383" t="s">
        <v>28</v>
      </c>
      <c r="P383" t="s">
        <v>186</v>
      </c>
      <c r="Q383" t="s">
        <v>13</v>
      </c>
      <c r="R383" t="s">
        <v>16</v>
      </c>
      <c r="S383" t="s">
        <v>17</v>
      </c>
      <c r="U383" t="b">
        <f>L383=_R32Matchups[[#This Row],[1A vs]]</f>
        <v>1</v>
      </c>
      <c r="V383" t="b">
        <f>M383=_R32Matchups[[#This Row],[1B vs]]</f>
        <v>1</v>
      </c>
      <c r="W383" t="b">
        <f>N383=_R32Matchups[[#This Row],[1D vs]]</f>
        <v>1</v>
      </c>
      <c r="X383" t="b">
        <f>O383=_R32Matchups[[#This Row],[1E vs]]</f>
        <v>1</v>
      </c>
      <c r="Y383" t="b">
        <f>P383=_R32Matchups[[#This Row],[1G vs]]</f>
        <v>1</v>
      </c>
      <c r="Z383" t="b">
        <f>Q383=_R32Matchups[[#This Row],[1I vs]]</f>
        <v>1</v>
      </c>
      <c r="AA383" t="b">
        <f>R383=_R32Matchups[[#This Row],[1K vs]]</f>
        <v>1</v>
      </c>
      <c r="AB383" t="b">
        <f>S383=_R32Matchups[[#This Row],[1L vs]]</f>
        <v>1</v>
      </c>
    </row>
    <row r="384" spans="1:28" ht="14.4">
      <c r="A384" s="2" t="s">
        <v>403</v>
      </c>
      <c r="B384" s="2" t="s">
        <v>28</v>
      </c>
      <c r="C384" s="2" t="s">
        <v>11</v>
      </c>
      <c r="D384" s="2" t="s">
        <v>65</v>
      </c>
      <c r="E384" s="2" t="s">
        <v>13</v>
      </c>
      <c r="F384" s="2" t="s">
        <v>186</v>
      </c>
      <c r="G384" s="2" t="s">
        <v>15</v>
      </c>
      <c r="H384" s="2" t="s">
        <v>16</v>
      </c>
      <c r="I384" s="2" t="s">
        <v>12</v>
      </c>
      <c r="K384" t="s">
        <v>403</v>
      </c>
      <c r="L384" t="s">
        <v>28</v>
      </c>
      <c r="M384" t="s">
        <v>11</v>
      </c>
      <c r="N384" t="s">
        <v>65</v>
      </c>
      <c r="O384" t="s">
        <v>13</v>
      </c>
      <c r="P384" t="s">
        <v>186</v>
      </c>
      <c r="Q384" t="s">
        <v>15</v>
      </c>
      <c r="R384" t="s">
        <v>16</v>
      </c>
      <c r="S384" t="s">
        <v>12</v>
      </c>
      <c r="U384" t="b">
        <f>L384=_R32Matchups[[#This Row],[1A vs]]</f>
        <v>1</v>
      </c>
      <c r="V384" t="b">
        <f>M384=_R32Matchups[[#This Row],[1B vs]]</f>
        <v>1</v>
      </c>
      <c r="W384" t="b">
        <f>N384=_R32Matchups[[#This Row],[1D vs]]</f>
        <v>1</v>
      </c>
      <c r="X384" t="b">
        <f>O384=_R32Matchups[[#This Row],[1E vs]]</f>
        <v>1</v>
      </c>
      <c r="Y384" t="b">
        <f>P384=_R32Matchups[[#This Row],[1G vs]]</f>
        <v>1</v>
      </c>
      <c r="Z384" t="b">
        <f>Q384=_R32Matchups[[#This Row],[1I vs]]</f>
        <v>1</v>
      </c>
      <c r="AA384" t="b">
        <f>R384=_R32Matchups[[#This Row],[1K vs]]</f>
        <v>1</v>
      </c>
      <c r="AB384" t="b">
        <f>S384=_R32Matchups[[#This Row],[1L vs]]</f>
        <v>1</v>
      </c>
    </row>
    <row r="385" spans="1:28" ht="14.4">
      <c r="A385" s="2" t="s">
        <v>404</v>
      </c>
      <c r="B385" s="2" t="s">
        <v>28</v>
      </c>
      <c r="C385" s="2" t="s">
        <v>11</v>
      </c>
      <c r="D385" s="2" t="s">
        <v>65</v>
      </c>
      <c r="E385" s="2" t="s">
        <v>13</v>
      </c>
      <c r="F385" s="2" t="s">
        <v>186</v>
      </c>
      <c r="G385" s="2" t="s">
        <v>15</v>
      </c>
      <c r="H385" s="2" t="s">
        <v>12</v>
      </c>
      <c r="I385" s="2" t="s">
        <v>17</v>
      </c>
      <c r="K385" t="s">
        <v>404</v>
      </c>
      <c r="L385" t="s">
        <v>28</v>
      </c>
      <c r="M385" t="s">
        <v>11</v>
      </c>
      <c r="N385" t="s">
        <v>65</v>
      </c>
      <c r="O385" t="s">
        <v>13</v>
      </c>
      <c r="P385" t="s">
        <v>186</v>
      </c>
      <c r="Q385" t="s">
        <v>15</v>
      </c>
      <c r="R385" t="s">
        <v>12</v>
      </c>
      <c r="S385" t="s">
        <v>17</v>
      </c>
      <c r="U385" t="b">
        <f>L385=_R32Matchups[[#This Row],[1A vs]]</f>
        <v>1</v>
      </c>
      <c r="V385" t="b">
        <f>M385=_R32Matchups[[#This Row],[1B vs]]</f>
        <v>1</v>
      </c>
      <c r="W385" t="b">
        <f>N385=_R32Matchups[[#This Row],[1D vs]]</f>
        <v>1</v>
      </c>
      <c r="X385" t="b">
        <f>O385=_R32Matchups[[#This Row],[1E vs]]</f>
        <v>1</v>
      </c>
      <c r="Y385" t="b">
        <f>P385=_R32Matchups[[#This Row],[1G vs]]</f>
        <v>1</v>
      </c>
      <c r="Z385" t="b">
        <f>Q385=_R32Matchups[[#This Row],[1I vs]]</f>
        <v>1</v>
      </c>
      <c r="AA385" t="b">
        <f>R385=_R32Matchups[[#This Row],[1K vs]]</f>
        <v>1</v>
      </c>
      <c r="AB385" t="b">
        <f>S385=_R32Matchups[[#This Row],[1L vs]]</f>
        <v>1</v>
      </c>
    </row>
    <row r="386" spans="1:28" ht="14.4">
      <c r="A386" s="2" t="s">
        <v>405</v>
      </c>
      <c r="B386" s="2" t="s">
        <v>14</v>
      </c>
      <c r="C386" s="2" t="s">
        <v>15</v>
      </c>
      <c r="D386" s="2" t="s">
        <v>65</v>
      </c>
      <c r="E386" s="2" t="s">
        <v>28</v>
      </c>
      <c r="F386" s="2" t="s">
        <v>186</v>
      </c>
      <c r="G386" s="2" t="s">
        <v>13</v>
      </c>
      <c r="H386" s="2" t="s">
        <v>16</v>
      </c>
      <c r="I386" s="2" t="s">
        <v>17</v>
      </c>
      <c r="K386" t="s">
        <v>405</v>
      </c>
      <c r="L386" t="s">
        <v>14</v>
      </c>
      <c r="M386" t="s">
        <v>15</v>
      </c>
      <c r="N386" t="s">
        <v>65</v>
      </c>
      <c r="O386" t="s">
        <v>28</v>
      </c>
      <c r="P386" t="s">
        <v>186</v>
      </c>
      <c r="Q386" t="s">
        <v>13</v>
      </c>
      <c r="R386" t="s">
        <v>16</v>
      </c>
      <c r="S386" t="s">
        <v>17</v>
      </c>
      <c r="U386" t="b">
        <f>L386=_R32Matchups[[#This Row],[1A vs]]</f>
        <v>1</v>
      </c>
      <c r="V386" t="b">
        <f>M386=_R32Matchups[[#This Row],[1B vs]]</f>
        <v>1</v>
      </c>
      <c r="W386" t="b">
        <f>N386=_R32Matchups[[#This Row],[1D vs]]</f>
        <v>1</v>
      </c>
      <c r="X386" t="b">
        <f>O386=_R32Matchups[[#This Row],[1E vs]]</f>
        <v>1</v>
      </c>
      <c r="Y386" t="b">
        <f>P386=_R32Matchups[[#This Row],[1G vs]]</f>
        <v>1</v>
      </c>
      <c r="Z386" t="b">
        <f>Q386=_R32Matchups[[#This Row],[1I vs]]</f>
        <v>1</v>
      </c>
      <c r="AA386" t="b">
        <f>R386=_R32Matchups[[#This Row],[1K vs]]</f>
        <v>1</v>
      </c>
      <c r="AB386" t="b">
        <f>S386=_R32Matchups[[#This Row],[1L vs]]</f>
        <v>1</v>
      </c>
    </row>
    <row r="387" spans="1:28" ht="14.4">
      <c r="A387" s="2" t="s">
        <v>406</v>
      </c>
      <c r="B387" s="2" t="s">
        <v>14</v>
      </c>
      <c r="C387" s="2" t="s">
        <v>15</v>
      </c>
      <c r="D387" s="2" t="s">
        <v>65</v>
      </c>
      <c r="E387" s="2" t="s">
        <v>28</v>
      </c>
      <c r="F387" s="2" t="s">
        <v>186</v>
      </c>
      <c r="G387" s="2" t="s">
        <v>13</v>
      </c>
      <c r="H387" s="2" t="s">
        <v>16</v>
      </c>
      <c r="I387" s="2" t="s">
        <v>11</v>
      </c>
      <c r="K387" t="s">
        <v>406</v>
      </c>
      <c r="L387" t="s">
        <v>14</v>
      </c>
      <c r="M387" t="s">
        <v>15</v>
      </c>
      <c r="N387" t="s">
        <v>65</v>
      </c>
      <c r="O387" t="s">
        <v>28</v>
      </c>
      <c r="P387" t="s">
        <v>186</v>
      </c>
      <c r="Q387" t="s">
        <v>13</v>
      </c>
      <c r="R387" t="s">
        <v>16</v>
      </c>
      <c r="S387" t="s">
        <v>11</v>
      </c>
      <c r="U387" t="b">
        <f>L387=_R32Matchups[[#This Row],[1A vs]]</f>
        <v>1</v>
      </c>
      <c r="V387" t="b">
        <f>M387=_R32Matchups[[#This Row],[1B vs]]</f>
        <v>1</v>
      </c>
      <c r="W387" t="b">
        <f>N387=_R32Matchups[[#This Row],[1D vs]]</f>
        <v>1</v>
      </c>
      <c r="X387" t="b">
        <f>O387=_R32Matchups[[#This Row],[1E vs]]</f>
        <v>1</v>
      </c>
      <c r="Y387" t="b">
        <f>P387=_R32Matchups[[#This Row],[1G vs]]</f>
        <v>1</v>
      </c>
      <c r="Z387" t="b">
        <f>Q387=_R32Matchups[[#This Row],[1I vs]]</f>
        <v>1</v>
      </c>
      <c r="AA387" t="b">
        <f>R387=_R32Matchups[[#This Row],[1K vs]]</f>
        <v>1</v>
      </c>
      <c r="AB387" t="b">
        <f>S387=_R32Matchups[[#This Row],[1L vs]]</f>
        <v>1</v>
      </c>
    </row>
    <row r="388" spans="1:28" ht="14.4">
      <c r="A388" s="2" t="s">
        <v>407</v>
      </c>
      <c r="B388" s="2" t="s">
        <v>14</v>
      </c>
      <c r="C388" s="2" t="s">
        <v>15</v>
      </c>
      <c r="D388" s="2" t="s">
        <v>65</v>
      </c>
      <c r="E388" s="2" t="s">
        <v>28</v>
      </c>
      <c r="F388" s="2" t="s">
        <v>186</v>
      </c>
      <c r="G388" s="2" t="s">
        <v>13</v>
      </c>
      <c r="H388" s="2" t="s">
        <v>11</v>
      </c>
      <c r="I388" s="2" t="s">
        <v>17</v>
      </c>
      <c r="K388" t="s">
        <v>407</v>
      </c>
      <c r="L388" t="s">
        <v>14</v>
      </c>
      <c r="M388" t="s">
        <v>15</v>
      </c>
      <c r="N388" t="s">
        <v>65</v>
      </c>
      <c r="O388" t="s">
        <v>28</v>
      </c>
      <c r="P388" t="s">
        <v>186</v>
      </c>
      <c r="Q388" t="s">
        <v>13</v>
      </c>
      <c r="R388" t="s">
        <v>11</v>
      </c>
      <c r="S388" t="s">
        <v>17</v>
      </c>
      <c r="U388" t="b">
        <f>L388=_R32Matchups[[#This Row],[1A vs]]</f>
        <v>1</v>
      </c>
      <c r="V388" t="b">
        <f>M388=_R32Matchups[[#This Row],[1B vs]]</f>
        <v>1</v>
      </c>
      <c r="W388" t="b">
        <f>N388=_R32Matchups[[#This Row],[1D vs]]</f>
        <v>1</v>
      </c>
      <c r="X388" t="b">
        <f>O388=_R32Matchups[[#This Row],[1E vs]]</f>
        <v>1</v>
      </c>
      <c r="Y388" t="b">
        <f>P388=_R32Matchups[[#This Row],[1G vs]]</f>
        <v>1</v>
      </c>
      <c r="Z388" t="b">
        <f>Q388=_R32Matchups[[#This Row],[1I vs]]</f>
        <v>1</v>
      </c>
      <c r="AA388" t="b">
        <f>R388=_R32Matchups[[#This Row],[1K vs]]</f>
        <v>1</v>
      </c>
      <c r="AB388" t="b">
        <f>S388=_R32Matchups[[#This Row],[1L vs]]</f>
        <v>1</v>
      </c>
    </row>
    <row r="389" spans="1:28" ht="14.4">
      <c r="A389" s="2" t="s">
        <v>408</v>
      </c>
      <c r="B389" s="2" t="s">
        <v>14</v>
      </c>
      <c r="C389" s="2" t="s">
        <v>15</v>
      </c>
      <c r="D389" s="2" t="s">
        <v>65</v>
      </c>
      <c r="E389" s="2" t="s">
        <v>28</v>
      </c>
      <c r="F389" s="2" t="s">
        <v>186</v>
      </c>
      <c r="G389" s="2" t="s">
        <v>13</v>
      </c>
      <c r="H389" s="2" t="s">
        <v>16</v>
      </c>
      <c r="I389" s="2" t="s">
        <v>12</v>
      </c>
      <c r="K389" t="s">
        <v>408</v>
      </c>
      <c r="L389" t="s">
        <v>14</v>
      </c>
      <c r="M389" t="s">
        <v>15</v>
      </c>
      <c r="N389" t="s">
        <v>65</v>
      </c>
      <c r="O389" t="s">
        <v>28</v>
      </c>
      <c r="P389" t="s">
        <v>186</v>
      </c>
      <c r="Q389" t="s">
        <v>13</v>
      </c>
      <c r="R389" t="s">
        <v>16</v>
      </c>
      <c r="S389" t="s">
        <v>12</v>
      </c>
      <c r="U389" t="b">
        <f>L389=_R32Matchups[[#This Row],[1A vs]]</f>
        <v>1</v>
      </c>
      <c r="V389" t="b">
        <f>M389=_R32Matchups[[#This Row],[1B vs]]</f>
        <v>1</v>
      </c>
      <c r="W389" t="b">
        <f>N389=_R32Matchups[[#This Row],[1D vs]]</f>
        <v>1</v>
      </c>
      <c r="X389" t="b">
        <f>O389=_R32Matchups[[#This Row],[1E vs]]</f>
        <v>1</v>
      </c>
      <c r="Y389" t="b">
        <f>P389=_R32Matchups[[#This Row],[1G vs]]</f>
        <v>1</v>
      </c>
      <c r="Z389" t="b">
        <f>Q389=_R32Matchups[[#This Row],[1I vs]]</f>
        <v>1</v>
      </c>
      <c r="AA389" t="b">
        <f>R389=_R32Matchups[[#This Row],[1K vs]]</f>
        <v>1</v>
      </c>
      <c r="AB389" t="b">
        <f>S389=_R32Matchups[[#This Row],[1L vs]]</f>
        <v>1</v>
      </c>
    </row>
    <row r="390" spans="1:28" ht="14.4">
      <c r="A390" s="2" t="s">
        <v>409</v>
      </c>
      <c r="B390" s="2" t="s">
        <v>14</v>
      </c>
      <c r="C390" s="2" t="s">
        <v>15</v>
      </c>
      <c r="D390" s="2" t="s">
        <v>65</v>
      </c>
      <c r="E390" s="2" t="s">
        <v>28</v>
      </c>
      <c r="F390" s="2" t="s">
        <v>186</v>
      </c>
      <c r="G390" s="2" t="s">
        <v>13</v>
      </c>
      <c r="H390" s="2" t="s">
        <v>12</v>
      </c>
      <c r="I390" s="2" t="s">
        <v>17</v>
      </c>
      <c r="K390" t="s">
        <v>409</v>
      </c>
      <c r="L390" t="s">
        <v>14</v>
      </c>
      <c r="M390" t="s">
        <v>15</v>
      </c>
      <c r="N390" t="s">
        <v>65</v>
      </c>
      <c r="O390" t="s">
        <v>28</v>
      </c>
      <c r="P390" t="s">
        <v>186</v>
      </c>
      <c r="Q390" t="s">
        <v>13</v>
      </c>
      <c r="R390" t="s">
        <v>12</v>
      </c>
      <c r="S390" t="s">
        <v>17</v>
      </c>
      <c r="U390" t="b">
        <f>L390=_R32Matchups[[#This Row],[1A vs]]</f>
        <v>1</v>
      </c>
      <c r="V390" t="b">
        <f>M390=_R32Matchups[[#This Row],[1B vs]]</f>
        <v>1</v>
      </c>
      <c r="W390" t="b">
        <f>N390=_R32Matchups[[#This Row],[1D vs]]</f>
        <v>1</v>
      </c>
      <c r="X390" t="b">
        <f>O390=_R32Matchups[[#This Row],[1E vs]]</f>
        <v>1</v>
      </c>
      <c r="Y390" t="b">
        <f>P390=_R32Matchups[[#This Row],[1G vs]]</f>
        <v>1</v>
      </c>
      <c r="Z390" t="b">
        <f>Q390=_R32Matchups[[#This Row],[1I vs]]</f>
        <v>1</v>
      </c>
      <c r="AA390" t="b">
        <f>R390=_R32Matchups[[#This Row],[1K vs]]</f>
        <v>1</v>
      </c>
      <c r="AB390" t="b">
        <f>S390=_R32Matchups[[#This Row],[1L vs]]</f>
        <v>1</v>
      </c>
    </row>
    <row r="391" spans="1:28" ht="14.4">
      <c r="A391" s="2" t="s">
        <v>410</v>
      </c>
      <c r="B391" s="2" t="s">
        <v>14</v>
      </c>
      <c r="C391" s="2" t="s">
        <v>15</v>
      </c>
      <c r="D391" s="2" t="s">
        <v>65</v>
      </c>
      <c r="E391" s="2" t="s">
        <v>28</v>
      </c>
      <c r="F391" s="2" t="s">
        <v>186</v>
      </c>
      <c r="G391" s="2" t="s">
        <v>13</v>
      </c>
      <c r="H391" s="2" t="s">
        <v>12</v>
      </c>
      <c r="I391" s="2" t="s">
        <v>11</v>
      </c>
      <c r="K391" t="s">
        <v>410</v>
      </c>
      <c r="L391" t="s">
        <v>14</v>
      </c>
      <c r="M391" t="s">
        <v>15</v>
      </c>
      <c r="N391" t="s">
        <v>65</v>
      </c>
      <c r="O391" t="s">
        <v>28</v>
      </c>
      <c r="P391" t="s">
        <v>186</v>
      </c>
      <c r="Q391" t="s">
        <v>13</v>
      </c>
      <c r="R391" t="s">
        <v>12</v>
      </c>
      <c r="S391" t="s">
        <v>11</v>
      </c>
      <c r="U391" t="b">
        <f>L391=_R32Matchups[[#This Row],[1A vs]]</f>
        <v>1</v>
      </c>
      <c r="V391" t="b">
        <f>M391=_R32Matchups[[#This Row],[1B vs]]</f>
        <v>1</v>
      </c>
      <c r="W391" t="b">
        <f>N391=_R32Matchups[[#This Row],[1D vs]]</f>
        <v>1</v>
      </c>
      <c r="X391" t="b">
        <f>O391=_R32Matchups[[#This Row],[1E vs]]</f>
        <v>1</v>
      </c>
      <c r="Y391" t="b">
        <f>P391=_R32Matchups[[#This Row],[1G vs]]</f>
        <v>1</v>
      </c>
      <c r="Z391" t="b">
        <f>Q391=_R32Matchups[[#This Row],[1I vs]]</f>
        <v>1</v>
      </c>
      <c r="AA391" t="b">
        <f>R391=_R32Matchups[[#This Row],[1K vs]]</f>
        <v>1</v>
      </c>
      <c r="AB391" t="b">
        <f>S391=_R32Matchups[[#This Row],[1L vs]]</f>
        <v>1</v>
      </c>
    </row>
    <row r="392" spans="1:28" ht="14.4">
      <c r="A392" s="2" t="s">
        <v>411</v>
      </c>
      <c r="B392" s="2" t="s">
        <v>10</v>
      </c>
      <c r="C392" s="2" t="s">
        <v>11</v>
      </c>
      <c r="D392" s="2" t="s">
        <v>65</v>
      </c>
      <c r="E392" s="2" t="s">
        <v>186</v>
      </c>
      <c r="F392" s="2" t="s">
        <v>12</v>
      </c>
      <c r="G392" s="2" t="s">
        <v>28</v>
      </c>
      <c r="H392" s="2" t="s">
        <v>16</v>
      </c>
      <c r="I392" s="2" t="s">
        <v>17</v>
      </c>
      <c r="K392" t="s">
        <v>411</v>
      </c>
      <c r="L392" t="s">
        <v>10</v>
      </c>
      <c r="M392" t="s">
        <v>11</v>
      </c>
      <c r="N392" t="s">
        <v>65</v>
      </c>
      <c r="O392" t="s">
        <v>186</v>
      </c>
      <c r="P392" t="s">
        <v>12</v>
      </c>
      <c r="Q392" t="s">
        <v>28</v>
      </c>
      <c r="R392" t="s">
        <v>16</v>
      </c>
      <c r="S392" t="s">
        <v>17</v>
      </c>
      <c r="U392" t="b">
        <f>L392=_R32Matchups[[#This Row],[1A vs]]</f>
        <v>1</v>
      </c>
      <c r="V392" t="b">
        <f>M392=_R32Matchups[[#This Row],[1B vs]]</f>
        <v>1</v>
      </c>
      <c r="W392" t="b">
        <f>N392=_R32Matchups[[#This Row],[1D vs]]</f>
        <v>1</v>
      </c>
      <c r="X392" t="b">
        <f>O392=_R32Matchups[[#This Row],[1E vs]]</f>
        <v>1</v>
      </c>
      <c r="Y392" t="b">
        <f>P392=_R32Matchups[[#This Row],[1G vs]]</f>
        <v>1</v>
      </c>
      <c r="Z392" t="b">
        <f>Q392=_R32Matchups[[#This Row],[1I vs]]</f>
        <v>1</v>
      </c>
      <c r="AA392" t="b">
        <f>R392=_R32Matchups[[#This Row],[1K vs]]</f>
        <v>1</v>
      </c>
      <c r="AB392" t="b">
        <f>S392=_R32Matchups[[#This Row],[1L vs]]</f>
        <v>1</v>
      </c>
    </row>
    <row r="393" spans="1:28" ht="14.4">
      <c r="A393" s="2" t="s">
        <v>412</v>
      </c>
      <c r="B393" s="2" t="s">
        <v>10</v>
      </c>
      <c r="C393" s="2" t="s">
        <v>11</v>
      </c>
      <c r="D393" s="2" t="s">
        <v>65</v>
      </c>
      <c r="E393" s="2" t="s">
        <v>28</v>
      </c>
      <c r="F393" s="2" t="s">
        <v>186</v>
      </c>
      <c r="G393" s="2" t="s">
        <v>14</v>
      </c>
      <c r="H393" s="2" t="s">
        <v>16</v>
      </c>
      <c r="I393" s="2" t="s">
        <v>17</v>
      </c>
      <c r="K393" t="s">
        <v>412</v>
      </c>
      <c r="L393" t="s">
        <v>10</v>
      </c>
      <c r="M393" t="s">
        <v>11</v>
      </c>
      <c r="N393" t="s">
        <v>65</v>
      </c>
      <c r="O393" t="s">
        <v>28</v>
      </c>
      <c r="P393" t="s">
        <v>186</v>
      </c>
      <c r="Q393" t="s">
        <v>14</v>
      </c>
      <c r="R393" t="s">
        <v>16</v>
      </c>
      <c r="S393" t="s">
        <v>17</v>
      </c>
      <c r="U393" t="b">
        <f>L393=_R32Matchups[[#This Row],[1A vs]]</f>
        <v>1</v>
      </c>
      <c r="V393" t="b">
        <f>M393=_R32Matchups[[#This Row],[1B vs]]</f>
        <v>1</v>
      </c>
      <c r="W393" t="b">
        <f>N393=_R32Matchups[[#This Row],[1D vs]]</f>
        <v>1</v>
      </c>
      <c r="X393" t="b">
        <f>O393=_R32Matchups[[#This Row],[1E vs]]</f>
        <v>1</v>
      </c>
      <c r="Y393" t="b">
        <f>P393=_R32Matchups[[#This Row],[1G vs]]</f>
        <v>1</v>
      </c>
      <c r="Z393" t="b">
        <f>Q393=_R32Matchups[[#This Row],[1I vs]]</f>
        <v>1</v>
      </c>
      <c r="AA393" t="b">
        <f>R393=_R32Matchups[[#This Row],[1K vs]]</f>
        <v>1</v>
      </c>
      <c r="AB393" t="b">
        <f>S393=_R32Matchups[[#This Row],[1L vs]]</f>
        <v>1</v>
      </c>
    </row>
    <row r="394" spans="1:28" ht="14.4">
      <c r="A394" s="2" t="s">
        <v>413</v>
      </c>
      <c r="B394" s="2" t="s">
        <v>10</v>
      </c>
      <c r="C394" s="2" t="s">
        <v>12</v>
      </c>
      <c r="D394" s="2" t="s">
        <v>65</v>
      </c>
      <c r="E394" s="2" t="s">
        <v>28</v>
      </c>
      <c r="F394" s="2" t="s">
        <v>186</v>
      </c>
      <c r="G394" s="2" t="s">
        <v>14</v>
      </c>
      <c r="H394" s="2" t="s">
        <v>16</v>
      </c>
      <c r="I394" s="2" t="s">
        <v>17</v>
      </c>
      <c r="K394" t="s">
        <v>413</v>
      </c>
      <c r="L394" t="s">
        <v>10</v>
      </c>
      <c r="M394" t="s">
        <v>12</v>
      </c>
      <c r="N394" t="s">
        <v>65</v>
      </c>
      <c r="O394" t="s">
        <v>28</v>
      </c>
      <c r="P394" t="s">
        <v>186</v>
      </c>
      <c r="Q394" t="s">
        <v>14</v>
      </c>
      <c r="R394" t="s">
        <v>16</v>
      </c>
      <c r="S394" t="s">
        <v>17</v>
      </c>
      <c r="U394" t="b">
        <f>L394=_R32Matchups[[#This Row],[1A vs]]</f>
        <v>1</v>
      </c>
      <c r="V394" t="b">
        <f>M394=_R32Matchups[[#This Row],[1B vs]]</f>
        <v>1</v>
      </c>
      <c r="W394" t="b">
        <f>N394=_R32Matchups[[#This Row],[1D vs]]</f>
        <v>1</v>
      </c>
      <c r="X394" t="b">
        <f>O394=_R32Matchups[[#This Row],[1E vs]]</f>
        <v>1</v>
      </c>
      <c r="Y394" t="b">
        <f>P394=_R32Matchups[[#This Row],[1G vs]]</f>
        <v>1</v>
      </c>
      <c r="Z394" t="b">
        <f>Q394=_R32Matchups[[#This Row],[1I vs]]</f>
        <v>1</v>
      </c>
      <c r="AA394" t="b">
        <f>R394=_R32Matchups[[#This Row],[1K vs]]</f>
        <v>1</v>
      </c>
      <c r="AB394" t="b">
        <f>S394=_R32Matchups[[#This Row],[1L vs]]</f>
        <v>1</v>
      </c>
    </row>
    <row r="395" spans="1:28" ht="14.4">
      <c r="A395" s="2" t="s">
        <v>414</v>
      </c>
      <c r="B395" s="2" t="s">
        <v>10</v>
      </c>
      <c r="C395" s="2" t="s">
        <v>11</v>
      </c>
      <c r="D395" s="2" t="s">
        <v>65</v>
      </c>
      <c r="E395" s="2" t="s">
        <v>28</v>
      </c>
      <c r="F395" s="2" t="s">
        <v>186</v>
      </c>
      <c r="G395" s="2" t="s">
        <v>14</v>
      </c>
      <c r="H395" s="2" t="s">
        <v>16</v>
      </c>
      <c r="I395" s="2" t="s">
        <v>12</v>
      </c>
      <c r="K395" t="s">
        <v>414</v>
      </c>
      <c r="L395" t="s">
        <v>10</v>
      </c>
      <c r="M395" t="s">
        <v>11</v>
      </c>
      <c r="N395" t="s">
        <v>65</v>
      </c>
      <c r="O395" t="s">
        <v>28</v>
      </c>
      <c r="P395" t="s">
        <v>186</v>
      </c>
      <c r="Q395" t="s">
        <v>14</v>
      </c>
      <c r="R395" t="s">
        <v>16</v>
      </c>
      <c r="S395" t="s">
        <v>12</v>
      </c>
      <c r="U395" t="b">
        <f>L395=_R32Matchups[[#This Row],[1A vs]]</f>
        <v>1</v>
      </c>
      <c r="V395" t="b">
        <f>M395=_R32Matchups[[#This Row],[1B vs]]</f>
        <v>1</v>
      </c>
      <c r="W395" t="b">
        <f>N395=_R32Matchups[[#This Row],[1D vs]]</f>
        <v>1</v>
      </c>
      <c r="X395" t="b">
        <f>O395=_R32Matchups[[#This Row],[1E vs]]</f>
        <v>1</v>
      </c>
      <c r="Y395" t="b">
        <f>P395=_R32Matchups[[#This Row],[1G vs]]</f>
        <v>1</v>
      </c>
      <c r="Z395" t="b">
        <f>Q395=_R32Matchups[[#This Row],[1I vs]]</f>
        <v>1</v>
      </c>
      <c r="AA395" t="b">
        <f>R395=_R32Matchups[[#This Row],[1K vs]]</f>
        <v>1</v>
      </c>
      <c r="AB395" t="b">
        <f>S395=_R32Matchups[[#This Row],[1L vs]]</f>
        <v>1</v>
      </c>
    </row>
    <row r="396" spans="1:28" ht="14.4">
      <c r="A396" s="2" t="s">
        <v>415</v>
      </c>
      <c r="B396" s="2" t="s">
        <v>10</v>
      </c>
      <c r="C396" s="2" t="s">
        <v>11</v>
      </c>
      <c r="D396" s="2" t="s">
        <v>65</v>
      </c>
      <c r="E396" s="2" t="s">
        <v>28</v>
      </c>
      <c r="F396" s="2" t="s">
        <v>186</v>
      </c>
      <c r="G396" s="2" t="s">
        <v>14</v>
      </c>
      <c r="H396" s="2" t="s">
        <v>12</v>
      </c>
      <c r="I396" s="2" t="s">
        <v>17</v>
      </c>
      <c r="K396" t="s">
        <v>415</v>
      </c>
      <c r="L396" t="s">
        <v>10</v>
      </c>
      <c r="M396" t="s">
        <v>11</v>
      </c>
      <c r="N396" t="s">
        <v>65</v>
      </c>
      <c r="O396" t="s">
        <v>28</v>
      </c>
      <c r="P396" t="s">
        <v>186</v>
      </c>
      <c r="Q396" t="s">
        <v>14</v>
      </c>
      <c r="R396" t="s">
        <v>12</v>
      </c>
      <c r="S396" t="s">
        <v>17</v>
      </c>
      <c r="U396" t="b">
        <f>L396=_R32Matchups[[#This Row],[1A vs]]</f>
        <v>1</v>
      </c>
      <c r="V396" t="b">
        <f>M396=_R32Matchups[[#This Row],[1B vs]]</f>
        <v>1</v>
      </c>
      <c r="W396" t="b">
        <f>N396=_R32Matchups[[#This Row],[1D vs]]</f>
        <v>1</v>
      </c>
      <c r="X396" t="b">
        <f>O396=_R32Matchups[[#This Row],[1E vs]]</f>
        <v>1</v>
      </c>
      <c r="Y396" t="b">
        <f>P396=_R32Matchups[[#This Row],[1G vs]]</f>
        <v>1</v>
      </c>
      <c r="Z396" t="b">
        <f>Q396=_R32Matchups[[#This Row],[1I vs]]</f>
        <v>1</v>
      </c>
      <c r="AA396" t="b">
        <f>R396=_R32Matchups[[#This Row],[1K vs]]</f>
        <v>1</v>
      </c>
      <c r="AB396" t="b">
        <f>S396=_R32Matchups[[#This Row],[1L vs]]</f>
        <v>1</v>
      </c>
    </row>
    <row r="397" spans="1:28" ht="14.4">
      <c r="A397" s="2" t="s">
        <v>416</v>
      </c>
      <c r="B397" s="2" t="s">
        <v>10</v>
      </c>
      <c r="C397" s="2" t="s">
        <v>11</v>
      </c>
      <c r="D397" s="2" t="s">
        <v>65</v>
      </c>
      <c r="E397" s="2" t="s">
        <v>28</v>
      </c>
      <c r="F397" s="2" t="s">
        <v>186</v>
      </c>
      <c r="G397" s="2" t="s">
        <v>15</v>
      </c>
      <c r="H397" s="2" t="s">
        <v>16</v>
      </c>
      <c r="I397" s="2" t="s">
        <v>17</v>
      </c>
      <c r="K397" t="s">
        <v>416</v>
      </c>
      <c r="L397" t="s">
        <v>10</v>
      </c>
      <c r="M397" t="s">
        <v>11</v>
      </c>
      <c r="N397" t="s">
        <v>65</v>
      </c>
      <c r="O397" t="s">
        <v>28</v>
      </c>
      <c r="P397" t="s">
        <v>186</v>
      </c>
      <c r="Q397" t="s">
        <v>15</v>
      </c>
      <c r="R397" t="s">
        <v>16</v>
      </c>
      <c r="S397" t="s">
        <v>17</v>
      </c>
      <c r="U397" t="b">
        <f>L397=_R32Matchups[[#This Row],[1A vs]]</f>
        <v>1</v>
      </c>
      <c r="V397" t="b">
        <f>M397=_R32Matchups[[#This Row],[1B vs]]</f>
        <v>1</v>
      </c>
      <c r="W397" t="b">
        <f>N397=_R32Matchups[[#This Row],[1D vs]]</f>
        <v>1</v>
      </c>
      <c r="X397" t="b">
        <f>O397=_R32Matchups[[#This Row],[1E vs]]</f>
        <v>1</v>
      </c>
      <c r="Y397" t="b">
        <f>P397=_R32Matchups[[#This Row],[1G vs]]</f>
        <v>1</v>
      </c>
      <c r="Z397" t="b">
        <f>Q397=_R32Matchups[[#This Row],[1I vs]]</f>
        <v>1</v>
      </c>
      <c r="AA397" t="b">
        <f>R397=_R32Matchups[[#This Row],[1K vs]]</f>
        <v>1</v>
      </c>
      <c r="AB397" t="b">
        <f>S397=_R32Matchups[[#This Row],[1L vs]]</f>
        <v>1</v>
      </c>
    </row>
    <row r="398" spans="1:28" ht="14.4">
      <c r="A398" s="2" t="s">
        <v>417</v>
      </c>
      <c r="B398" s="2" t="s">
        <v>10</v>
      </c>
      <c r="C398" s="2" t="s">
        <v>15</v>
      </c>
      <c r="D398" s="2" t="s">
        <v>65</v>
      </c>
      <c r="E398" s="2" t="s">
        <v>186</v>
      </c>
      <c r="F398" s="2" t="s">
        <v>12</v>
      </c>
      <c r="G398" s="2" t="s">
        <v>28</v>
      </c>
      <c r="H398" s="2" t="s">
        <v>16</v>
      </c>
      <c r="I398" s="2" t="s">
        <v>17</v>
      </c>
      <c r="K398" t="s">
        <v>417</v>
      </c>
      <c r="L398" t="s">
        <v>10</v>
      </c>
      <c r="M398" t="s">
        <v>15</v>
      </c>
      <c r="N398" t="s">
        <v>65</v>
      </c>
      <c r="O398" t="s">
        <v>186</v>
      </c>
      <c r="P398" t="s">
        <v>12</v>
      </c>
      <c r="Q398" t="s">
        <v>28</v>
      </c>
      <c r="R398" t="s">
        <v>16</v>
      </c>
      <c r="S398" t="s">
        <v>17</v>
      </c>
      <c r="U398" t="b">
        <f>L398=_R32Matchups[[#This Row],[1A vs]]</f>
        <v>1</v>
      </c>
      <c r="V398" t="b">
        <f>M398=_R32Matchups[[#This Row],[1B vs]]</f>
        <v>1</v>
      </c>
      <c r="W398" t="b">
        <f>N398=_R32Matchups[[#This Row],[1D vs]]</f>
        <v>1</v>
      </c>
      <c r="X398" t="b">
        <f>O398=_R32Matchups[[#This Row],[1E vs]]</f>
        <v>1</v>
      </c>
      <c r="Y398" t="b">
        <f>P398=_R32Matchups[[#This Row],[1G vs]]</f>
        <v>1</v>
      </c>
      <c r="Z398" t="b">
        <f>Q398=_R32Matchups[[#This Row],[1I vs]]</f>
        <v>1</v>
      </c>
      <c r="AA398" t="b">
        <f>R398=_R32Matchups[[#This Row],[1K vs]]</f>
        <v>1</v>
      </c>
      <c r="AB398" t="b">
        <f>S398=_R32Matchups[[#This Row],[1L vs]]</f>
        <v>1</v>
      </c>
    </row>
    <row r="399" spans="1:28" ht="14.4">
      <c r="A399" s="2" t="s">
        <v>418</v>
      </c>
      <c r="B399" s="2" t="s">
        <v>10</v>
      </c>
      <c r="C399" s="2" t="s">
        <v>11</v>
      </c>
      <c r="D399" s="2" t="s">
        <v>65</v>
      </c>
      <c r="E399" s="2" t="s">
        <v>28</v>
      </c>
      <c r="F399" s="2" t="s">
        <v>186</v>
      </c>
      <c r="G399" s="2" t="s">
        <v>15</v>
      </c>
      <c r="H399" s="2" t="s">
        <v>16</v>
      </c>
      <c r="I399" s="2" t="s">
        <v>12</v>
      </c>
      <c r="K399" t="s">
        <v>418</v>
      </c>
      <c r="L399" t="s">
        <v>10</v>
      </c>
      <c r="M399" t="s">
        <v>11</v>
      </c>
      <c r="N399" t="s">
        <v>65</v>
      </c>
      <c r="O399" t="s">
        <v>28</v>
      </c>
      <c r="P399" t="s">
        <v>186</v>
      </c>
      <c r="Q399" t="s">
        <v>15</v>
      </c>
      <c r="R399" t="s">
        <v>16</v>
      </c>
      <c r="S399" t="s">
        <v>12</v>
      </c>
      <c r="U399" t="b">
        <f>L399=_R32Matchups[[#This Row],[1A vs]]</f>
        <v>1</v>
      </c>
      <c r="V399" t="b">
        <f>M399=_R32Matchups[[#This Row],[1B vs]]</f>
        <v>1</v>
      </c>
      <c r="W399" t="b">
        <f>N399=_R32Matchups[[#This Row],[1D vs]]</f>
        <v>1</v>
      </c>
      <c r="X399" t="b">
        <f>O399=_R32Matchups[[#This Row],[1E vs]]</f>
        <v>1</v>
      </c>
      <c r="Y399" t="b">
        <f>P399=_R32Matchups[[#This Row],[1G vs]]</f>
        <v>1</v>
      </c>
      <c r="Z399" t="b">
        <f>Q399=_R32Matchups[[#This Row],[1I vs]]</f>
        <v>1</v>
      </c>
      <c r="AA399" t="b">
        <f>R399=_R32Matchups[[#This Row],[1K vs]]</f>
        <v>1</v>
      </c>
      <c r="AB399" t="b">
        <f>S399=_R32Matchups[[#This Row],[1L vs]]</f>
        <v>1</v>
      </c>
    </row>
    <row r="400" spans="1:28" ht="14.4">
      <c r="A400" s="2" t="s">
        <v>419</v>
      </c>
      <c r="B400" s="2" t="s">
        <v>10</v>
      </c>
      <c r="C400" s="2" t="s">
        <v>11</v>
      </c>
      <c r="D400" s="2" t="s">
        <v>65</v>
      </c>
      <c r="E400" s="2" t="s">
        <v>28</v>
      </c>
      <c r="F400" s="2" t="s">
        <v>186</v>
      </c>
      <c r="G400" s="2" t="s">
        <v>15</v>
      </c>
      <c r="H400" s="2" t="s">
        <v>12</v>
      </c>
      <c r="I400" s="2" t="s">
        <v>17</v>
      </c>
      <c r="K400" t="s">
        <v>419</v>
      </c>
      <c r="L400" t="s">
        <v>10</v>
      </c>
      <c r="M400" t="s">
        <v>11</v>
      </c>
      <c r="N400" t="s">
        <v>65</v>
      </c>
      <c r="O400" t="s">
        <v>28</v>
      </c>
      <c r="P400" t="s">
        <v>186</v>
      </c>
      <c r="Q400" t="s">
        <v>15</v>
      </c>
      <c r="R400" t="s">
        <v>12</v>
      </c>
      <c r="S400" t="s">
        <v>17</v>
      </c>
      <c r="U400" t="b">
        <f>L400=_R32Matchups[[#This Row],[1A vs]]</f>
        <v>1</v>
      </c>
      <c r="V400" t="b">
        <f>M400=_R32Matchups[[#This Row],[1B vs]]</f>
        <v>1</v>
      </c>
      <c r="W400" t="b">
        <f>N400=_R32Matchups[[#This Row],[1D vs]]</f>
        <v>1</v>
      </c>
      <c r="X400" t="b">
        <f>O400=_R32Matchups[[#This Row],[1E vs]]</f>
        <v>1</v>
      </c>
      <c r="Y400" t="b">
        <f>P400=_R32Matchups[[#This Row],[1G vs]]</f>
        <v>1</v>
      </c>
      <c r="Z400" t="b">
        <f>Q400=_R32Matchups[[#This Row],[1I vs]]</f>
        <v>1</v>
      </c>
      <c r="AA400" t="b">
        <f>R400=_R32Matchups[[#This Row],[1K vs]]</f>
        <v>1</v>
      </c>
      <c r="AB400" t="b">
        <f>S400=_R32Matchups[[#This Row],[1L vs]]</f>
        <v>1</v>
      </c>
    </row>
    <row r="401" spans="1:28" ht="14.4">
      <c r="A401" s="2" t="s">
        <v>420</v>
      </c>
      <c r="B401" s="2" t="s">
        <v>10</v>
      </c>
      <c r="C401" s="2" t="s">
        <v>15</v>
      </c>
      <c r="D401" s="2" t="s">
        <v>65</v>
      </c>
      <c r="E401" s="2" t="s">
        <v>28</v>
      </c>
      <c r="F401" s="2" t="s">
        <v>186</v>
      </c>
      <c r="G401" s="2" t="s">
        <v>14</v>
      </c>
      <c r="H401" s="2" t="s">
        <v>16</v>
      </c>
      <c r="I401" s="2" t="s">
        <v>17</v>
      </c>
      <c r="K401" t="s">
        <v>420</v>
      </c>
      <c r="L401" t="s">
        <v>10</v>
      </c>
      <c r="M401" t="s">
        <v>15</v>
      </c>
      <c r="N401" t="s">
        <v>65</v>
      </c>
      <c r="O401" t="s">
        <v>28</v>
      </c>
      <c r="P401" t="s">
        <v>186</v>
      </c>
      <c r="Q401" t="s">
        <v>14</v>
      </c>
      <c r="R401" t="s">
        <v>16</v>
      </c>
      <c r="S401" t="s">
        <v>17</v>
      </c>
      <c r="U401" t="b">
        <f>L401=_R32Matchups[[#This Row],[1A vs]]</f>
        <v>1</v>
      </c>
      <c r="V401" t="b">
        <f>M401=_R32Matchups[[#This Row],[1B vs]]</f>
        <v>1</v>
      </c>
      <c r="W401" t="b">
        <f>N401=_R32Matchups[[#This Row],[1D vs]]</f>
        <v>1</v>
      </c>
      <c r="X401" t="b">
        <f>O401=_R32Matchups[[#This Row],[1E vs]]</f>
        <v>1</v>
      </c>
      <c r="Y401" t="b">
        <f>P401=_R32Matchups[[#This Row],[1G vs]]</f>
        <v>1</v>
      </c>
      <c r="Z401" t="b">
        <f>Q401=_R32Matchups[[#This Row],[1I vs]]</f>
        <v>1</v>
      </c>
      <c r="AA401" t="b">
        <f>R401=_R32Matchups[[#This Row],[1K vs]]</f>
        <v>1</v>
      </c>
      <c r="AB401" t="b">
        <f>S401=_R32Matchups[[#This Row],[1L vs]]</f>
        <v>1</v>
      </c>
    </row>
    <row r="402" spans="1:28" ht="14.4">
      <c r="A402" s="2" t="s">
        <v>421</v>
      </c>
      <c r="B402" s="2" t="s">
        <v>14</v>
      </c>
      <c r="C402" s="2" t="s">
        <v>11</v>
      </c>
      <c r="D402" s="2" t="s">
        <v>65</v>
      </c>
      <c r="E402" s="2" t="s">
        <v>28</v>
      </c>
      <c r="F402" s="2" t="s">
        <v>186</v>
      </c>
      <c r="G402" s="2" t="s">
        <v>15</v>
      </c>
      <c r="H402" s="2" t="s">
        <v>16</v>
      </c>
      <c r="I402" s="2" t="s">
        <v>10</v>
      </c>
      <c r="K402" t="s">
        <v>421</v>
      </c>
      <c r="L402" t="s">
        <v>14</v>
      </c>
      <c r="M402" t="s">
        <v>11</v>
      </c>
      <c r="N402" t="s">
        <v>65</v>
      </c>
      <c r="O402" t="s">
        <v>28</v>
      </c>
      <c r="P402" t="s">
        <v>186</v>
      </c>
      <c r="Q402" t="s">
        <v>15</v>
      </c>
      <c r="R402" t="s">
        <v>16</v>
      </c>
      <c r="S402" t="s">
        <v>10</v>
      </c>
      <c r="U402" t="b">
        <f>L402=_R32Matchups[[#This Row],[1A vs]]</f>
        <v>1</v>
      </c>
      <c r="V402" t="b">
        <f>M402=_R32Matchups[[#This Row],[1B vs]]</f>
        <v>1</v>
      </c>
      <c r="W402" t="b">
        <f>N402=_R32Matchups[[#This Row],[1D vs]]</f>
        <v>1</v>
      </c>
      <c r="X402" t="b">
        <f>O402=_R32Matchups[[#This Row],[1E vs]]</f>
        <v>1</v>
      </c>
      <c r="Y402" t="b">
        <f>P402=_R32Matchups[[#This Row],[1G vs]]</f>
        <v>1</v>
      </c>
      <c r="Z402" t="b">
        <f>Q402=_R32Matchups[[#This Row],[1I vs]]</f>
        <v>1</v>
      </c>
      <c r="AA402" t="b">
        <f>R402=_R32Matchups[[#This Row],[1K vs]]</f>
        <v>1</v>
      </c>
      <c r="AB402" t="b">
        <f>S402=_R32Matchups[[#This Row],[1L vs]]</f>
        <v>1</v>
      </c>
    </row>
    <row r="403" spans="1:28" ht="14.4">
      <c r="A403" s="2" t="s">
        <v>422</v>
      </c>
      <c r="B403" s="2" t="s">
        <v>14</v>
      </c>
      <c r="C403" s="2" t="s">
        <v>11</v>
      </c>
      <c r="D403" s="2" t="s">
        <v>65</v>
      </c>
      <c r="E403" s="2" t="s">
        <v>28</v>
      </c>
      <c r="F403" s="2" t="s">
        <v>186</v>
      </c>
      <c r="G403" s="2" t="s">
        <v>15</v>
      </c>
      <c r="H403" s="2" t="s">
        <v>10</v>
      </c>
      <c r="I403" s="2" t="s">
        <v>17</v>
      </c>
      <c r="K403" t="s">
        <v>422</v>
      </c>
      <c r="L403" t="s">
        <v>14</v>
      </c>
      <c r="M403" t="s">
        <v>11</v>
      </c>
      <c r="N403" t="s">
        <v>65</v>
      </c>
      <c r="O403" t="s">
        <v>28</v>
      </c>
      <c r="P403" t="s">
        <v>186</v>
      </c>
      <c r="Q403" t="s">
        <v>15</v>
      </c>
      <c r="R403" t="s">
        <v>10</v>
      </c>
      <c r="S403" t="s">
        <v>17</v>
      </c>
      <c r="U403" t="b">
        <f>L403=_R32Matchups[[#This Row],[1A vs]]</f>
        <v>1</v>
      </c>
      <c r="V403" t="b">
        <f>M403=_R32Matchups[[#This Row],[1B vs]]</f>
        <v>1</v>
      </c>
      <c r="W403" t="b">
        <f>N403=_R32Matchups[[#This Row],[1D vs]]</f>
        <v>1</v>
      </c>
      <c r="X403" t="b">
        <f>O403=_R32Matchups[[#This Row],[1E vs]]</f>
        <v>1</v>
      </c>
      <c r="Y403" t="b">
        <f>P403=_R32Matchups[[#This Row],[1G vs]]</f>
        <v>1</v>
      </c>
      <c r="Z403" t="b">
        <f>Q403=_R32Matchups[[#This Row],[1I vs]]</f>
        <v>1</v>
      </c>
      <c r="AA403" t="b">
        <f>R403=_R32Matchups[[#This Row],[1K vs]]</f>
        <v>1</v>
      </c>
      <c r="AB403" t="b">
        <f>S403=_R32Matchups[[#This Row],[1L vs]]</f>
        <v>1</v>
      </c>
    </row>
    <row r="404" spans="1:28" ht="14.4">
      <c r="A404" s="2" t="s">
        <v>423</v>
      </c>
      <c r="B404" s="2" t="s">
        <v>10</v>
      </c>
      <c r="C404" s="2" t="s">
        <v>15</v>
      </c>
      <c r="D404" s="2" t="s">
        <v>65</v>
      </c>
      <c r="E404" s="2" t="s">
        <v>28</v>
      </c>
      <c r="F404" s="2" t="s">
        <v>186</v>
      </c>
      <c r="G404" s="2" t="s">
        <v>14</v>
      </c>
      <c r="H404" s="2" t="s">
        <v>16</v>
      </c>
      <c r="I404" s="2" t="s">
        <v>12</v>
      </c>
      <c r="K404" t="s">
        <v>423</v>
      </c>
      <c r="L404" t="s">
        <v>10</v>
      </c>
      <c r="M404" t="s">
        <v>15</v>
      </c>
      <c r="N404" t="s">
        <v>65</v>
      </c>
      <c r="O404" t="s">
        <v>28</v>
      </c>
      <c r="P404" t="s">
        <v>186</v>
      </c>
      <c r="Q404" t="s">
        <v>14</v>
      </c>
      <c r="R404" t="s">
        <v>16</v>
      </c>
      <c r="S404" t="s">
        <v>12</v>
      </c>
      <c r="U404" t="b">
        <f>L404=_R32Matchups[[#This Row],[1A vs]]</f>
        <v>1</v>
      </c>
      <c r="V404" t="b">
        <f>M404=_R32Matchups[[#This Row],[1B vs]]</f>
        <v>1</v>
      </c>
      <c r="W404" t="b">
        <f>N404=_R32Matchups[[#This Row],[1D vs]]</f>
        <v>1</v>
      </c>
      <c r="X404" t="b">
        <f>O404=_R32Matchups[[#This Row],[1E vs]]</f>
        <v>1</v>
      </c>
      <c r="Y404" t="b">
        <f>P404=_R32Matchups[[#This Row],[1G vs]]</f>
        <v>1</v>
      </c>
      <c r="Z404" t="b">
        <f>Q404=_R32Matchups[[#This Row],[1I vs]]</f>
        <v>1</v>
      </c>
      <c r="AA404" t="b">
        <f>R404=_R32Matchups[[#This Row],[1K vs]]</f>
        <v>1</v>
      </c>
      <c r="AB404" t="b">
        <f>S404=_R32Matchups[[#This Row],[1L vs]]</f>
        <v>1</v>
      </c>
    </row>
    <row r="405" spans="1:28" ht="14.4">
      <c r="A405" s="2" t="s">
        <v>424</v>
      </c>
      <c r="B405" s="2" t="s">
        <v>10</v>
      </c>
      <c r="C405" s="2" t="s">
        <v>15</v>
      </c>
      <c r="D405" s="2" t="s">
        <v>65</v>
      </c>
      <c r="E405" s="2" t="s">
        <v>28</v>
      </c>
      <c r="F405" s="2" t="s">
        <v>186</v>
      </c>
      <c r="G405" s="2" t="s">
        <v>14</v>
      </c>
      <c r="H405" s="2" t="s">
        <v>12</v>
      </c>
      <c r="I405" s="2" t="s">
        <v>17</v>
      </c>
      <c r="K405" t="s">
        <v>424</v>
      </c>
      <c r="L405" t="s">
        <v>10</v>
      </c>
      <c r="M405" t="s">
        <v>15</v>
      </c>
      <c r="N405" t="s">
        <v>65</v>
      </c>
      <c r="O405" t="s">
        <v>28</v>
      </c>
      <c r="P405" t="s">
        <v>186</v>
      </c>
      <c r="Q405" t="s">
        <v>14</v>
      </c>
      <c r="R405" t="s">
        <v>12</v>
      </c>
      <c r="S405" t="s">
        <v>17</v>
      </c>
      <c r="U405" t="b">
        <f>L405=_R32Matchups[[#This Row],[1A vs]]</f>
        <v>1</v>
      </c>
      <c r="V405" t="b">
        <f>M405=_R32Matchups[[#This Row],[1B vs]]</f>
        <v>1</v>
      </c>
      <c r="W405" t="b">
        <f>N405=_R32Matchups[[#This Row],[1D vs]]</f>
        <v>1</v>
      </c>
      <c r="X405" t="b">
        <f>O405=_R32Matchups[[#This Row],[1E vs]]</f>
        <v>1</v>
      </c>
      <c r="Y405" t="b">
        <f>P405=_R32Matchups[[#This Row],[1G vs]]</f>
        <v>1</v>
      </c>
      <c r="Z405" t="b">
        <f>Q405=_R32Matchups[[#This Row],[1I vs]]</f>
        <v>1</v>
      </c>
      <c r="AA405" t="b">
        <f>R405=_R32Matchups[[#This Row],[1K vs]]</f>
        <v>1</v>
      </c>
      <c r="AB405" t="b">
        <f>S405=_R32Matchups[[#This Row],[1L vs]]</f>
        <v>1</v>
      </c>
    </row>
    <row r="406" spans="1:28" ht="14.4">
      <c r="A406" s="2" t="s">
        <v>425</v>
      </c>
      <c r="B406" s="2" t="s">
        <v>14</v>
      </c>
      <c r="C406" s="2" t="s">
        <v>11</v>
      </c>
      <c r="D406" s="2" t="s">
        <v>65</v>
      </c>
      <c r="E406" s="2" t="s">
        <v>28</v>
      </c>
      <c r="F406" s="2" t="s">
        <v>186</v>
      </c>
      <c r="G406" s="2" t="s">
        <v>15</v>
      </c>
      <c r="H406" s="2" t="s">
        <v>10</v>
      </c>
      <c r="I406" s="2" t="s">
        <v>12</v>
      </c>
      <c r="K406" t="s">
        <v>425</v>
      </c>
      <c r="L406" t="s">
        <v>14</v>
      </c>
      <c r="M406" t="s">
        <v>11</v>
      </c>
      <c r="N406" t="s">
        <v>65</v>
      </c>
      <c r="O406" t="s">
        <v>28</v>
      </c>
      <c r="P406" t="s">
        <v>186</v>
      </c>
      <c r="Q406" t="s">
        <v>15</v>
      </c>
      <c r="R406" t="s">
        <v>10</v>
      </c>
      <c r="S406" t="s">
        <v>12</v>
      </c>
      <c r="U406" t="b">
        <f>L406=_R32Matchups[[#This Row],[1A vs]]</f>
        <v>1</v>
      </c>
      <c r="V406" t="b">
        <f>M406=_R32Matchups[[#This Row],[1B vs]]</f>
        <v>1</v>
      </c>
      <c r="W406" t="b">
        <f>N406=_R32Matchups[[#This Row],[1D vs]]</f>
        <v>1</v>
      </c>
      <c r="X406" t="b">
        <f>O406=_R32Matchups[[#This Row],[1E vs]]</f>
        <v>1</v>
      </c>
      <c r="Y406" t="b">
        <f>P406=_R32Matchups[[#This Row],[1G vs]]</f>
        <v>1</v>
      </c>
      <c r="Z406" t="b">
        <f>Q406=_R32Matchups[[#This Row],[1I vs]]</f>
        <v>1</v>
      </c>
      <c r="AA406" t="b">
        <f>R406=_R32Matchups[[#This Row],[1K vs]]</f>
        <v>1</v>
      </c>
      <c r="AB406" t="b">
        <f>S406=_R32Matchups[[#This Row],[1L vs]]</f>
        <v>1</v>
      </c>
    </row>
    <row r="407" spans="1:28" ht="14.4">
      <c r="A407" s="2" t="s">
        <v>426</v>
      </c>
      <c r="B407" s="2" t="s">
        <v>10</v>
      </c>
      <c r="C407" s="2" t="s">
        <v>11</v>
      </c>
      <c r="D407" s="2" t="s">
        <v>65</v>
      </c>
      <c r="E407" s="2" t="s">
        <v>28</v>
      </c>
      <c r="F407" s="2" t="s">
        <v>186</v>
      </c>
      <c r="G407" s="2" t="s">
        <v>13</v>
      </c>
      <c r="H407" s="2" t="s">
        <v>16</v>
      </c>
      <c r="I407" s="2" t="s">
        <v>17</v>
      </c>
      <c r="K407" t="s">
        <v>426</v>
      </c>
      <c r="L407" t="s">
        <v>10</v>
      </c>
      <c r="M407" t="s">
        <v>11</v>
      </c>
      <c r="N407" t="s">
        <v>65</v>
      </c>
      <c r="O407" t="s">
        <v>28</v>
      </c>
      <c r="P407" t="s">
        <v>186</v>
      </c>
      <c r="Q407" t="s">
        <v>13</v>
      </c>
      <c r="R407" t="s">
        <v>16</v>
      </c>
      <c r="S407" t="s">
        <v>17</v>
      </c>
      <c r="U407" t="b">
        <f>L407=_R32Matchups[[#This Row],[1A vs]]</f>
        <v>1</v>
      </c>
      <c r="V407" t="b">
        <f>M407=_R32Matchups[[#This Row],[1B vs]]</f>
        <v>1</v>
      </c>
      <c r="W407" t="b">
        <f>N407=_R32Matchups[[#This Row],[1D vs]]</f>
        <v>1</v>
      </c>
      <c r="X407" t="b">
        <f>O407=_R32Matchups[[#This Row],[1E vs]]</f>
        <v>1</v>
      </c>
      <c r="Y407" t="b">
        <f>P407=_R32Matchups[[#This Row],[1G vs]]</f>
        <v>1</v>
      </c>
      <c r="Z407" t="b">
        <f>Q407=_R32Matchups[[#This Row],[1I vs]]</f>
        <v>1</v>
      </c>
      <c r="AA407" t="b">
        <f>R407=_R32Matchups[[#This Row],[1K vs]]</f>
        <v>1</v>
      </c>
      <c r="AB407" t="b">
        <f>S407=_R32Matchups[[#This Row],[1L vs]]</f>
        <v>1</v>
      </c>
    </row>
    <row r="408" spans="1:28" ht="14.4">
      <c r="A408" s="2" t="s">
        <v>427</v>
      </c>
      <c r="B408" s="2" t="s">
        <v>10</v>
      </c>
      <c r="C408" s="2" t="s">
        <v>12</v>
      </c>
      <c r="D408" s="2" t="s">
        <v>65</v>
      </c>
      <c r="E408" s="2" t="s">
        <v>28</v>
      </c>
      <c r="F408" s="2" t="s">
        <v>186</v>
      </c>
      <c r="G408" s="2" t="s">
        <v>13</v>
      </c>
      <c r="H408" s="2" t="s">
        <v>16</v>
      </c>
      <c r="I408" s="2" t="s">
        <v>17</v>
      </c>
      <c r="K408" t="s">
        <v>427</v>
      </c>
      <c r="L408" t="s">
        <v>10</v>
      </c>
      <c r="M408" t="s">
        <v>12</v>
      </c>
      <c r="N408" t="s">
        <v>65</v>
      </c>
      <c r="O408" t="s">
        <v>28</v>
      </c>
      <c r="P408" t="s">
        <v>186</v>
      </c>
      <c r="Q408" t="s">
        <v>13</v>
      </c>
      <c r="R408" t="s">
        <v>16</v>
      </c>
      <c r="S408" t="s">
        <v>17</v>
      </c>
      <c r="U408" t="b">
        <f>L408=_R32Matchups[[#This Row],[1A vs]]</f>
        <v>1</v>
      </c>
      <c r="V408" t="b">
        <f>M408=_R32Matchups[[#This Row],[1B vs]]</f>
        <v>1</v>
      </c>
      <c r="W408" t="b">
        <f>N408=_R32Matchups[[#This Row],[1D vs]]</f>
        <v>1</v>
      </c>
      <c r="X408" t="b">
        <f>O408=_R32Matchups[[#This Row],[1E vs]]</f>
        <v>1</v>
      </c>
      <c r="Y408" t="b">
        <f>P408=_R32Matchups[[#This Row],[1G vs]]</f>
        <v>1</v>
      </c>
      <c r="Z408" t="b">
        <f>Q408=_R32Matchups[[#This Row],[1I vs]]</f>
        <v>1</v>
      </c>
      <c r="AA408" t="b">
        <f>R408=_R32Matchups[[#This Row],[1K vs]]</f>
        <v>1</v>
      </c>
      <c r="AB408" t="b">
        <f>S408=_R32Matchups[[#This Row],[1L vs]]</f>
        <v>1</v>
      </c>
    </row>
    <row r="409" spans="1:28" ht="14.4">
      <c r="A409" s="2" t="s">
        <v>428</v>
      </c>
      <c r="B409" s="2" t="s">
        <v>10</v>
      </c>
      <c r="C409" s="2" t="s">
        <v>11</v>
      </c>
      <c r="D409" s="2" t="s">
        <v>65</v>
      </c>
      <c r="E409" s="2" t="s">
        <v>28</v>
      </c>
      <c r="F409" s="2" t="s">
        <v>186</v>
      </c>
      <c r="G409" s="2" t="s">
        <v>13</v>
      </c>
      <c r="H409" s="2" t="s">
        <v>16</v>
      </c>
      <c r="I409" s="2" t="s">
        <v>12</v>
      </c>
      <c r="K409" t="s">
        <v>428</v>
      </c>
      <c r="L409" t="s">
        <v>10</v>
      </c>
      <c r="M409" t="s">
        <v>11</v>
      </c>
      <c r="N409" t="s">
        <v>65</v>
      </c>
      <c r="O409" t="s">
        <v>28</v>
      </c>
      <c r="P409" t="s">
        <v>186</v>
      </c>
      <c r="Q409" t="s">
        <v>13</v>
      </c>
      <c r="R409" t="s">
        <v>16</v>
      </c>
      <c r="S409" t="s">
        <v>12</v>
      </c>
      <c r="U409" t="b">
        <f>L409=_R32Matchups[[#This Row],[1A vs]]</f>
        <v>1</v>
      </c>
      <c r="V409" t="b">
        <f>M409=_R32Matchups[[#This Row],[1B vs]]</f>
        <v>1</v>
      </c>
      <c r="W409" t="b">
        <f>N409=_R32Matchups[[#This Row],[1D vs]]</f>
        <v>1</v>
      </c>
      <c r="X409" t="b">
        <f>O409=_R32Matchups[[#This Row],[1E vs]]</f>
        <v>1</v>
      </c>
      <c r="Y409" t="b">
        <f>P409=_R32Matchups[[#This Row],[1G vs]]</f>
        <v>1</v>
      </c>
      <c r="Z409" t="b">
        <f>Q409=_R32Matchups[[#This Row],[1I vs]]</f>
        <v>1</v>
      </c>
      <c r="AA409" t="b">
        <f>R409=_R32Matchups[[#This Row],[1K vs]]</f>
        <v>1</v>
      </c>
      <c r="AB409" t="b">
        <f>S409=_R32Matchups[[#This Row],[1L vs]]</f>
        <v>1</v>
      </c>
    </row>
    <row r="410" spans="1:28" ht="14.4">
      <c r="A410" s="2" t="s">
        <v>429</v>
      </c>
      <c r="B410" s="2" t="s">
        <v>10</v>
      </c>
      <c r="C410" s="2" t="s">
        <v>11</v>
      </c>
      <c r="D410" s="2" t="s">
        <v>65</v>
      </c>
      <c r="E410" s="2" t="s">
        <v>28</v>
      </c>
      <c r="F410" s="2" t="s">
        <v>186</v>
      </c>
      <c r="G410" s="2" t="s">
        <v>13</v>
      </c>
      <c r="H410" s="2" t="s">
        <v>12</v>
      </c>
      <c r="I410" s="2" t="s">
        <v>17</v>
      </c>
      <c r="K410" t="s">
        <v>429</v>
      </c>
      <c r="L410" t="s">
        <v>10</v>
      </c>
      <c r="M410" t="s">
        <v>11</v>
      </c>
      <c r="N410" t="s">
        <v>65</v>
      </c>
      <c r="O410" t="s">
        <v>28</v>
      </c>
      <c r="P410" t="s">
        <v>186</v>
      </c>
      <c r="Q410" t="s">
        <v>13</v>
      </c>
      <c r="R410" t="s">
        <v>12</v>
      </c>
      <c r="S410" t="s">
        <v>17</v>
      </c>
      <c r="U410" t="b">
        <f>L410=_R32Matchups[[#This Row],[1A vs]]</f>
        <v>1</v>
      </c>
      <c r="V410" t="b">
        <f>M410=_R32Matchups[[#This Row],[1B vs]]</f>
        <v>1</v>
      </c>
      <c r="W410" t="b">
        <f>N410=_R32Matchups[[#This Row],[1D vs]]</f>
        <v>1</v>
      </c>
      <c r="X410" t="b">
        <f>O410=_R32Matchups[[#This Row],[1E vs]]</f>
        <v>1</v>
      </c>
      <c r="Y410" t="b">
        <f>P410=_R32Matchups[[#This Row],[1G vs]]</f>
        <v>1</v>
      </c>
      <c r="Z410" t="b">
        <f>Q410=_R32Matchups[[#This Row],[1I vs]]</f>
        <v>1</v>
      </c>
      <c r="AA410" t="b">
        <f>R410=_R32Matchups[[#This Row],[1K vs]]</f>
        <v>1</v>
      </c>
      <c r="AB410" t="b">
        <f>S410=_R32Matchups[[#This Row],[1L vs]]</f>
        <v>1</v>
      </c>
    </row>
    <row r="411" spans="1:28" ht="14.4">
      <c r="A411" s="2" t="s">
        <v>430</v>
      </c>
      <c r="B411" s="2" t="s">
        <v>14</v>
      </c>
      <c r="C411" s="2" t="s">
        <v>10</v>
      </c>
      <c r="D411" s="2" t="s">
        <v>65</v>
      </c>
      <c r="E411" s="2" t="s">
        <v>28</v>
      </c>
      <c r="F411" s="2" t="s">
        <v>186</v>
      </c>
      <c r="G411" s="2" t="s">
        <v>13</v>
      </c>
      <c r="H411" s="2" t="s">
        <v>16</v>
      </c>
      <c r="I411" s="2" t="s">
        <v>17</v>
      </c>
      <c r="K411" t="s">
        <v>430</v>
      </c>
      <c r="L411" t="s">
        <v>14</v>
      </c>
      <c r="M411" t="s">
        <v>10</v>
      </c>
      <c r="N411" t="s">
        <v>65</v>
      </c>
      <c r="O411" t="s">
        <v>28</v>
      </c>
      <c r="P411" t="s">
        <v>186</v>
      </c>
      <c r="Q411" t="s">
        <v>13</v>
      </c>
      <c r="R411" t="s">
        <v>16</v>
      </c>
      <c r="S411" t="s">
        <v>17</v>
      </c>
      <c r="U411" t="b">
        <f>L411=_R32Matchups[[#This Row],[1A vs]]</f>
        <v>1</v>
      </c>
      <c r="V411" t="b">
        <f>M411=_R32Matchups[[#This Row],[1B vs]]</f>
        <v>1</v>
      </c>
      <c r="W411" t="b">
        <f>N411=_R32Matchups[[#This Row],[1D vs]]</f>
        <v>1</v>
      </c>
      <c r="X411" t="b">
        <f>O411=_R32Matchups[[#This Row],[1E vs]]</f>
        <v>1</v>
      </c>
      <c r="Y411" t="b">
        <f>P411=_R32Matchups[[#This Row],[1G vs]]</f>
        <v>1</v>
      </c>
      <c r="Z411" t="b">
        <f>Q411=_R32Matchups[[#This Row],[1I vs]]</f>
        <v>1</v>
      </c>
      <c r="AA411" t="b">
        <f>R411=_R32Matchups[[#This Row],[1K vs]]</f>
        <v>1</v>
      </c>
      <c r="AB411" t="b">
        <f>S411=_R32Matchups[[#This Row],[1L vs]]</f>
        <v>1</v>
      </c>
    </row>
    <row r="412" spans="1:28" ht="14.4">
      <c r="A412" s="2" t="s">
        <v>431</v>
      </c>
      <c r="B412" s="2" t="s">
        <v>14</v>
      </c>
      <c r="C412" s="2" t="s">
        <v>11</v>
      </c>
      <c r="D412" s="2" t="s">
        <v>65</v>
      </c>
      <c r="E412" s="2" t="s">
        <v>28</v>
      </c>
      <c r="F412" s="2" t="s">
        <v>186</v>
      </c>
      <c r="G412" s="2" t="s">
        <v>13</v>
      </c>
      <c r="H412" s="2" t="s">
        <v>16</v>
      </c>
      <c r="I412" s="2" t="s">
        <v>10</v>
      </c>
      <c r="K412" t="s">
        <v>431</v>
      </c>
      <c r="L412" t="s">
        <v>14</v>
      </c>
      <c r="M412" t="s">
        <v>11</v>
      </c>
      <c r="N412" t="s">
        <v>65</v>
      </c>
      <c r="O412" t="s">
        <v>28</v>
      </c>
      <c r="P412" t="s">
        <v>186</v>
      </c>
      <c r="Q412" t="s">
        <v>13</v>
      </c>
      <c r="R412" t="s">
        <v>16</v>
      </c>
      <c r="S412" t="s">
        <v>10</v>
      </c>
      <c r="U412" t="b">
        <f>L412=_R32Matchups[[#This Row],[1A vs]]</f>
        <v>1</v>
      </c>
      <c r="V412" t="b">
        <f>M412=_R32Matchups[[#This Row],[1B vs]]</f>
        <v>1</v>
      </c>
      <c r="W412" t="b">
        <f>N412=_R32Matchups[[#This Row],[1D vs]]</f>
        <v>1</v>
      </c>
      <c r="X412" t="b">
        <f>O412=_R32Matchups[[#This Row],[1E vs]]</f>
        <v>1</v>
      </c>
      <c r="Y412" t="b">
        <f>P412=_R32Matchups[[#This Row],[1G vs]]</f>
        <v>1</v>
      </c>
      <c r="Z412" t="b">
        <f>Q412=_R32Matchups[[#This Row],[1I vs]]</f>
        <v>1</v>
      </c>
      <c r="AA412" t="b">
        <f>R412=_R32Matchups[[#This Row],[1K vs]]</f>
        <v>1</v>
      </c>
      <c r="AB412" t="b">
        <f>S412=_R32Matchups[[#This Row],[1L vs]]</f>
        <v>1</v>
      </c>
    </row>
    <row r="413" spans="1:28" ht="14.4">
      <c r="A413" s="2" t="s">
        <v>432</v>
      </c>
      <c r="B413" s="2" t="s">
        <v>14</v>
      </c>
      <c r="C413" s="2" t="s">
        <v>11</v>
      </c>
      <c r="D413" s="2" t="s">
        <v>65</v>
      </c>
      <c r="E413" s="2" t="s">
        <v>28</v>
      </c>
      <c r="F413" s="2" t="s">
        <v>186</v>
      </c>
      <c r="G413" s="2" t="s">
        <v>13</v>
      </c>
      <c r="H413" s="2" t="s">
        <v>10</v>
      </c>
      <c r="I413" s="2" t="s">
        <v>17</v>
      </c>
      <c r="K413" t="s">
        <v>432</v>
      </c>
      <c r="L413" t="s">
        <v>14</v>
      </c>
      <c r="M413" t="s">
        <v>11</v>
      </c>
      <c r="N413" t="s">
        <v>65</v>
      </c>
      <c r="O413" t="s">
        <v>28</v>
      </c>
      <c r="P413" t="s">
        <v>186</v>
      </c>
      <c r="Q413" t="s">
        <v>13</v>
      </c>
      <c r="R413" t="s">
        <v>10</v>
      </c>
      <c r="S413" t="s">
        <v>17</v>
      </c>
      <c r="U413" t="b">
        <f>L413=_R32Matchups[[#This Row],[1A vs]]</f>
        <v>1</v>
      </c>
      <c r="V413" t="b">
        <f>M413=_R32Matchups[[#This Row],[1B vs]]</f>
        <v>1</v>
      </c>
      <c r="W413" t="b">
        <f>N413=_R32Matchups[[#This Row],[1D vs]]</f>
        <v>1</v>
      </c>
      <c r="X413" t="b">
        <f>O413=_R32Matchups[[#This Row],[1E vs]]</f>
        <v>1</v>
      </c>
      <c r="Y413" t="b">
        <f>P413=_R32Matchups[[#This Row],[1G vs]]</f>
        <v>1</v>
      </c>
      <c r="Z413" t="b">
        <f>Q413=_R32Matchups[[#This Row],[1I vs]]</f>
        <v>1</v>
      </c>
      <c r="AA413" t="b">
        <f>R413=_R32Matchups[[#This Row],[1K vs]]</f>
        <v>1</v>
      </c>
      <c r="AB413" t="b">
        <f>S413=_R32Matchups[[#This Row],[1L vs]]</f>
        <v>1</v>
      </c>
    </row>
    <row r="414" spans="1:28" ht="14.4">
      <c r="A414" s="2" t="s">
        <v>433</v>
      </c>
      <c r="B414" s="2" t="s">
        <v>14</v>
      </c>
      <c r="C414" s="2" t="s">
        <v>10</v>
      </c>
      <c r="D414" s="2" t="s">
        <v>65</v>
      </c>
      <c r="E414" s="2" t="s">
        <v>28</v>
      </c>
      <c r="F414" s="2" t="s">
        <v>186</v>
      </c>
      <c r="G414" s="2" t="s">
        <v>13</v>
      </c>
      <c r="H414" s="2" t="s">
        <v>16</v>
      </c>
      <c r="I414" s="2" t="s">
        <v>12</v>
      </c>
      <c r="K414" t="s">
        <v>433</v>
      </c>
      <c r="L414" t="s">
        <v>14</v>
      </c>
      <c r="M414" t="s">
        <v>10</v>
      </c>
      <c r="N414" t="s">
        <v>65</v>
      </c>
      <c r="O414" t="s">
        <v>28</v>
      </c>
      <c r="P414" t="s">
        <v>186</v>
      </c>
      <c r="Q414" t="s">
        <v>13</v>
      </c>
      <c r="R414" t="s">
        <v>16</v>
      </c>
      <c r="S414" t="s">
        <v>12</v>
      </c>
      <c r="U414" t="b">
        <f>L414=_R32Matchups[[#This Row],[1A vs]]</f>
        <v>1</v>
      </c>
      <c r="V414" t="b">
        <f>M414=_R32Matchups[[#This Row],[1B vs]]</f>
        <v>1</v>
      </c>
      <c r="W414" t="b">
        <f>N414=_R32Matchups[[#This Row],[1D vs]]</f>
        <v>1</v>
      </c>
      <c r="X414" t="b">
        <f>O414=_R32Matchups[[#This Row],[1E vs]]</f>
        <v>1</v>
      </c>
      <c r="Y414" t="b">
        <f>P414=_R32Matchups[[#This Row],[1G vs]]</f>
        <v>1</v>
      </c>
      <c r="Z414" t="b">
        <f>Q414=_R32Matchups[[#This Row],[1I vs]]</f>
        <v>1</v>
      </c>
      <c r="AA414" t="b">
        <f>R414=_R32Matchups[[#This Row],[1K vs]]</f>
        <v>1</v>
      </c>
      <c r="AB414" t="b">
        <f>S414=_R32Matchups[[#This Row],[1L vs]]</f>
        <v>1</v>
      </c>
    </row>
    <row r="415" spans="1:28" ht="14.4">
      <c r="A415" s="2" t="s">
        <v>434</v>
      </c>
      <c r="B415" s="2" t="s">
        <v>14</v>
      </c>
      <c r="C415" s="2" t="s">
        <v>10</v>
      </c>
      <c r="D415" s="2" t="s">
        <v>65</v>
      </c>
      <c r="E415" s="2" t="s">
        <v>28</v>
      </c>
      <c r="F415" s="2" t="s">
        <v>186</v>
      </c>
      <c r="G415" s="2" t="s">
        <v>13</v>
      </c>
      <c r="H415" s="2" t="s">
        <v>12</v>
      </c>
      <c r="I415" s="2" t="s">
        <v>17</v>
      </c>
      <c r="K415" t="s">
        <v>434</v>
      </c>
      <c r="L415" t="s">
        <v>14</v>
      </c>
      <c r="M415" t="s">
        <v>10</v>
      </c>
      <c r="N415" t="s">
        <v>65</v>
      </c>
      <c r="O415" t="s">
        <v>28</v>
      </c>
      <c r="P415" t="s">
        <v>186</v>
      </c>
      <c r="Q415" t="s">
        <v>13</v>
      </c>
      <c r="R415" t="s">
        <v>12</v>
      </c>
      <c r="S415" t="s">
        <v>17</v>
      </c>
      <c r="U415" t="b">
        <f>L415=_R32Matchups[[#This Row],[1A vs]]</f>
        <v>1</v>
      </c>
      <c r="V415" t="b">
        <f>M415=_R32Matchups[[#This Row],[1B vs]]</f>
        <v>1</v>
      </c>
      <c r="W415" t="b">
        <f>N415=_R32Matchups[[#This Row],[1D vs]]</f>
        <v>1</v>
      </c>
      <c r="X415" t="b">
        <f>O415=_R32Matchups[[#This Row],[1E vs]]</f>
        <v>1</v>
      </c>
      <c r="Y415" t="b">
        <f>P415=_R32Matchups[[#This Row],[1G vs]]</f>
        <v>1</v>
      </c>
      <c r="Z415" t="b">
        <f>Q415=_R32Matchups[[#This Row],[1I vs]]</f>
        <v>1</v>
      </c>
      <c r="AA415" t="b">
        <f>R415=_R32Matchups[[#This Row],[1K vs]]</f>
        <v>1</v>
      </c>
      <c r="AB415" t="b">
        <f>S415=_R32Matchups[[#This Row],[1L vs]]</f>
        <v>1</v>
      </c>
    </row>
    <row r="416" spans="1:28" ht="14.4">
      <c r="A416" s="2" t="s">
        <v>435</v>
      </c>
      <c r="B416" s="2" t="s">
        <v>14</v>
      </c>
      <c r="C416" s="2" t="s">
        <v>11</v>
      </c>
      <c r="D416" s="2" t="s">
        <v>65</v>
      </c>
      <c r="E416" s="2" t="s">
        <v>28</v>
      </c>
      <c r="F416" s="2" t="s">
        <v>186</v>
      </c>
      <c r="G416" s="2" t="s">
        <v>13</v>
      </c>
      <c r="H416" s="2" t="s">
        <v>10</v>
      </c>
      <c r="I416" s="2" t="s">
        <v>12</v>
      </c>
      <c r="K416" t="s">
        <v>435</v>
      </c>
      <c r="L416" t="s">
        <v>14</v>
      </c>
      <c r="M416" t="s">
        <v>11</v>
      </c>
      <c r="N416" t="s">
        <v>65</v>
      </c>
      <c r="O416" t="s">
        <v>28</v>
      </c>
      <c r="P416" t="s">
        <v>186</v>
      </c>
      <c r="Q416" t="s">
        <v>13</v>
      </c>
      <c r="R416" t="s">
        <v>10</v>
      </c>
      <c r="S416" t="s">
        <v>12</v>
      </c>
      <c r="U416" t="b">
        <f>L416=_R32Matchups[[#This Row],[1A vs]]</f>
        <v>1</v>
      </c>
      <c r="V416" t="b">
        <f>M416=_R32Matchups[[#This Row],[1B vs]]</f>
        <v>1</v>
      </c>
      <c r="W416" t="b">
        <f>N416=_R32Matchups[[#This Row],[1D vs]]</f>
        <v>1</v>
      </c>
      <c r="X416" t="b">
        <f>O416=_R32Matchups[[#This Row],[1E vs]]</f>
        <v>1</v>
      </c>
      <c r="Y416" t="b">
        <f>P416=_R32Matchups[[#This Row],[1G vs]]</f>
        <v>1</v>
      </c>
      <c r="Z416" t="b">
        <f>Q416=_R32Matchups[[#This Row],[1I vs]]</f>
        <v>1</v>
      </c>
      <c r="AA416" t="b">
        <f>R416=_R32Matchups[[#This Row],[1K vs]]</f>
        <v>1</v>
      </c>
      <c r="AB416" t="b">
        <f>S416=_R32Matchups[[#This Row],[1L vs]]</f>
        <v>1</v>
      </c>
    </row>
    <row r="417" spans="1:28" ht="14.4">
      <c r="A417" s="2" t="s">
        <v>436</v>
      </c>
      <c r="B417" s="2" t="s">
        <v>10</v>
      </c>
      <c r="C417" s="2" t="s">
        <v>15</v>
      </c>
      <c r="D417" s="2" t="s">
        <v>65</v>
      </c>
      <c r="E417" s="2" t="s">
        <v>28</v>
      </c>
      <c r="F417" s="2" t="s">
        <v>186</v>
      </c>
      <c r="G417" s="2" t="s">
        <v>13</v>
      </c>
      <c r="H417" s="2" t="s">
        <v>16</v>
      </c>
      <c r="I417" s="2" t="s">
        <v>17</v>
      </c>
      <c r="K417" t="s">
        <v>436</v>
      </c>
      <c r="L417" t="s">
        <v>10</v>
      </c>
      <c r="M417" t="s">
        <v>15</v>
      </c>
      <c r="N417" t="s">
        <v>65</v>
      </c>
      <c r="O417" t="s">
        <v>28</v>
      </c>
      <c r="P417" t="s">
        <v>186</v>
      </c>
      <c r="Q417" t="s">
        <v>13</v>
      </c>
      <c r="R417" t="s">
        <v>16</v>
      </c>
      <c r="S417" t="s">
        <v>17</v>
      </c>
      <c r="U417" t="b">
        <f>L417=_R32Matchups[[#This Row],[1A vs]]</f>
        <v>1</v>
      </c>
      <c r="V417" t="b">
        <f>M417=_R32Matchups[[#This Row],[1B vs]]</f>
        <v>1</v>
      </c>
      <c r="W417" t="b">
        <f>N417=_R32Matchups[[#This Row],[1D vs]]</f>
        <v>1</v>
      </c>
      <c r="X417" t="b">
        <f>O417=_R32Matchups[[#This Row],[1E vs]]</f>
        <v>1</v>
      </c>
      <c r="Y417" t="b">
        <f>P417=_R32Matchups[[#This Row],[1G vs]]</f>
        <v>1</v>
      </c>
      <c r="Z417" t="b">
        <f>Q417=_R32Matchups[[#This Row],[1I vs]]</f>
        <v>1</v>
      </c>
      <c r="AA417" t="b">
        <f>R417=_R32Matchups[[#This Row],[1K vs]]</f>
        <v>1</v>
      </c>
      <c r="AB417" t="b">
        <f>S417=_R32Matchups[[#This Row],[1L vs]]</f>
        <v>1</v>
      </c>
    </row>
    <row r="418" spans="1:28" ht="14.4">
      <c r="A418" s="2" t="s">
        <v>437</v>
      </c>
      <c r="B418" s="2" t="s">
        <v>10</v>
      </c>
      <c r="C418" s="2" t="s">
        <v>15</v>
      </c>
      <c r="D418" s="2" t="s">
        <v>65</v>
      </c>
      <c r="E418" s="2" t="s">
        <v>28</v>
      </c>
      <c r="F418" s="2" t="s">
        <v>186</v>
      </c>
      <c r="G418" s="2" t="s">
        <v>13</v>
      </c>
      <c r="H418" s="2" t="s">
        <v>16</v>
      </c>
      <c r="I418" s="2" t="s">
        <v>11</v>
      </c>
      <c r="K418" t="s">
        <v>437</v>
      </c>
      <c r="L418" t="s">
        <v>10</v>
      </c>
      <c r="M418" t="s">
        <v>15</v>
      </c>
      <c r="N418" t="s">
        <v>65</v>
      </c>
      <c r="O418" t="s">
        <v>28</v>
      </c>
      <c r="P418" t="s">
        <v>186</v>
      </c>
      <c r="Q418" t="s">
        <v>13</v>
      </c>
      <c r="R418" t="s">
        <v>16</v>
      </c>
      <c r="S418" t="s">
        <v>11</v>
      </c>
      <c r="U418" t="b">
        <f>L418=_R32Matchups[[#This Row],[1A vs]]</f>
        <v>1</v>
      </c>
      <c r="V418" t="b">
        <f>M418=_R32Matchups[[#This Row],[1B vs]]</f>
        <v>1</v>
      </c>
      <c r="W418" t="b">
        <f>N418=_R32Matchups[[#This Row],[1D vs]]</f>
        <v>1</v>
      </c>
      <c r="X418" t="b">
        <f>O418=_R32Matchups[[#This Row],[1E vs]]</f>
        <v>1</v>
      </c>
      <c r="Y418" t="b">
        <f>P418=_R32Matchups[[#This Row],[1G vs]]</f>
        <v>1</v>
      </c>
      <c r="Z418" t="b">
        <f>Q418=_R32Matchups[[#This Row],[1I vs]]</f>
        <v>1</v>
      </c>
      <c r="AA418" t="b">
        <f>R418=_R32Matchups[[#This Row],[1K vs]]</f>
        <v>1</v>
      </c>
      <c r="AB418" t="b">
        <f>S418=_R32Matchups[[#This Row],[1L vs]]</f>
        <v>1</v>
      </c>
    </row>
    <row r="419" spans="1:28" ht="14.4">
      <c r="A419" s="2" t="s">
        <v>438</v>
      </c>
      <c r="B419" s="2" t="s">
        <v>10</v>
      </c>
      <c r="C419" s="2" t="s">
        <v>15</v>
      </c>
      <c r="D419" s="2" t="s">
        <v>65</v>
      </c>
      <c r="E419" s="2" t="s">
        <v>28</v>
      </c>
      <c r="F419" s="2" t="s">
        <v>186</v>
      </c>
      <c r="G419" s="2" t="s">
        <v>13</v>
      </c>
      <c r="H419" s="2" t="s">
        <v>11</v>
      </c>
      <c r="I419" s="2" t="s">
        <v>17</v>
      </c>
      <c r="K419" t="s">
        <v>438</v>
      </c>
      <c r="L419" t="s">
        <v>10</v>
      </c>
      <c r="M419" t="s">
        <v>15</v>
      </c>
      <c r="N419" t="s">
        <v>65</v>
      </c>
      <c r="O419" t="s">
        <v>28</v>
      </c>
      <c r="P419" t="s">
        <v>186</v>
      </c>
      <c r="Q419" t="s">
        <v>13</v>
      </c>
      <c r="R419" t="s">
        <v>11</v>
      </c>
      <c r="S419" t="s">
        <v>17</v>
      </c>
      <c r="U419" t="b">
        <f>L419=_R32Matchups[[#This Row],[1A vs]]</f>
        <v>1</v>
      </c>
      <c r="V419" t="b">
        <f>M419=_R32Matchups[[#This Row],[1B vs]]</f>
        <v>1</v>
      </c>
      <c r="W419" t="b">
        <f>N419=_R32Matchups[[#This Row],[1D vs]]</f>
        <v>1</v>
      </c>
      <c r="X419" t="b">
        <f>O419=_R32Matchups[[#This Row],[1E vs]]</f>
        <v>1</v>
      </c>
      <c r="Y419" t="b">
        <f>P419=_R32Matchups[[#This Row],[1G vs]]</f>
        <v>1</v>
      </c>
      <c r="Z419" t="b">
        <f>Q419=_R32Matchups[[#This Row],[1I vs]]</f>
        <v>1</v>
      </c>
      <c r="AA419" t="b">
        <f>R419=_R32Matchups[[#This Row],[1K vs]]</f>
        <v>1</v>
      </c>
      <c r="AB419" t="b">
        <f>S419=_R32Matchups[[#This Row],[1L vs]]</f>
        <v>1</v>
      </c>
    </row>
    <row r="420" spans="1:28" ht="14.4">
      <c r="A420" s="2" t="s">
        <v>439</v>
      </c>
      <c r="B420" s="2" t="s">
        <v>10</v>
      </c>
      <c r="C420" s="2" t="s">
        <v>15</v>
      </c>
      <c r="D420" s="2" t="s">
        <v>65</v>
      </c>
      <c r="E420" s="2" t="s">
        <v>28</v>
      </c>
      <c r="F420" s="2" t="s">
        <v>186</v>
      </c>
      <c r="G420" s="2" t="s">
        <v>13</v>
      </c>
      <c r="H420" s="2" t="s">
        <v>16</v>
      </c>
      <c r="I420" s="2" t="s">
        <v>12</v>
      </c>
      <c r="K420" t="s">
        <v>439</v>
      </c>
      <c r="L420" t="s">
        <v>10</v>
      </c>
      <c r="M420" t="s">
        <v>15</v>
      </c>
      <c r="N420" t="s">
        <v>65</v>
      </c>
      <c r="O420" t="s">
        <v>28</v>
      </c>
      <c r="P420" t="s">
        <v>186</v>
      </c>
      <c r="Q420" t="s">
        <v>13</v>
      </c>
      <c r="R420" t="s">
        <v>16</v>
      </c>
      <c r="S420" t="s">
        <v>12</v>
      </c>
      <c r="U420" t="b">
        <f>L420=_R32Matchups[[#This Row],[1A vs]]</f>
        <v>1</v>
      </c>
      <c r="V420" t="b">
        <f>M420=_R32Matchups[[#This Row],[1B vs]]</f>
        <v>1</v>
      </c>
      <c r="W420" t="b">
        <f>N420=_R32Matchups[[#This Row],[1D vs]]</f>
        <v>1</v>
      </c>
      <c r="X420" t="b">
        <f>O420=_R32Matchups[[#This Row],[1E vs]]</f>
        <v>1</v>
      </c>
      <c r="Y420" t="b">
        <f>P420=_R32Matchups[[#This Row],[1G vs]]</f>
        <v>1</v>
      </c>
      <c r="Z420" t="b">
        <f>Q420=_R32Matchups[[#This Row],[1I vs]]</f>
        <v>1</v>
      </c>
      <c r="AA420" t="b">
        <f>R420=_R32Matchups[[#This Row],[1K vs]]</f>
        <v>1</v>
      </c>
      <c r="AB420" t="b">
        <f>S420=_R32Matchups[[#This Row],[1L vs]]</f>
        <v>1</v>
      </c>
    </row>
    <row r="421" spans="1:28" ht="14.4">
      <c r="A421" s="2" t="s">
        <v>440</v>
      </c>
      <c r="B421" s="2" t="s">
        <v>10</v>
      </c>
      <c r="C421" s="2" t="s">
        <v>15</v>
      </c>
      <c r="D421" s="2" t="s">
        <v>65</v>
      </c>
      <c r="E421" s="2" t="s">
        <v>28</v>
      </c>
      <c r="F421" s="2" t="s">
        <v>186</v>
      </c>
      <c r="G421" s="2" t="s">
        <v>13</v>
      </c>
      <c r="H421" s="2" t="s">
        <v>12</v>
      </c>
      <c r="I421" s="2" t="s">
        <v>17</v>
      </c>
      <c r="K421" t="s">
        <v>440</v>
      </c>
      <c r="L421" t="s">
        <v>10</v>
      </c>
      <c r="M421" t="s">
        <v>15</v>
      </c>
      <c r="N421" t="s">
        <v>65</v>
      </c>
      <c r="O421" t="s">
        <v>28</v>
      </c>
      <c r="P421" t="s">
        <v>186</v>
      </c>
      <c r="Q421" t="s">
        <v>13</v>
      </c>
      <c r="R421" t="s">
        <v>12</v>
      </c>
      <c r="S421" t="s">
        <v>17</v>
      </c>
      <c r="U421" t="b">
        <f>L421=_R32Matchups[[#This Row],[1A vs]]</f>
        <v>1</v>
      </c>
      <c r="V421" t="b">
        <f>M421=_R32Matchups[[#This Row],[1B vs]]</f>
        <v>1</v>
      </c>
      <c r="W421" t="b">
        <f>N421=_R32Matchups[[#This Row],[1D vs]]</f>
        <v>1</v>
      </c>
      <c r="X421" t="b">
        <f>O421=_R32Matchups[[#This Row],[1E vs]]</f>
        <v>1</v>
      </c>
      <c r="Y421" t="b">
        <f>P421=_R32Matchups[[#This Row],[1G vs]]</f>
        <v>1</v>
      </c>
      <c r="Z421" t="b">
        <f>Q421=_R32Matchups[[#This Row],[1I vs]]</f>
        <v>1</v>
      </c>
      <c r="AA421" t="b">
        <f>R421=_R32Matchups[[#This Row],[1K vs]]</f>
        <v>1</v>
      </c>
      <c r="AB421" t="b">
        <f>S421=_R32Matchups[[#This Row],[1L vs]]</f>
        <v>1</v>
      </c>
    </row>
    <row r="422" spans="1:28" ht="14.4">
      <c r="A422" s="2" t="s">
        <v>441</v>
      </c>
      <c r="B422" s="2" t="s">
        <v>10</v>
      </c>
      <c r="C422" s="2" t="s">
        <v>15</v>
      </c>
      <c r="D422" s="2" t="s">
        <v>65</v>
      </c>
      <c r="E422" s="2" t="s">
        <v>28</v>
      </c>
      <c r="F422" s="2" t="s">
        <v>186</v>
      </c>
      <c r="G422" s="2" t="s">
        <v>13</v>
      </c>
      <c r="H422" s="2" t="s">
        <v>12</v>
      </c>
      <c r="I422" s="2" t="s">
        <v>11</v>
      </c>
      <c r="K422" t="s">
        <v>441</v>
      </c>
      <c r="L422" t="s">
        <v>10</v>
      </c>
      <c r="M422" t="s">
        <v>15</v>
      </c>
      <c r="N422" t="s">
        <v>65</v>
      </c>
      <c r="O422" t="s">
        <v>28</v>
      </c>
      <c r="P422" t="s">
        <v>186</v>
      </c>
      <c r="Q422" t="s">
        <v>13</v>
      </c>
      <c r="R422" t="s">
        <v>12</v>
      </c>
      <c r="S422" t="s">
        <v>11</v>
      </c>
      <c r="U422" t="b">
        <f>L422=_R32Matchups[[#This Row],[1A vs]]</f>
        <v>1</v>
      </c>
      <c r="V422" t="b">
        <f>M422=_R32Matchups[[#This Row],[1B vs]]</f>
        <v>1</v>
      </c>
      <c r="W422" t="b">
        <f>N422=_R32Matchups[[#This Row],[1D vs]]</f>
        <v>1</v>
      </c>
      <c r="X422" t="b">
        <f>O422=_R32Matchups[[#This Row],[1E vs]]</f>
        <v>1</v>
      </c>
      <c r="Y422" t="b">
        <f>P422=_R32Matchups[[#This Row],[1G vs]]</f>
        <v>1</v>
      </c>
      <c r="Z422" t="b">
        <f>Q422=_R32Matchups[[#This Row],[1I vs]]</f>
        <v>1</v>
      </c>
      <c r="AA422" t="b">
        <f>R422=_R32Matchups[[#This Row],[1K vs]]</f>
        <v>1</v>
      </c>
      <c r="AB422" t="b">
        <f>S422=_R32Matchups[[#This Row],[1L vs]]</f>
        <v>1</v>
      </c>
    </row>
    <row r="423" spans="1:28" ht="14.4">
      <c r="A423" s="2" t="s">
        <v>442</v>
      </c>
      <c r="B423" s="2" t="s">
        <v>14</v>
      </c>
      <c r="C423" s="2" t="s">
        <v>15</v>
      </c>
      <c r="D423" s="2" t="s">
        <v>65</v>
      </c>
      <c r="E423" s="2" t="s">
        <v>28</v>
      </c>
      <c r="F423" s="2" t="s">
        <v>186</v>
      </c>
      <c r="G423" s="2" t="s">
        <v>13</v>
      </c>
      <c r="H423" s="2" t="s">
        <v>16</v>
      </c>
      <c r="I423" s="2" t="s">
        <v>10</v>
      </c>
      <c r="K423" t="s">
        <v>442</v>
      </c>
      <c r="L423" t="s">
        <v>14</v>
      </c>
      <c r="M423" t="s">
        <v>15</v>
      </c>
      <c r="N423" t="s">
        <v>65</v>
      </c>
      <c r="O423" t="s">
        <v>28</v>
      </c>
      <c r="P423" t="s">
        <v>186</v>
      </c>
      <c r="Q423" t="s">
        <v>13</v>
      </c>
      <c r="R423" t="s">
        <v>16</v>
      </c>
      <c r="S423" t="s">
        <v>10</v>
      </c>
      <c r="U423" t="b">
        <f>L423=_R32Matchups[[#This Row],[1A vs]]</f>
        <v>1</v>
      </c>
      <c r="V423" t="b">
        <f>M423=_R32Matchups[[#This Row],[1B vs]]</f>
        <v>1</v>
      </c>
      <c r="W423" t="b">
        <f>N423=_R32Matchups[[#This Row],[1D vs]]</f>
        <v>1</v>
      </c>
      <c r="X423" t="b">
        <f>O423=_R32Matchups[[#This Row],[1E vs]]</f>
        <v>1</v>
      </c>
      <c r="Y423" t="b">
        <f>P423=_R32Matchups[[#This Row],[1G vs]]</f>
        <v>1</v>
      </c>
      <c r="Z423" t="b">
        <f>Q423=_R32Matchups[[#This Row],[1I vs]]</f>
        <v>1</v>
      </c>
      <c r="AA423" t="b">
        <f>R423=_R32Matchups[[#This Row],[1K vs]]</f>
        <v>1</v>
      </c>
      <c r="AB423" t="b">
        <f>S423=_R32Matchups[[#This Row],[1L vs]]</f>
        <v>1</v>
      </c>
    </row>
    <row r="424" spans="1:28" ht="14.4">
      <c r="A424" s="2" t="s">
        <v>443</v>
      </c>
      <c r="B424" s="2" t="s">
        <v>14</v>
      </c>
      <c r="C424" s="2" t="s">
        <v>15</v>
      </c>
      <c r="D424" s="2" t="s">
        <v>65</v>
      </c>
      <c r="E424" s="2" t="s">
        <v>28</v>
      </c>
      <c r="F424" s="2" t="s">
        <v>186</v>
      </c>
      <c r="G424" s="2" t="s">
        <v>13</v>
      </c>
      <c r="H424" s="2" t="s">
        <v>10</v>
      </c>
      <c r="I424" s="2" t="s">
        <v>17</v>
      </c>
      <c r="K424" t="s">
        <v>443</v>
      </c>
      <c r="L424" t="s">
        <v>14</v>
      </c>
      <c r="M424" t="s">
        <v>15</v>
      </c>
      <c r="N424" t="s">
        <v>65</v>
      </c>
      <c r="O424" t="s">
        <v>28</v>
      </c>
      <c r="P424" t="s">
        <v>186</v>
      </c>
      <c r="Q424" t="s">
        <v>13</v>
      </c>
      <c r="R424" t="s">
        <v>10</v>
      </c>
      <c r="S424" t="s">
        <v>17</v>
      </c>
      <c r="U424" t="b">
        <f>L424=_R32Matchups[[#This Row],[1A vs]]</f>
        <v>1</v>
      </c>
      <c r="V424" t="b">
        <f>M424=_R32Matchups[[#This Row],[1B vs]]</f>
        <v>1</v>
      </c>
      <c r="W424" t="b">
        <f>N424=_R32Matchups[[#This Row],[1D vs]]</f>
        <v>1</v>
      </c>
      <c r="X424" t="b">
        <f>O424=_R32Matchups[[#This Row],[1E vs]]</f>
        <v>1</v>
      </c>
      <c r="Y424" t="b">
        <f>P424=_R32Matchups[[#This Row],[1G vs]]</f>
        <v>1</v>
      </c>
      <c r="Z424" t="b">
        <f>Q424=_R32Matchups[[#This Row],[1I vs]]</f>
        <v>1</v>
      </c>
      <c r="AA424" t="b">
        <f>R424=_R32Matchups[[#This Row],[1K vs]]</f>
        <v>1</v>
      </c>
      <c r="AB424" t="b">
        <f>S424=_R32Matchups[[#This Row],[1L vs]]</f>
        <v>1</v>
      </c>
    </row>
    <row r="425" spans="1:28" ht="14.4">
      <c r="A425" s="2" t="s">
        <v>444</v>
      </c>
      <c r="B425" s="2" t="s">
        <v>14</v>
      </c>
      <c r="C425" s="2" t="s">
        <v>15</v>
      </c>
      <c r="D425" s="2" t="s">
        <v>65</v>
      </c>
      <c r="E425" s="2" t="s">
        <v>28</v>
      </c>
      <c r="F425" s="2" t="s">
        <v>186</v>
      </c>
      <c r="G425" s="2" t="s">
        <v>13</v>
      </c>
      <c r="H425" s="2" t="s">
        <v>10</v>
      </c>
      <c r="I425" s="2" t="s">
        <v>11</v>
      </c>
      <c r="K425" t="s">
        <v>444</v>
      </c>
      <c r="L425" t="s">
        <v>14</v>
      </c>
      <c r="M425" t="s">
        <v>15</v>
      </c>
      <c r="N425" t="s">
        <v>65</v>
      </c>
      <c r="O425" t="s">
        <v>28</v>
      </c>
      <c r="P425" t="s">
        <v>186</v>
      </c>
      <c r="Q425" t="s">
        <v>13</v>
      </c>
      <c r="R425" t="s">
        <v>10</v>
      </c>
      <c r="S425" t="s">
        <v>11</v>
      </c>
      <c r="U425" t="b">
        <f>L425=_R32Matchups[[#This Row],[1A vs]]</f>
        <v>1</v>
      </c>
      <c r="V425" t="b">
        <f>M425=_R32Matchups[[#This Row],[1B vs]]</f>
        <v>1</v>
      </c>
      <c r="W425" t="b">
        <f>N425=_R32Matchups[[#This Row],[1D vs]]</f>
        <v>1</v>
      </c>
      <c r="X425" t="b">
        <f>O425=_R32Matchups[[#This Row],[1E vs]]</f>
        <v>1</v>
      </c>
      <c r="Y425" t="b">
        <f>P425=_R32Matchups[[#This Row],[1G vs]]</f>
        <v>1</v>
      </c>
      <c r="Z425" t="b">
        <f>Q425=_R32Matchups[[#This Row],[1I vs]]</f>
        <v>1</v>
      </c>
      <c r="AA425" t="b">
        <f>R425=_R32Matchups[[#This Row],[1K vs]]</f>
        <v>1</v>
      </c>
      <c r="AB425" t="b">
        <f>S425=_R32Matchups[[#This Row],[1L vs]]</f>
        <v>1</v>
      </c>
    </row>
    <row r="426" spans="1:28" ht="14.4">
      <c r="A426" s="2" t="s">
        <v>445</v>
      </c>
      <c r="B426" s="2" t="s">
        <v>14</v>
      </c>
      <c r="C426" s="2" t="s">
        <v>15</v>
      </c>
      <c r="D426" s="2" t="s">
        <v>65</v>
      </c>
      <c r="E426" s="2" t="s">
        <v>28</v>
      </c>
      <c r="F426" s="2" t="s">
        <v>186</v>
      </c>
      <c r="G426" s="2" t="s">
        <v>13</v>
      </c>
      <c r="H426" s="2" t="s">
        <v>10</v>
      </c>
      <c r="I426" s="2" t="s">
        <v>12</v>
      </c>
      <c r="K426" t="s">
        <v>445</v>
      </c>
      <c r="L426" t="s">
        <v>14</v>
      </c>
      <c r="M426" t="s">
        <v>15</v>
      </c>
      <c r="N426" t="s">
        <v>65</v>
      </c>
      <c r="O426" t="s">
        <v>28</v>
      </c>
      <c r="P426" t="s">
        <v>186</v>
      </c>
      <c r="Q426" t="s">
        <v>13</v>
      </c>
      <c r="R426" t="s">
        <v>10</v>
      </c>
      <c r="S426" t="s">
        <v>12</v>
      </c>
      <c r="U426" t="b">
        <f>L426=_R32Matchups[[#This Row],[1A vs]]</f>
        <v>1</v>
      </c>
      <c r="V426" t="b">
        <f>M426=_R32Matchups[[#This Row],[1B vs]]</f>
        <v>1</v>
      </c>
      <c r="W426" t="b">
        <f>N426=_R32Matchups[[#This Row],[1D vs]]</f>
        <v>1</v>
      </c>
      <c r="X426" t="b">
        <f>O426=_R32Matchups[[#This Row],[1E vs]]</f>
        <v>1</v>
      </c>
      <c r="Y426" t="b">
        <f>P426=_R32Matchups[[#This Row],[1G vs]]</f>
        <v>1</v>
      </c>
      <c r="Z426" t="b">
        <f>Q426=_R32Matchups[[#This Row],[1I vs]]</f>
        <v>1</v>
      </c>
      <c r="AA426" t="b">
        <f>R426=_R32Matchups[[#This Row],[1K vs]]</f>
        <v>1</v>
      </c>
      <c r="AB426" t="b">
        <f>S426=_R32Matchups[[#This Row],[1L vs]]</f>
        <v>1</v>
      </c>
    </row>
    <row r="427" spans="1:28" ht="14.4">
      <c r="A427" s="2" t="s">
        <v>446</v>
      </c>
      <c r="B427" s="2" t="s">
        <v>12</v>
      </c>
      <c r="C427" s="2" t="s">
        <v>11</v>
      </c>
      <c r="D427" s="2" t="s">
        <v>65</v>
      </c>
      <c r="E427" s="2" t="s">
        <v>28</v>
      </c>
      <c r="F427" s="2" t="s">
        <v>186</v>
      </c>
      <c r="G427" s="2" t="s">
        <v>19</v>
      </c>
      <c r="H427" s="2" t="s">
        <v>16</v>
      </c>
      <c r="I427" s="2" t="s">
        <v>17</v>
      </c>
      <c r="K427" t="s">
        <v>446</v>
      </c>
      <c r="L427" t="s">
        <v>12</v>
      </c>
      <c r="M427" t="s">
        <v>11</v>
      </c>
      <c r="N427" t="s">
        <v>65</v>
      </c>
      <c r="O427" t="s">
        <v>28</v>
      </c>
      <c r="P427" t="s">
        <v>186</v>
      </c>
      <c r="Q427" t="s">
        <v>19</v>
      </c>
      <c r="R427" t="s">
        <v>16</v>
      </c>
      <c r="S427" t="s">
        <v>17</v>
      </c>
      <c r="U427" t="b">
        <f>L427=_R32Matchups[[#This Row],[1A vs]]</f>
        <v>1</v>
      </c>
      <c r="V427" t="b">
        <f>M427=_R32Matchups[[#This Row],[1B vs]]</f>
        <v>1</v>
      </c>
      <c r="W427" t="b">
        <f>N427=_R32Matchups[[#This Row],[1D vs]]</f>
        <v>1</v>
      </c>
      <c r="X427" t="b">
        <f>O427=_R32Matchups[[#This Row],[1E vs]]</f>
        <v>1</v>
      </c>
      <c r="Y427" t="b">
        <f>P427=_R32Matchups[[#This Row],[1G vs]]</f>
        <v>1</v>
      </c>
      <c r="Z427" t="b">
        <f>Q427=_R32Matchups[[#This Row],[1I vs]]</f>
        <v>1</v>
      </c>
      <c r="AA427" t="b">
        <f>R427=_R32Matchups[[#This Row],[1K vs]]</f>
        <v>1</v>
      </c>
      <c r="AB427" t="b">
        <f>S427=_R32Matchups[[#This Row],[1L vs]]</f>
        <v>1</v>
      </c>
    </row>
    <row r="428" spans="1:28" ht="14.4">
      <c r="A428" s="2" t="s">
        <v>447</v>
      </c>
      <c r="B428" s="2" t="s">
        <v>14</v>
      </c>
      <c r="C428" s="2" t="s">
        <v>11</v>
      </c>
      <c r="D428" s="2" t="s">
        <v>65</v>
      </c>
      <c r="E428" s="2" t="s">
        <v>28</v>
      </c>
      <c r="F428" s="2" t="s">
        <v>186</v>
      </c>
      <c r="G428" s="2" t="s">
        <v>19</v>
      </c>
      <c r="H428" s="2" t="s">
        <v>16</v>
      </c>
      <c r="I428" s="2" t="s">
        <v>17</v>
      </c>
      <c r="K428" t="s">
        <v>447</v>
      </c>
      <c r="L428" t="s">
        <v>14</v>
      </c>
      <c r="M428" t="s">
        <v>11</v>
      </c>
      <c r="N428" t="s">
        <v>65</v>
      </c>
      <c r="O428" t="s">
        <v>28</v>
      </c>
      <c r="P428" t="s">
        <v>186</v>
      </c>
      <c r="Q428" t="s">
        <v>19</v>
      </c>
      <c r="R428" t="s">
        <v>16</v>
      </c>
      <c r="S428" t="s">
        <v>17</v>
      </c>
      <c r="U428" t="b">
        <f>L428=_R32Matchups[[#This Row],[1A vs]]</f>
        <v>1</v>
      </c>
      <c r="V428" t="b">
        <f>M428=_R32Matchups[[#This Row],[1B vs]]</f>
        <v>1</v>
      </c>
      <c r="W428" t="b">
        <f>N428=_R32Matchups[[#This Row],[1D vs]]</f>
        <v>1</v>
      </c>
      <c r="X428" t="b">
        <f>O428=_R32Matchups[[#This Row],[1E vs]]</f>
        <v>1</v>
      </c>
      <c r="Y428" t="b">
        <f>P428=_R32Matchups[[#This Row],[1G vs]]</f>
        <v>1</v>
      </c>
      <c r="Z428" t="b">
        <f>Q428=_R32Matchups[[#This Row],[1I vs]]</f>
        <v>1</v>
      </c>
      <c r="AA428" t="b">
        <f>R428=_R32Matchups[[#This Row],[1K vs]]</f>
        <v>1</v>
      </c>
      <c r="AB428" t="b">
        <f>S428=_R32Matchups[[#This Row],[1L vs]]</f>
        <v>1</v>
      </c>
    </row>
    <row r="429" spans="1:28" ht="14.4">
      <c r="A429" s="2" t="s">
        <v>448</v>
      </c>
      <c r="B429" s="2" t="s">
        <v>14</v>
      </c>
      <c r="C429" s="2" t="s">
        <v>12</v>
      </c>
      <c r="D429" s="2" t="s">
        <v>65</v>
      </c>
      <c r="E429" s="2" t="s">
        <v>28</v>
      </c>
      <c r="F429" s="2" t="s">
        <v>186</v>
      </c>
      <c r="G429" s="2" t="s">
        <v>19</v>
      </c>
      <c r="H429" s="2" t="s">
        <v>16</v>
      </c>
      <c r="I429" s="2" t="s">
        <v>17</v>
      </c>
      <c r="K429" t="s">
        <v>448</v>
      </c>
      <c r="L429" t="s">
        <v>14</v>
      </c>
      <c r="M429" t="s">
        <v>12</v>
      </c>
      <c r="N429" t="s">
        <v>65</v>
      </c>
      <c r="O429" t="s">
        <v>28</v>
      </c>
      <c r="P429" t="s">
        <v>186</v>
      </c>
      <c r="Q429" t="s">
        <v>19</v>
      </c>
      <c r="R429" t="s">
        <v>16</v>
      </c>
      <c r="S429" t="s">
        <v>17</v>
      </c>
      <c r="U429" t="b">
        <f>L429=_R32Matchups[[#This Row],[1A vs]]</f>
        <v>1</v>
      </c>
      <c r="V429" t="b">
        <f>M429=_R32Matchups[[#This Row],[1B vs]]</f>
        <v>1</v>
      </c>
      <c r="W429" t="b">
        <f>N429=_R32Matchups[[#This Row],[1D vs]]</f>
        <v>1</v>
      </c>
      <c r="X429" t="b">
        <f>O429=_R32Matchups[[#This Row],[1E vs]]</f>
        <v>1</v>
      </c>
      <c r="Y429" t="b">
        <f>P429=_R32Matchups[[#This Row],[1G vs]]</f>
        <v>1</v>
      </c>
      <c r="Z429" t="b">
        <f>Q429=_R32Matchups[[#This Row],[1I vs]]</f>
        <v>1</v>
      </c>
      <c r="AA429" t="b">
        <f>R429=_R32Matchups[[#This Row],[1K vs]]</f>
        <v>1</v>
      </c>
      <c r="AB429" t="b">
        <f>S429=_R32Matchups[[#This Row],[1L vs]]</f>
        <v>1</v>
      </c>
    </row>
    <row r="430" spans="1:28" ht="14.4">
      <c r="A430" s="2" t="s">
        <v>449</v>
      </c>
      <c r="B430" s="2" t="s">
        <v>14</v>
      </c>
      <c r="C430" s="2" t="s">
        <v>11</v>
      </c>
      <c r="D430" s="2" t="s">
        <v>65</v>
      </c>
      <c r="E430" s="2" t="s">
        <v>28</v>
      </c>
      <c r="F430" s="2" t="s">
        <v>186</v>
      </c>
      <c r="G430" s="2" t="s">
        <v>19</v>
      </c>
      <c r="H430" s="2" t="s">
        <v>16</v>
      </c>
      <c r="I430" s="2" t="s">
        <v>12</v>
      </c>
      <c r="K430" t="s">
        <v>449</v>
      </c>
      <c r="L430" t="s">
        <v>14</v>
      </c>
      <c r="M430" t="s">
        <v>11</v>
      </c>
      <c r="N430" t="s">
        <v>65</v>
      </c>
      <c r="O430" t="s">
        <v>28</v>
      </c>
      <c r="P430" t="s">
        <v>186</v>
      </c>
      <c r="Q430" t="s">
        <v>19</v>
      </c>
      <c r="R430" t="s">
        <v>16</v>
      </c>
      <c r="S430" t="s">
        <v>12</v>
      </c>
      <c r="U430" t="b">
        <f>L430=_R32Matchups[[#This Row],[1A vs]]</f>
        <v>1</v>
      </c>
      <c r="V430" t="b">
        <f>M430=_R32Matchups[[#This Row],[1B vs]]</f>
        <v>1</v>
      </c>
      <c r="W430" t="b">
        <f>N430=_R32Matchups[[#This Row],[1D vs]]</f>
        <v>1</v>
      </c>
      <c r="X430" t="b">
        <f>O430=_R32Matchups[[#This Row],[1E vs]]</f>
        <v>1</v>
      </c>
      <c r="Y430" t="b">
        <f>P430=_R32Matchups[[#This Row],[1G vs]]</f>
        <v>1</v>
      </c>
      <c r="Z430" t="b">
        <f>Q430=_R32Matchups[[#This Row],[1I vs]]</f>
        <v>1</v>
      </c>
      <c r="AA430" t="b">
        <f>R430=_R32Matchups[[#This Row],[1K vs]]</f>
        <v>1</v>
      </c>
      <c r="AB430" t="b">
        <f>S430=_R32Matchups[[#This Row],[1L vs]]</f>
        <v>1</v>
      </c>
    </row>
    <row r="431" spans="1:28" ht="14.4">
      <c r="A431" s="2" t="s">
        <v>450</v>
      </c>
      <c r="B431" s="2" t="s">
        <v>14</v>
      </c>
      <c r="C431" s="2" t="s">
        <v>11</v>
      </c>
      <c r="D431" s="2" t="s">
        <v>65</v>
      </c>
      <c r="E431" s="2" t="s">
        <v>28</v>
      </c>
      <c r="F431" s="2" t="s">
        <v>186</v>
      </c>
      <c r="G431" s="2" t="s">
        <v>19</v>
      </c>
      <c r="H431" s="2" t="s">
        <v>12</v>
      </c>
      <c r="I431" s="2" t="s">
        <v>17</v>
      </c>
      <c r="K431" t="s">
        <v>450</v>
      </c>
      <c r="L431" t="s">
        <v>14</v>
      </c>
      <c r="M431" t="s">
        <v>11</v>
      </c>
      <c r="N431" t="s">
        <v>65</v>
      </c>
      <c r="O431" t="s">
        <v>28</v>
      </c>
      <c r="P431" t="s">
        <v>186</v>
      </c>
      <c r="Q431" t="s">
        <v>19</v>
      </c>
      <c r="R431" t="s">
        <v>12</v>
      </c>
      <c r="S431" t="s">
        <v>17</v>
      </c>
      <c r="U431" t="b">
        <f>L431=_R32Matchups[[#This Row],[1A vs]]</f>
        <v>1</v>
      </c>
      <c r="V431" t="b">
        <f>M431=_R32Matchups[[#This Row],[1B vs]]</f>
        <v>1</v>
      </c>
      <c r="W431" t="b">
        <f>N431=_R32Matchups[[#This Row],[1D vs]]</f>
        <v>1</v>
      </c>
      <c r="X431" t="b">
        <f>O431=_R32Matchups[[#This Row],[1E vs]]</f>
        <v>1</v>
      </c>
      <c r="Y431" t="b">
        <f>P431=_R32Matchups[[#This Row],[1G vs]]</f>
        <v>1</v>
      </c>
      <c r="Z431" t="b">
        <f>Q431=_R32Matchups[[#This Row],[1I vs]]</f>
        <v>1</v>
      </c>
      <c r="AA431" t="b">
        <f>R431=_R32Matchups[[#This Row],[1K vs]]</f>
        <v>1</v>
      </c>
      <c r="AB431" t="b">
        <f>S431=_R32Matchups[[#This Row],[1L vs]]</f>
        <v>1</v>
      </c>
    </row>
    <row r="432" spans="1:28" ht="14.4">
      <c r="A432" s="2" t="s">
        <v>451</v>
      </c>
      <c r="B432" s="2" t="s">
        <v>28</v>
      </c>
      <c r="C432" s="2" t="s">
        <v>11</v>
      </c>
      <c r="D432" s="2" t="s">
        <v>65</v>
      </c>
      <c r="E432" s="2" t="s">
        <v>19</v>
      </c>
      <c r="F432" s="2" t="s">
        <v>186</v>
      </c>
      <c r="G432" s="2" t="s">
        <v>15</v>
      </c>
      <c r="H432" s="2" t="s">
        <v>16</v>
      </c>
      <c r="I432" s="2" t="s">
        <v>17</v>
      </c>
      <c r="K432" t="s">
        <v>451</v>
      </c>
      <c r="L432" t="s">
        <v>28</v>
      </c>
      <c r="M432" t="s">
        <v>11</v>
      </c>
      <c r="N432" t="s">
        <v>65</v>
      </c>
      <c r="O432" t="s">
        <v>19</v>
      </c>
      <c r="P432" t="s">
        <v>186</v>
      </c>
      <c r="Q432" t="s">
        <v>15</v>
      </c>
      <c r="R432" t="s">
        <v>16</v>
      </c>
      <c r="S432" t="s">
        <v>17</v>
      </c>
      <c r="U432" t="b">
        <f>L432=_R32Matchups[[#This Row],[1A vs]]</f>
        <v>1</v>
      </c>
      <c r="V432" t="b">
        <f>M432=_R32Matchups[[#This Row],[1B vs]]</f>
        <v>1</v>
      </c>
      <c r="W432" t="b">
        <f>N432=_R32Matchups[[#This Row],[1D vs]]</f>
        <v>1</v>
      </c>
      <c r="X432" t="b">
        <f>O432=_R32Matchups[[#This Row],[1E vs]]</f>
        <v>1</v>
      </c>
      <c r="Y432" t="b">
        <f>P432=_R32Matchups[[#This Row],[1G vs]]</f>
        <v>1</v>
      </c>
      <c r="Z432" t="b">
        <f>Q432=_R32Matchups[[#This Row],[1I vs]]</f>
        <v>1</v>
      </c>
      <c r="AA432" t="b">
        <f>R432=_R32Matchups[[#This Row],[1K vs]]</f>
        <v>1</v>
      </c>
      <c r="AB432" t="b">
        <f>S432=_R32Matchups[[#This Row],[1L vs]]</f>
        <v>1</v>
      </c>
    </row>
    <row r="433" spans="1:28" ht="14.4">
      <c r="A433" s="2" t="s">
        <v>452</v>
      </c>
      <c r="B433" s="2" t="s">
        <v>12</v>
      </c>
      <c r="C433" s="2" t="s">
        <v>15</v>
      </c>
      <c r="D433" s="2" t="s">
        <v>65</v>
      </c>
      <c r="E433" s="2" t="s">
        <v>28</v>
      </c>
      <c r="F433" s="2" t="s">
        <v>186</v>
      </c>
      <c r="G433" s="2" t="s">
        <v>19</v>
      </c>
      <c r="H433" s="2" t="s">
        <v>16</v>
      </c>
      <c r="I433" s="2" t="s">
        <v>17</v>
      </c>
      <c r="K433" t="s">
        <v>452</v>
      </c>
      <c r="L433" t="s">
        <v>12</v>
      </c>
      <c r="M433" t="s">
        <v>15</v>
      </c>
      <c r="N433" t="s">
        <v>65</v>
      </c>
      <c r="O433" t="s">
        <v>28</v>
      </c>
      <c r="P433" t="s">
        <v>186</v>
      </c>
      <c r="Q433" t="s">
        <v>19</v>
      </c>
      <c r="R433" t="s">
        <v>16</v>
      </c>
      <c r="S433" t="s">
        <v>17</v>
      </c>
      <c r="U433" t="b">
        <f>L433=_R32Matchups[[#This Row],[1A vs]]</f>
        <v>1</v>
      </c>
      <c r="V433" t="b">
        <f>M433=_R32Matchups[[#This Row],[1B vs]]</f>
        <v>1</v>
      </c>
      <c r="W433" t="b">
        <f>N433=_R32Matchups[[#This Row],[1D vs]]</f>
        <v>1</v>
      </c>
      <c r="X433" t="b">
        <f>O433=_R32Matchups[[#This Row],[1E vs]]</f>
        <v>1</v>
      </c>
      <c r="Y433" t="b">
        <f>P433=_R32Matchups[[#This Row],[1G vs]]</f>
        <v>1</v>
      </c>
      <c r="Z433" t="b">
        <f>Q433=_R32Matchups[[#This Row],[1I vs]]</f>
        <v>1</v>
      </c>
      <c r="AA433" t="b">
        <f>R433=_R32Matchups[[#This Row],[1K vs]]</f>
        <v>1</v>
      </c>
      <c r="AB433" t="b">
        <f>S433=_R32Matchups[[#This Row],[1L vs]]</f>
        <v>1</v>
      </c>
    </row>
    <row r="434" spans="1:28" ht="14.4">
      <c r="A434" s="2" t="s">
        <v>453</v>
      </c>
      <c r="B434" s="2" t="s">
        <v>28</v>
      </c>
      <c r="C434" s="2" t="s">
        <v>11</v>
      </c>
      <c r="D434" s="2" t="s">
        <v>65</v>
      </c>
      <c r="E434" s="2" t="s">
        <v>19</v>
      </c>
      <c r="F434" s="2" t="s">
        <v>186</v>
      </c>
      <c r="G434" s="2" t="s">
        <v>15</v>
      </c>
      <c r="H434" s="2" t="s">
        <v>16</v>
      </c>
      <c r="I434" s="2" t="s">
        <v>12</v>
      </c>
      <c r="K434" t="s">
        <v>453</v>
      </c>
      <c r="L434" t="s">
        <v>28</v>
      </c>
      <c r="M434" t="s">
        <v>11</v>
      </c>
      <c r="N434" t="s">
        <v>65</v>
      </c>
      <c r="O434" t="s">
        <v>19</v>
      </c>
      <c r="P434" t="s">
        <v>186</v>
      </c>
      <c r="Q434" t="s">
        <v>15</v>
      </c>
      <c r="R434" t="s">
        <v>16</v>
      </c>
      <c r="S434" t="s">
        <v>12</v>
      </c>
      <c r="U434" t="b">
        <f>L434=_R32Matchups[[#This Row],[1A vs]]</f>
        <v>1</v>
      </c>
      <c r="V434" t="b">
        <f>M434=_R32Matchups[[#This Row],[1B vs]]</f>
        <v>1</v>
      </c>
      <c r="W434" t="b">
        <f>N434=_R32Matchups[[#This Row],[1D vs]]</f>
        <v>1</v>
      </c>
      <c r="X434" t="b">
        <f>O434=_R32Matchups[[#This Row],[1E vs]]</f>
        <v>1</v>
      </c>
      <c r="Y434" t="b">
        <f>P434=_R32Matchups[[#This Row],[1G vs]]</f>
        <v>1</v>
      </c>
      <c r="Z434" t="b">
        <f>Q434=_R32Matchups[[#This Row],[1I vs]]</f>
        <v>1</v>
      </c>
      <c r="AA434" t="b">
        <f>R434=_R32Matchups[[#This Row],[1K vs]]</f>
        <v>1</v>
      </c>
      <c r="AB434" t="b">
        <f>S434=_R32Matchups[[#This Row],[1L vs]]</f>
        <v>1</v>
      </c>
    </row>
    <row r="435" spans="1:28" ht="14.4">
      <c r="A435" s="2" t="s">
        <v>454</v>
      </c>
      <c r="B435" s="2" t="s">
        <v>28</v>
      </c>
      <c r="C435" s="2" t="s">
        <v>11</v>
      </c>
      <c r="D435" s="2" t="s">
        <v>65</v>
      </c>
      <c r="E435" s="2" t="s">
        <v>19</v>
      </c>
      <c r="F435" s="2" t="s">
        <v>186</v>
      </c>
      <c r="G435" s="2" t="s">
        <v>15</v>
      </c>
      <c r="H435" s="2" t="s">
        <v>12</v>
      </c>
      <c r="I435" s="2" t="s">
        <v>17</v>
      </c>
      <c r="K435" t="s">
        <v>454</v>
      </c>
      <c r="L435" t="s">
        <v>28</v>
      </c>
      <c r="M435" t="s">
        <v>11</v>
      </c>
      <c r="N435" t="s">
        <v>65</v>
      </c>
      <c r="O435" t="s">
        <v>19</v>
      </c>
      <c r="P435" t="s">
        <v>186</v>
      </c>
      <c r="Q435" t="s">
        <v>15</v>
      </c>
      <c r="R435" t="s">
        <v>12</v>
      </c>
      <c r="S435" t="s">
        <v>17</v>
      </c>
      <c r="U435" t="b">
        <f>L435=_R32Matchups[[#This Row],[1A vs]]</f>
        <v>1</v>
      </c>
      <c r="V435" t="b">
        <f>M435=_R32Matchups[[#This Row],[1B vs]]</f>
        <v>1</v>
      </c>
      <c r="W435" t="b">
        <f>N435=_R32Matchups[[#This Row],[1D vs]]</f>
        <v>1</v>
      </c>
      <c r="X435" t="b">
        <f>O435=_R32Matchups[[#This Row],[1E vs]]</f>
        <v>1</v>
      </c>
      <c r="Y435" t="b">
        <f>P435=_R32Matchups[[#This Row],[1G vs]]</f>
        <v>1</v>
      </c>
      <c r="Z435" t="b">
        <f>Q435=_R32Matchups[[#This Row],[1I vs]]</f>
        <v>1</v>
      </c>
      <c r="AA435" t="b">
        <f>R435=_R32Matchups[[#This Row],[1K vs]]</f>
        <v>1</v>
      </c>
      <c r="AB435" t="b">
        <f>S435=_R32Matchups[[#This Row],[1L vs]]</f>
        <v>1</v>
      </c>
    </row>
    <row r="436" spans="1:28" ht="14.4">
      <c r="A436" s="2" t="s">
        <v>455</v>
      </c>
      <c r="B436" s="2" t="s">
        <v>14</v>
      </c>
      <c r="C436" s="2" t="s">
        <v>15</v>
      </c>
      <c r="D436" s="2" t="s">
        <v>65</v>
      </c>
      <c r="E436" s="2" t="s">
        <v>28</v>
      </c>
      <c r="F436" s="2" t="s">
        <v>186</v>
      </c>
      <c r="G436" s="2" t="s">
        <v>19</v>
      </c>
      <c r="H436" s="2" t="s">
        <v>16</v>
      </c>
      <c r="I436" s="2" t="s">
        <v>17</v>
      </c>
      <c r="K436" t="s">
        <v>455</v>
      </c>
      <c r="L436" t="s">
        <v>14</v>
      </c>
      <c r="M436" t="s">
        <v>15</v>
      </c>
      <c r="N436" t="s">
        <v>65</v>
      </c>
      <c r="O436" t="s">
        <v>28</v>
      </c>
      <c r="P436" t="s">
        <v>186</v>
      </c>
      <c r="Q436" t="s">
        <v>19</v>
      </c>
      <c r="R436" t="s">
        <v>16</v>
      </c>
      <c r="S436" t="s">
        <v>17</v>
      </c>
      <c r="U436" t="b">
        <f>L436=_R32Matchups[[#This Row],[1A vs]]</f>
        <v>1</v>
      </c>
      <c r="V436" t="b">
        <f>M436=_R32Matchups[[#This Row],[1B vs]]</f>
        <v>1</v>
      </c>
      <c r="W436" t="b">
        <f>N436=_R32Matchups[[#This Row],[1D vs]]</f>
        <v>1</v>
      </c>
      <c r="X436" t="b">
        <f>O436=_R32Matchups[[#This Row],[1E vs]]</f>
        <v>1</v>
      </c>
      <c r="Y436" t="b">
        <f>P436=_R32Matchups[[#This Row],[1G vs]]</f>
        <v>1</v>
      </c>
      <c r="Z436" t="b">
        <f>Q436=_R32Matchups[[#This Row],[1I vs]]</f>
        <v>1</v>
      </c>
      <c r="AA436" t="b">
        <f>R436=_R32Matchups[[#This Row],[1K vs]]</f>
        <v>1</v>
      </c>
      <c r="AB436" t="b">
        <f>S436=_R32Matchups[[#This Row],[1L vs]]</f>
        <v>1</v>
      </c>
    </row>
    <row r="437" spans="1:28" ht="14.4">
      <c r="A437" s="2" t="s">
        <v>456</v>
      </c>
      <c r="B437" s="2" t="s">
        <v>14</v>
      </c>
      <c r="C437" s="2" t="s">
        <v>15</v>
      </c>
      <c r="D437" s="2" t="s">
        <v>65</v>
      </c>
      <c r="E437" s="2" t="s">
        <v>28</v>
      </c>
      <c r="F437" s="2" t="s">
        <v>186</v>
      </c>
      <c r="G437" s="2" t="s">
        <v>19</v>
      </c>
      <c r="H437" s="2" t="s">
        <v>16</v>
      </c>
      <c r="I437" s="2" t="s">
        <v>11</v>
      </c>
      <c r="K437" t="s">
        <v>456</v>
      </c>
      <c r="L437" t="s">
        <v>14</v>
      </c>
      <c r="M437" t="s">
        <v>15</v>
      </c>
      <c r="N437" t="s">
        <v>65</v>
      </c>
      <c r="O437" t="s">
        <v>28</v>
      </c>
      <c r="P437" t="s">
        <v>186</v>
      </c>
      <c r="Q437" t="s">
        <v>19</v>
      </c>
      <c r="R437" t="s">
        <v>16</v>
      </c>
      <c r="S437" t="s">
        <v>11</v>
      </c>
      <c r="U437" t="b">
        <f>L437=_R32Matchups[[#This Row],[1A vs]]</f>
        <v>1</v>
      </c>
      <c r="V437" t="b">
        <f>M437=_R32Matchups[[#This Row],[1B vs]]</f>
        <v>1</v>
      </c>
      <c r="W437" t="b">
        <f>N437=_R32Matchups[[#This Row],[1D vs]]</f>
        <v>1</v>
      </c>
      <c r="X437" t="b">
        <f>O437=_R32Matchups[[#This Row],[1E vs]]</f>
        <v>1</v>
      </c>
      <c r="Y437" t="b">
        <f>P437=_R32Matchups[[#This Row],[1G vs]]</f>
        <v>1</v>
      </c>
      <c r="Z437" t="b">
        <f>Q437=_R32Matchups[[#This Row],[1I vs]]</f>
        <v>1</v>
      </c>
      <c r="AA437" t="b">
        <f>R437=_R32Matchups[[#This Row],[1K vs]]</f>
        <v>1</v>
      </c>
      <c r="AB437" t="b">
        <f>S437=_R32Matchups[[#This Row],[1L vs]]</f>
        <v>1</v>
      </c>
    </row>
    <row r="438" spans="1:28" ht="14.4">
      <c r="A438" s="2" t="s">
        <v>457</v>
      </c>
      <c r="B438" s="2" t="s">
        <v>14</v>
      </c>
      <c r="C438" s="2" t="s">
        <v>15</v>
      </c>
      <c r="D438" s="2" t="s">
        <v>65</v>
      </c>
      <c r="E438" s="2" t="s">
        <v>28</v>
      </c>
      <c r="F438" s="2" t="s">
        <v>186</v>
      </c>
      <c r="G438" s="2" t="s">
        <v>19</v>
      </c>
      <c r="H438" s="2" t="s">
        <v>11</v>
      </c>
      <c r="I438" s="2" t="s">
        <v>17</v>
      </c>
      <c r="K438" t="s">
        <v>457</v>
      </c>
      <c r="L438" t="s">
        <v>14</v>
      </c>
      <c r="M438" t="s">
        <v>15</v>
      </c>
      <c r="N438" t="s">
        <v>65</v>
      </c>
      <c r="O438" t="s">
        <v>28</v>
      </c>
      <c r="P438" t="s">
        <v>186</v>
      </c>
      <c r="Q438" t="s">
        <v>19</v>
      </c>
      <c r="R438" t="s">
        <v>11</v>
      </c>
      <c r="S438" t="s">
        <v>17</v>
      </c>
      <c r="U438" t="b">
        <f>L438=_R32Matchups[[#This Row],[1A vs]]</f>
        <v>1</v>
      </c>
      <c r="V438" t="b">
        <f>M438=_R32Matchups[[#This Row],[1B vs]]</f>
        <v>1</v>
      </c>
      <c r="W438" t="b">
        <f>N438=_R32Matchups[[#This Row],[1D vs]]</f>
        <v>1</v>
      </c>
      <c r="X438" t="b">
        <f>O438=_R32Matchups[[#This Row],[1E vs]]</f>
        <v>1</v>
      </c>
      <c r="Y438" t="b">
        <f>P438=_R32Matchups[[#This Row],[1G vs]]</f>
        <v>1</v>
      </c>
      <c r="Z438" t="b">
        <f>Q438=_R32Matchups[[#This Row],[1I vs]]</f>
        <v>1</v>
      </c>
      <c r="AA438" t="b">
        <f>R438=_R32Matchups[[#This Row],[1K vs]]</f>
        <v>1</v>
      </c>
      <c r="AB438" t="b">
        <f>S438=_R32Matchups[[#This Row],[1L vs]]</f>
        <v>1</v>
      </c>
    </row>
    <row r="439" spans="1:28" ht="14.4">
      <c r="A439" s="2" t="s">
        <v>458</v>
      </c>
      <c r="B439" s="2" t="s">
        <v>14</v>
      </c>
      <c r="C439" s="2" t="s">
        <v>15</v>
      </c>
      <c r="D439" s="2" t="s">
        <v>65</v>
      </c>
      <c r="E439" s="2" t="s">
        <v>28</v>
      </c>
      <c r="F439" s="2" t="s">
        <v>186</v>
      </c>
      <c r="G439" s="2" t="s">
        <v>19</v>
      </c>
      <c r="H439" s="2" t="s">
        <v>16</v>
      </c>
      <c r="I439" s="2" t="s">
        <v>12</v>
      </c>
      <c r="K439" t="s">
        <v>458</v>
      </c>
      <c r="L439" t="s">
        <v>14</v>
      </c>
      <c r="M439" t="s">
        <v>15</v>
      </c>
      <c r="N439" t="s">
        <v>65</v>
      </c>
      <c r="O439" t="s">
        <v>28</v>
      </c>
      <c r="P439" t="s">
        <v>186</v>
      </c>
      <c r="Q439" t="s">
        <v>19</v>
      </c>
      <c r="R439" t="s">
        <v>16</v>
      </c>
      <c r="S439" t="s">
        <v>12</v>
      </c>
      <c r="U439" t="b">
        <f>L439=_R32Matchups[[#This Row],[1A vs]]</f>
        <v>1</v>
      </c>
      <c r="V439" t="b">
        <f>M439=_R32Matchups[[#This Row],[1B vs]]</f>
        <v>1</v>
      </c>
      <c r="W439" t="b">
        <f>N439=_R32Matchups[[#This Row],[1D vs]]</f>
        <v>1</v>
      </c>
      <c r="X439" t="b">
        <f>O439=_R32Matchups[[#This Row],[1E vs]]</f>
        <v>1</v>
      </c>
      <c r="Y439" t="b">
        <f>P439=_R32Matchups[[#This Row],[1G vs]]</f>
        <v>1</v>
      </c>
      <c r="Z439" t="b">
        <f>Q439=_R32Matchups[[#This Row],[1I vs]]</f>
        <v>1</v>
      </c>
      <c r="AA439" t="b">
        <f>R439=_R32Matchups[[#This Row],[1K vs]]</f>
        <v>1</v>
      </c>
      <c r="AB439" t="b">
        <f>S439=_R32Matchups[[#This Row],[1L vs]]</f>
        <v>1</v>
      </c>
    </row>
    <row r="440" spans="1:28" ht="14.4">
      <c r="A440" s="2" t="s">
        <v>459</v>
      </c>
      <c r="B440" s="2" t="s">
        <v>14</v>
      </c>
      <c r="C440" s="2" t="s">
        <v>15</v>
      </c>
      <c r="D440" s="2" t="s">
        <v>65</v>
      </c>
      <c r="E440" s="2" t="s">
        <v>28</v>
      </c>
      <c r="F440" s="2" t="s">
        <v>186</v>
      </c>
      <c r="G440" s="2" t="s">
        <v>19</v>
      </c>
      <c r="H440" s="2" t="s">
        <v>12</v>
      </c>
      <c r="I440" s="2" t="s">
        <v>17</v>
      </c>
      <c r="K440" t="s">
        <v>459</v>
      </c>
      <c r="L440" t="s">
        <v>14</v>
      </c>
      <c r="M440" t="s">
        <v>15</v>
      </c>
      <c r="N440" t="s">
        <v>65</v>
      </c>
      <c r="O440" t="s">
        <v>28</v>
      </c>
      <c r="P440" t="s">
        <v>186</v>
      </c>
      <c r="Q440" t="s">
        <v>19</v>
      </c>
      <c r="R440" t="s">
        <v>12</v>
      </c>
      <c r="S440" t="s">
        <v>17</v>
      </c>
      <c r="U440" t="b">
        <f>L440=_R32Matchups[[#This Row],[1A vs]]</f>
        <v>1</v>
      </c>
      <c r="V440" t="b">
        <f>M440=_R32Matchups[[#This Row],[1B vs]]</f>
        <v>1</v>
      </c>
      <c r="W440" t="b">
        <f>N440=_R32Matchups[[#This Row],[1D vs]]</f>
        <v>1</v>
      </c>
      <c r="X440" t="b">
        <f>O440=_R32Matchups[[#This Row],[1E vs]]</f>
        <v>1</v>
      </c>
      <c r="Y440" t="b">
        <f>P440=_R32Matchups[[#This Row],[1G vs]]</f>
        <v>1</v>
      </c>
      <c r="Z440" t="b">
        <f>Q440=_R32Matchups[[#This Row],[1I vs]]</f>
        <v>1</v>
      </c>
      <c r="AA440" t="b">
        <f>R440=_R32Matchups[[#This Row],[1K vs]]</f>
        <v>1</v>
      </c>
      <c r="AB440" t="b">
        <f>S440=_R32Matchups[[#This Row],[1L vs]]</f>
        <v>1</v>
      </c>
    </row>
    <row r="441" spans="1:28" ht="14.4">
      <c r="A441" s="2" t="s">
        <v>460</v>
      </c>
      <c r="B441" s="2" t="s">
        <v>14</v>
      </c>
      <c r="C441" s="2" t="s">
        <v>15</v>
      </c>
      <c r="D441" s="2" t="s">
        <v>65</v>
      </c>
      <c r="E441" s="2" t="s">
        <v>28</v>
      </c>
      <c r="F441" s="2" t="s">
        <v>186</v>
      </c>
      <c r="G441" s="2" t="s">
        <v>19</v>
      </c>
      <c r="H441" s="2" t="s">
        <v>12</v>
      </c>
      <c r="I441" s="2" t="s">
        <v>11</v>
      </c>
      <c r="K441" t="s">
        <v>460</v>
      </c>
      <c r="L441" t="s">
        <v>14</v>
      </c>
      <c r="M441" t="s">
        <v>15</v>
      </c>
      <c r="N441" t="s">
        <v>65</v>
      </c>
      <c r="O441" t="s">
        <v>28</v>
      </c>
      <c r="P441" t="s">
        <v>186</v>
      </c>
      <c r="Q441" t="s">
        <v>19</v>
      </c>
      <c r="R441" t="s">
        <v>12</v>
      </c>
      <c r="S441" t="s">
        <v>11</v>
      </c>
      <c r="U441" t="b">
        <f>L441=_R32Matchups[[#This Row],[1A vs]]</f>
        <v>1</v>
      </c>
      <c r="V441" t="b">
        <f>M441=_R32Matchups[[#This Row],[1B vs]]</f>
        <v>1</v>
      </c>
      <c r="W441" t="b">
        <f>N441=_R32Matchups[[#This Row],[1D vs]]</f>
        <v>1</v>
      </c>
      <c r="X441" t="b">
        <f>O441=_R32Matchups[[#This Row],[1E vs]]</f>
        <v>1</v>
      </c>
      <c r="Y441" t="b">
        <f>P441=_R32Matchups[[#This Row],[1G vs]]</f>
        <v>1</v>
      </c>
      <c r="Z441" t="b">
        <f>Q441=_R32Matchups[[#This Row],[1I vs]]</f>
        <v>1</v>
      </c>
      <c r="AA441" t="b">
        <f>R441=_R32Matchups[[#This Row],[1K vs]]</f>
        <v>1</v>
      </c>
      <c r="AB441" t="b">
        <f>S441=_R32Matchups[[#This Row],[1L vs]]</f>
        <v>1</v>
      </c>
    </row>
    <row r="442" spans="1:28" ht="14.4">
      <c r="A442" s="2" t="s">
        <v>461</v>
      </c>
      <c r="B442" s="2" t="s">
        <v>28</v>
      </c>
      <c r="C442" s="2" t="s">
        <v>11</v>
      </c>
      <c r="D442" s="2" t="s">
        <v>65</v>
      </c>
      <c r="E442" s="2" t="s">
        <v>19</v>
      </c>
      <c r="F442" s="2" t="s">
        <v>186</v>
      </c>
      <c r="G442" s="2" t="s">
        <v>13</v>
      </c>
      <c r="H442" s="2" t="s">
        <v>16</v>
      </c>
      <c r="I442" s="2" t="s">
        <v>17</v>
      </c>
      <c r="K442" t="s">
        <v>461</v>
      </c>
      <c r="L442" t="s">
        <v>28</v>
      </c>
      <c r="M442" t="s">
        <v>11</v>
      </c>
      <c r="N442" t="s">
        <v>65</v>
      </c>
      <c r="O442" t="s">
        <v>19</v>
      </c>
      <c r="P442" t="s">
        <v>186</v>
      </c>
      <c r="Q442" t="s">
        <v>13</v>
      </c>
      <c r="R442" t="s">
        <v>16</v>
      </c>
      <c r="S442" t="s">
        <v>17</v>
      </c>
      <c r="U442" t="b">
        <f>L442=_R32Matchups[[#This Row],[1A vs]]</f>
        <v>1</v>
      </c>
      <c r="V442" t="b">
        <f>M442=_R32Matchups[[#This Row],[1B vs]]</f>
        <v>1</v>
      </c>
      <c r="W442" t="b">
        <f>N442=_R32Matchups[[#This Row],[1D vs]]</f>
        <v>1</v>
      </c>
      <c r="X442" t="b">
        <f>O442=_R32Matchups[[#This Row],[1E vs]]</f>
        <v>1</v>
      </c>
      <c r="Y442" t="b">
        <f>P442=_R32Matchups[[#This Row],[1G vs]]</f>
        <v>1</v>
      </c>
      <c r="Z442" t="b">
        <f>Q442=_R32Matchups[[#This Row],[1I vs]]</f>
        <v>1</v>
      </c>
      <c r="AA442" t="b">
        <f>R442=_R32Matchups[[#This Row],[1K vs]]</f>
        <v>1</v>
      </c>
      <c r="AB442" t="b">
        <f>S442=_R32Matchups[[#This Row],[1L vs]]</f>
        <v>1</v>
      </c>
    </row>
    <row r="443" spans="1:28" ht="14.4">
      <c r="A443" s="2" t="s">
        <v>462</v>
      </c>
      <c r="B443" s="2" t="s">
        <v>28</v>
      </c>
      <c r="C443" s="2" t="s">
        <v>12</v>
      </c>
      <c r="D443" s="2" t="s">
        <v>65</v>
      </c>
      <c r="E443" s="2" t="s">
        <v>19</v>
      </c>
      <c r="F443" s="2" t="s">
        <v>186</v>
      </c>
      <c r="G443" s="2" t="s">
        <v>13</v>
      </c>
      <c r="H443" s="2" t="s">
        <v>16</v>
      </c>
      <c r="I443" s="2" t="s">
        <v>17</v>
      </c>
      <c r="K443" t="s">
        <v>462</v>
      </c>
      <c r="L443" t="s">
        <v>28</v>
      </c>
      <c r="M443" t="s">
        <v>12</v>
      </c>
      <c r="N443" t="s">
        <v>65</v>
      </c>
      <c r="O443" t="s">
        <v>19</v>
      </c>
      <c r="P443" t="s">
        <v>186</v>
      </c>
      <c r="Q443" t="s">
        <v>13</v>
      </c>
      <c r="R443" t="s">
        <v>16</v>
      </c>
      <c r="S443" t="s">
        <v>17</v>
      </c>
      <c r="U443" t="b">
        <f>L443=_R32Matchups[[#This Row],[1A vs]]</f>
        <v>1</v>
      </c>
      <c r="V443" t="b">
        <f>M443=_R32Matchups[[#This Row],[1B vs]]</f>
        <v>1</v>
      </c>
      <c r="W443" t="b">
        <f>N443=_R32Matchups[[#This Row],[1D vs]]</f>
        <v>1</v>
      </c>
      <c r="X443" t="b">
        <f>O443=_R32Matchups[[#This Row],[1E vs]]</f>
        <v>1</v>
      </c>
      <c r="Y443" t="b">
        <f>P443=_R32Matchups[[#This Row],[1G vs]]</f>
        <v>1</v>
      </c>
      <c r="Z443" t="b">
        <f>Q443=_R32Matchups[[#This Row],[1I vs]]</f>
        <v>1</v>
      </c>
      <c r="AA443" t="b">
        <f>R443=_R32Matchups[[#This Row],[1K vs]]</f>
        <v>1</v>
      </c>
      <c r="AB443" t="b">
        <f>S443=_R32Matchups[[#This Row],[1L vs]]</f>
        <v>1</v>
      </c>
    </row>
    <row r="444" spans="1:28" ht="14.4">
      <c r="A444" s="2" t="s">
        <v>463</v>
      </c>
      <c r="B444" s="2" t="s">
        <v>28</v>
      </c>
      <c r="C444" s="2" t="s">
        <v>11</v>
      </c>
      <c r="D444" s="2" t="s">
        <v>65</v>
      </c>
      <c r="E444" s="2" t="s">
        <v>19</v>
      </c>
      <c r="F444" s="2" t="s">
        <v>186</v>
      </c>
      <c r="G444" s="2" t="s">
        <v>13</v>
      </c>
      <c r="H444" s="2" t="s">
        <v>16</v>
      </c>
      <c r="I444" s="2" t="s">
        <v>12</v>
      </c>
      <c r="K444" t="s">
        <v>463</v>
      </c>
      <c r="L444" t="s">
        <v>28</v>
      </c>
      <c r="M444" t="s">
        <v>11</v>
      </c>
      <c r="N444" t="s">
        <v>65</v>
      </c>
      <c r="O444" t="s">
        <v>19</v>
      </c>
      <c r="P444" t="s">
        <v>186</v>
      </c>
      <c r="Q444" t="s">
        <v>13</v>
      </c>
      <c r="R444" t="s">
        <v>16</v>
      </c>
      <c r="S444" t="s">
        <v>12</v>
      </c>
      <c r="U444" t="b">
        <f>L444=_R32Matchups[[#This Row],[1A vs]]</f>
        <v>1</v>
      </c>
      <c r="V444" t="b">
        <f>M444=_R32Matchups[[#This Row],[1B vs]]</f>
        <v>1</v>
      </c>
      <c r="W444" t="b">
        <f>N444=_R32Matchups[[#This Row],[1D vs]]</f>
        <v>1</v>
      </c>
      <c r="X444" t="b">
        <f>O444=_R32Matchups[[#This Row],[1E vs]]</f>
        <v>1</v>
      </c>
      <c r="Y444" t="b">
        <f>P444=_R32Matchups[[#This Row],[1G vs]]</f>
        <v>1</v>
      </c>
      <c r="Z444" t="b">
        <f>Q444=_R32Matchups[[#This Row],[1I vs]]</f>
        <v>1</v>
      </c>
      <c r="AA444" t="b">
        <f>R444=_R32Matchups[[#This Row],[1K vs]]</f>
        <v>1</v>
      </c>
      <c r="AB444" t="b">
        <f>S444=_R32Matchups[[#This Row],[1L vs]]</f>
        <v>1</v>
      </c>
    </row>
    <row r="445" spans="1:28" ht="14.4">
      <c r="A445" s="2" t="s">
        <v>464</v>
      </c>
      <c r="B445" s="2" t="s">
        <v>28</v>
      </c>
      <c r="C445" s="2" t="s">
        <v>11</v>
      </c>
      <c r="D445" s="2" t="s">
        <v>65</v>
      </c>
      <c r="E445" s="2" t="s">
        <v>19</v>
      </c>
      <c r="F445" s="2" t="s">
        <v>186</v>
      </c>
      <c r="G445" s="2" t="s">
        <v>13</v>
      </c>
      <c r="H445" s="2" t="s">
        <v>12</v>
      </c>
      <c r="I445" s="2" t="s">
        <v>17</v>
      </c>
      <c r="K445" t="s">
        <v>464</v>
      </c>
      <c r="L445" t="s">
        <v>28</v>
      </c>
      <c r="M445" t="s">
        <v>11</v>
      </c>
      <c r="N445" t="s">
        <v>65</v>
      </c>
      <c r="O445" t="s">
        <v>19</v>
      </c>
      <c r="P445" t="s">
        <v>186</v>
      </c>
      <c r="Q445" t="s">
        <v>13</v>
      </c>
      <c r="R445" t="s">
        <v>12</v>
      </c>
      <c r="S445" t="s">
        <v>17</v>
      </c>
      <c r="U445" t="b">
        <f>L445=_R32Matchups[[#This Row],[1A vs]]</f>
        <v>1</v>
      </c>
      <c r="V445" t="b">
        <f>M445=_R32Matchups[[#This Row],[1B vs]]</f>
        <v>1</v>
      </c>
      <c r="W445" t="b">
        <f>N445=_R32Matchups[[#This Row],[1D vs]]</f>
        <v>1</v>
      </c>
      <c r="X445" t="b">
        <f>O445=_R32Matchups[[#This Row],[1E vs]]</f>
        <v>1</v>
      </c>
      <c r="Y445" t="b">
        <f>P445=_R32Matchups[[#This Row],[1G vs]]</f>
        <v>1</v>
      </c>
      <c r="Z445" t="b">
        <f>Q445=_R32Matchups[[#This Row],[1I vs]]</f>
        <v>1</v>
      </c>
      <c r="AA445" t="b">
        <f>R445=_R32Matchups[[#This Row],[1K vs]]</f>
        <v>1</v>
      </c>
      <c r="AB445" t="b">
        <f>S445=_R32Matchups[[#This Row],[1L vs]]</f>
        <v>1</v>
      </c>
    </row>
    <row r="446" spans="1:28" ht="14.4">
      <c r="A446" s="2" t="s">
        <v>465</v>
      </c>
      <c r="B446" s="2" t="s">
        <v>14</v>
      </c>
      <c r="C446" s="2" t="s">
        <v>13</v>
      </c>
      <c r="D446" s="2" t="s">
        <v>65</v>
      </c>
      <c r="E446" s="2" t="s">
        <v>28</v>
      </c>
      <c r="F446" s="2" t="s">
        <v>186</v>
      </c>
      <c r="G446" s="2" t="s">
        <v>19</v>
      </c>
      <c r="H446" s="2" t="s">
        <v>16</v>
      </c>
      <c r="I446" s="2" t="s">
        <v>17</v>
      </c>
      <c r="K446" t="s">
        <v>465</v>
      </c>
      <c r="L446" t="s">
        <v>14</v>
      </c>
      <c r="M446" t="s">
        <v>13</v>
      </c>
      <c r="N446" t="s">
        <v>65</v>
      </c>
      <c r="O446" t="s">
        <v>28</v>
      </c>
      <c r="P446" t="s">
        <v>186</v>
      </c>
      <c r="Q446" t="s">
        <v>19</v>
      </c>
      <c r="R446" t="s">
        <v>16</v>
      </c>
      <c r="S446" t="s">
        <v>17</v>
      </c>
      <c r="U446" t="b">
        <f>L446=_R32Matchups[[#This Row],[1A vs]]</f>
        <v>1</v>
      </c>
      <c r="V446" t="b">
        <f>M446=_R32Matchups[[#This Row],[1B vs]]</f>
        <v>1</v>
      </c>
      <c r="W446" t="b">
        <f>N446=_R32Matchups[[#This Row],[1D vs]]</f>
        <v>1</v>
      </c>
      <c r="X446" t="b">
        <f>O446=_R32Matchups[[#This Row],[1E vs]]</f>
        <v>1</v>
      </c>
      <c r="Y446" t="b">
        <f>P446=_R32Matchups[[#This Row],[1G vs]]</f>
        <v>1</v>
      </c>
      <c r="Z446" t="b">
        <f>Q446=_R32Matchups[[#This Row],[1I vs]]</f>
        <v>1</v>
      </c>
      <c r="AA446" t="b">
        <f>R446=_R32Matchups[[#This Row],[1K vs]]</f>
        <v>1</v>
      </c>
      <c r="AB446" t="b">
        <f>S446=_R32Matchups[[#This Row],[1L vs]]</f>
        <v>1</v>
      </c>
    </row>
    <row r="447" spans="1:28" ht="14.4">
      <c r="A447" s="2" t="s">
        <v>466</v>
      </c>
      <c r="B447" s="2" t="s">
        <v>28</v>
      </c>
      <c r="C447" s="2" t="s">
        <v>11</v>
      </c>
      <c r="D447" s="2" t="s">
        <v>65</v>
      </c>
      <c r="E447" s="2" t="s">
        <v>19</v>
      </c>
      <c r="F447" s="2" t="s">
        <v>186</v>
      </c>
      <c r="G447" s="2" t="s">
        <v>13</v>
      </c>
      <c r="H447" s="2" t="s">
        <v>16</v>
      </c>
      <c r="I447" s="2" t="s">
        <v>14</v>
      </c>
      <c r="K447" t="s">
        <v>466</v>
      </c>
      <c r="L447" t="s">
        <v>28</v>
      </c>
      <c r="M447" t="s">
        <v>11</v>
      </c>
      <c r="N447" t="s">
        <v>65</v>
      </c>
      <c r="O447" t="s">
        <v>19</v>
      </c>
      <c r="P447" t="s">
        <v>186</v>
      </c>
      <c r="Q447" t="s">
        <v>13</v>
      </c>
      <c r="R447" t="s">
        <v>16</v>
      </c>
      <c r="S447" t="s">
        <v>14</v>
      </c>
      <c r="U447" t="b">
        <f>L447=_R32Matchups[[#This Row],[1A vs]]</f>
        <v>1</v>
      </c>
      <c r="V447" t="b">
        <f>M447=_R32Matchups[[#This Row],[1B vs]]</f>
        <v>1</v>
      </c>
      <c r="W447" t="b">
        <f>N447=_R32Matchups[[#This Row],[1D vs]]</f>
        <v>1</v>
      </c>
      <c r="X447" t="b">
        <f>O447=_R32Matchups[[#This Row],[1E vs]]</f>
        <v>1</v>
      </c>
      <c r="Y447" t="b">
        <f>P447=_R32Matchups[[#This Row],[1G vs]]</f>
        <v>1</v>
      </c>
      <c r="Z447" t="b">
        <f>Q447=_R32Matchups[[#This Row],[1I vs]]</f>
        <v>1</v>
      </c>
      <c r="AA447" t="b">
        <f>R447=_R32Matchups[[#This Row],[1K vs]]</f>
        <v>1</v>
      </c>
      <c r="AB447" t="b">
        <f>S447=_R32Matchups[[#This Row],[1L vs]]</f>
        <v>1</v>
      </c>
    </row>
    <row r="448" spans="1:28" ht="14.4">
      <c r="A448" s="2" t="s">
        <v>467</v>
      </c>
      <c r="B448" s="2" t="s">
        <v>14</v>
      </c>
      <c r="C448" s="2" t="s">
        <v>11</v>
      </c>
      <c r="D448" s="2" t="s">
        <v>65</v>
      </c>
      <c r="E448" s="2" t="s">
        <v>28</v>
      </c>
      <c r="F448" s="2" t="s">
        <v>186</v>
      </c>
      <c r="G448" s="2" t="s">
        <v>13</v>
      </c>
      <c r="H448" s="2" t="s">
        <v>19</v>
      </c>
      <c r="I448" s="2" t="s">
        <v>17</v>
      </c>
      <c r="K448" t="s">
        <v>467</v>
      </c>
      <c r="L448" t="s">
        <v>14</v>
      </c>
      <c r="M448" t="s">
        <v>11</v>
      </c>
      <c r="N448" t="s">
        <v>65</v>
      </c>
      <c r="O448" t="s">
        <v>28</v>
      </c>
      <c r="P448" t="s">
        <v>186</v>
      </c>
      <c r="Q448" t="s">
        <v>13</v>
      </c>
      <c r="R448" t="s">
        <v>19</v>
      </c>
      <c r="S448" t="s">
        <v>17</v>
      </c>
      <c r="U448" t="b">
        <f>L448=_R32Matchups[[#This Row],[1A vs]]</f>
        <v>1</v>
      </c>
      <c r="V448" t="b">
        <f>M448=_R32Matchups[[#This Row],[1B vs]]</f>
        <v>1</v>
      </c>
      <c r="W448" t="b">
        <f>N448=_R32Matchups[[#This Row],[1D vs]]</f>
        <v>1</v>
      </c>
      <c r="X448" t="b">
        <f>O448=_R32Matchups[[#This Row],[1E vs]]</f>
        <v>1</v>
      </c>
      <c r="Y448" t="b">
        <f>P448=_R32Matchups[[#This Row],[1G vs]]</f>
        <v>1</v>
      </c>
      <c r="Z448" t="b">
        <f>Q448=_R32Matchups[[#This Row],[1I vs]]</f>
        <v>1</v>
      </c>
      <c r="AA448" t="b">
        <f>R448=_R32Matchups[[#This Row],[1K vs]]</f>
        <v>1</v>
      </c>
      <c r="AB448" t="b">
        <f>S448=_R32Matchups[[#This Row],[1L vs]]</f>
        <v>1</v>
      </c>
    </row>
    <row r="449" spans="1:28" ht="14.4">
      <c r="A449" s="2" t="s">
        <v>468</v>
      </c>
      <c r="B449" s="2" t="s">
        <v>14</v>
      </c>
      <c r="C449" s="2" t="s">
        <v>13</v>
      </c>
      <c r="D449" s="2" t="s">
        <v>65</v>
      </c>
      <c r="E449" s="2" t="s">
        <v>28</v>
      </c>
      <c r="F449" s="2" t="s">
        <v>186</v>
      </c>
      <c r="G449" s="2" t="s">
        <v>19</v>
      </c>
      <c r="H449" s="2" t="s">
        <v>16</v>
      </c>
      <c r="I449" s="2" t="s">
        <v>12</v>
      </c>
      <c r="K449" t="s">
        <v>468</v>
      </c>
      <c r="L449" t="s">
        <v>14</v>
      </c>
      <c r="M449" t="s">
        <v>13</v>
      </c>
      <c r="N449" t="s">
        <v>65</v>
      </c>
      <c r="O449" t="s">
        <v>28</v>
      </c>
      <c r="P449" t="s">
        <v>186</v>
      </c>
      <c r="Q449" t="s">
        <v>19</v>
      </c>
      <c r="R449" t="s">
        <v>16</v>
      </c>
      <c r="S449" t="s">
        <v>12</v>
      </c>
      <c r="U449" t="b">
        <f>L449=_R32Matchups[[#This Row],[1A vs]]</f>
        <v>1</v>
      </c>
      <c r="V449" t="b">
        <f>M449=_R32Matchups[[#This Row],[1B vs]]</f>
        <v>1</v>
      </c>
      <c r="W449" t="b">
        <f>N449=_R32Matchups[[#This Row],[1D vs]]</f>
        <v>1</v>
      </c>
      <c r="X449" t="b">
        <f>O449=_R32Matchups[[#This Row],[1E vs]]</f>
        <v>1</v>
      </c>
      <c r="Y449" t="b">
        <f>P449=_R32Matchups[[#This Row],[1G vs]]</f>
        <v>1</v>
      </c>
      <c r="Z449" t="b">
        <f>Q449=_R32Matchups[[#This Row],[1I vs]]</f>
        <v>1</v>
      </c>
      <c r="AA449" t="b">
        <f>R449=_R32Matchups[[#This Row],[1K vs]]</f>
        <v>1</v>
      </c>
      <c r="AB449" t="b">
        <f>S449=_R32Matchups[[#This Row],[1L vs]]</f>
        <v>1</v>
      </c>
    </row>
    <row r="450" spans="1:28" ht="14.4">
      <c r="A450" s="2" t="s">
        <v>469</v>
      </c>
      <c r="B450" s="2" t="s">
        <v>14</v>
      </c>
      <c r="C450" s="2" t="s">
        <v>13</v>
      </c>
      <c r="D450" s="2" t="s">
        <v>65</v>
      </c>
      <c r="E450" s="2" t="s">
        <v>28</v>
      </c>
      <c r="F450" s="2" t="s">
        <v>186</v>
      </c>
      <c r="G450" s="2" t="s">
        <v>19</v>
      </c>
      <c r="H450" s="2" t="s">
        <v>12</v>
      </c>
      <c r="I450" s="2" t="s">
        <v>17</v>
      </c>
      <c r="K450" t="s">
        <v>469</v>
      </c>
      <c r="L450" t="s">
        <v>14</v>
      </c>
      <c r="M450" t="s">
        <v>13</v>
      </c>
      <c r="N450" t="s">
        <v>65</v>
      </c>
      <c r="O450" t="s">
        <v>28</v>
      </c>
      <c r="P450" t="s">
        <v>186</v>
      </c>
      <c r="Q450" t="s">
        <v>19</v>
      </c>
      <c r="R450" t="s">
        <v>12</v>
      </c>
      <c r="S450" t="s">
        <v>17</v>
      </c>
      <c r="U450" t="b">
        <f>L450=_R32Matchups[[#This Row],[1A vs]]</f>
        <v>1</v>
      </c>
      <c r="V450" t="b">
        <f>M450=_R32Matchups[[#This Row],[1B vs]]</f>
        <v>1</v>
      </c>
      <c r="W450" t="b">
        <f>N450=_R32Matchups[[#This Row],[1D vs]]</f>
        <v>1</v>
      </c>
      <c r="X450" t="b">
        <f>O450=_R32Matchups[[#This Row],[1E vs]]</f>
        <v>1</v>
      </c>
      <c r="Y450" t="b">
        <f>P450=_R32Matchups[[#This Row],[1G vs]]</f>
        <v>1</v>
      </c>
      <c r="Z450" t="b">
        <f>Q450=_R32Matchups[[#This Row],[1I vs]]</f>
        <v>1</v>
      </c>
      <c r="AA450" t="b">
        <f>R450=_R32Matchups[[#This Row],[1K vs]]</f>
        <v>1</v>
      </c>
      <c r="AB450" t="b">
        <f>S450=_R32Matchups[[#This Row],[1L vs]]</f>
        <v>1</v>
      </c>
    </row>
    <row r="451" spans="1:28" ht="14.4">
      <c r="A451" s="2" t="s">
        <v>470</v>
      </c>
      <c r="B451" s="2" t="s">
        <v>14</v>
      </c>
      <c r="C451" s="2" t="s">
        <v>11</v>
      </c>
      <c r="D451" s="2" t="s">
        <v>65</v>
      </c>
      <c r="E451" s="2" t="s">
        <v>28</v>
      </c>
      <c r="F451" s="2" t="s">
        <v>186</v>
      </c>
      <c r="G451" s="2" t="s">
        <v>13</v>
      </c>
      <c r="H451" s="2" t="s">
        <v>19</v>
      </c>
      <c r="I451" s="2" t="s">
        <v>12</v>
      </c>
      <c r="K451" t="s">
        <v>470</v>
      </c>
      <c r="L451" t="s">
        <v>14</v>
      </c>
      <c r="M451" t="s">
        <v>11</v>
      </c>
      <c r="N451" t="s">
        <v>65</v>
      </c>
      <c r="O451" t="s">
        <v>28</v>
      </c>
      <c r="P451" t="s">
        <v>186</v>
      </c>
      <c r="Q451" t="s">
        <v>13</v>
      </c>
      <c r="R451" t="s">
        <v>19</v>
      </c>
      <c r="S451" t="s">
        <v>12</v>
      </c>
      <c r="U451" t="b">
        <f>L451=_R32Matchups[[#This Row],[1A vs]]</f>
        <v>1</v>
      </c>
      <c r="V451" t="b">
        <f>M451=_R32Matchups[[#This Row],[1B vs]]</f>
        <v>1</v>
      </c>
      <c r="W451" t="b">
        <f>N451=_R32Matchups[[#This Row],[1D vs]]</f>
        <v>1</v>
      </c>
      <c r="X451" t="b">
        <f>O451=_R32Matchups[[#This Row],[1E vs]]</f>
        <v>1</v>
      </c>
      <c r="Y451" t="b">
        <f>P451=_R32Matchups[[#This Row],[1G vs]]</f>
        <v>1</v>
      </c>
      <c r="Z451" t="b">
        <f>Q451=_R32Matchups[[#This Row],[1I vs]]</f>
        <v>1</v>
      </c>
      <c r="AA451" t="b">
        <f>R451=_R32Matchups[[#This Row],[1K vs]]</f>
        <v>1</v>
      </c>
      <c r="AB451" t="b">
        <f>S451=_R32Matchups[[#This Row],[1L vs]]</f>
        <v>1</v>
      </c>
    </row>
    <row r="452" spans="1:28" ht="14.4">
      <c r="A452" s="2" t="s">
        <v>471</v>
      </c>
      <c r="B452" s="2" t="s">
        <v>28</v>
      </c>
      <c r="C452" s="2" t="s">
        <v>15</v>
      </c>
      <c r="D452" s="2" t="s">
        <v>65</v>
      </c>
      <c r="E452" s="2" t="s">
        <v>19</v>
      </c>
      <c r="F452" s="2" t="s">
        <v>186</v>
      </c>
      <c r="G452" s="2" t="s">
        <v>13</v>
      </c>
      <c r="H452" s="2" t="s">
        <v>16</v>
      </c>
      <c r="I452" s="2" t="s">
        <v>17</v>
      </c>
      <c r="K452" t="s">
        <v>471</v>
      </c>
      <c r="L452" t="s">
        <v>28</v>
      </c>
      <c r="M452" t="s">
        <v>15</v>
      </c>
      <c r="N452" t="s">
        <v>65</v>
      </c>
      <c r="O452" t="s">
        <v>19</v>
      </c>
      <c r="P452" t="s">
        <v>186</v>
      </c>
      <c r="Q452" t="s">
        <v>13</v>
      </c>
      <c r="R452" t="s">
        <v>16</v>
      </c>
      <c r="S452" t="s">
        <v>17</v>
      </c>
      <c r="U452" t="b">
        <f>L452=_R32Matchups[[#This Row],[1A vs]]</f>
        <v>1</v>
      </c>
      <c r="V452" t="b">
        <f>M452=_R32Matchups[[#This Row],[1B vs]]</f>
        <v>1</v>
      </c>
      <c r="W452" t="b">
        <f>N452=_R32Matchups[[#This Row],[1D vs]]</f>
        <v>1</v>
      </c>
      <c r="X452" t="b">
        <f>O452=_R32Matchups[[#This Row],[1E vs]]</f>
        <v>1</v>
      </c>
      <c r="Y452" t="b">
        <f>P452=_R32Matchups[[#This Row],[1G vs]]</f>
        <v>1</v>
      </c>
      <c r="Z452" t="b">
        <f>Q452=_R32Matchups[[#This Row],[1I vs]]</f>
        <v>1</v>
      </c>
      <c r="AA452" t="b">
        <f>R452=_R32Matchups[[#This Row],[1K vs]]</f>
        <v>1</v>
      </c>
      <c r="AB452" t="b">
        <f>S452=_R32Matchups[[#This Row],[1L vs]]</f>
        <v>1</v>
      </c>
    </row>
    <row r="453" spans="1:28" ht="14.4">
      <c r="A453" s="2" t="s">
        <v>472</v>
      </c>
      <c r="B453" s="2" t="s">
        <v>28</v>
      </c>
      <c r="C453" s="2" t="s">
        <v>15</v>
      </c>
      <c r="D453" s="2" t="s">
        <v>65</v>
      </c>
      <c r="E453" s="2" t="s">
        <v>19</v>
      </c>
      <c r="F453" s="2" t="s">
        <v>186</v>
      </c>
      <c r="G453" s="2" t="s">
        <v>13</v>
      </c>
      <c r="H453" s="2" t="s">
        <v>16</v>
      </c>
      <c r="I453" s="2" t="s">
        <v>11</v>
      </c>
      <c r="K453" t="s">
        <v>472</v>
      </c>
      <c r="L453" t="s">
        <v>28</v>
      </c>
      <c r="M453" t="s">
        <v>15</v>
      </c>
      <c r="N453" t="s">
        <v>65</v>
      </c>
      <c r="O453" t="s">
        <v>19</v>
      </c>
      <c r="P453" t="s">
        <v>186</v>
      </c>
      <c r="Q453" t="s">
        <v>13</v>
      </c>
      <c r="R453" t="s">
        <v>16</v>
      </c>
      <c r="S453" t="s">
        <v>11</v>
      </c>
      <c r="U453" t="b">
        <f>L453=_R32Matchups[[#This Row],[1A vs]]</f>
        <v>1</v>
      </c>
      <c r="V453" t="b">
        <f>M453=_R32Matchups[[#This Row],[1B vs]]</f>
        <v>1</v>
      </c>
      <c r="W453" t="b">
        <f>N453=_R32Matchups[[#This Row],[1D vs]]</f>
        <v>1</v>
      </c>
      <c r="X453" t="b">
        <f>O453=_R32Matchups[[#This Row],[1E vs]]</f>
        <v>1</v>
      </c>
      <c r="Y453" t="b">
        <f>P453=_R32Matchups[[#This Row],[1G vs]]</f>
        <v>1</v>
      </c>
      <c r="Z453" t="b">
        <f>Q453=_R32Matchups[[#This Row],[1I vs]]</f>
        <v>1</v>
      </c>
      <c r="AA453" t="b">
        <f>R453=_R32Matchups[[#This Row],[1K vs]]</f>
        <v>1</v>
      </c>
      <c r="AB453" t="b">
        <f>S453=_R32Matchups[[#This Row],[1L vs]]</f>
        <v>1</v>
      </c>
    </row>
    <row r="454" spans="1:28" ht="14.4">
      <c r="A454" s="2" t="s">
        <v>473</v>
      </c>
      <c r="B454" s="2" t="s">
        <v>28</v>
      </c>
      <c r="C454" s="2" t="s">
        <v>15</v>
      </c>
      <c r="D454" s="2" t="s">
        <v>65</v>
      </c>
      <c r="E454" s="2" t="s">
        <v>19</v>
      </c>
      <c r="F454" s="2" t="s">
        <v>186</v>
      </c>
      <c r="G454" s="2" t="s">
        <v>13</v>
      </c>
      <c r="H454" s="2" t="s">
        <v>11</v>
      </c>
      <c r="I454" s="2" t="s">
        <v>17</v>
      </c>
      <c r="K454" t="s">
        <v>473</v>
      </c>
      <c r="L454" t="s">
        <v>28</v>
      </c>
      <c r="M454" t="s">
        <v>15</v>
      </c>
      <c r="N454" t="s">
        <v>65</v>
      </c>
      <c r="O454" t="s">
        <v>19</v>
      </c>
      <c r="P454" t="s">
        <v>186</v>
      </c>
      <c r="Q454" t="s">
        <v>13</v>
      </c>
      <c r="R454" t="s">
        <v>11</v>
      </c>
      <c r="S454" t="s">
        <v>17</v>
      </c>
      <c r="U454" t="b">
        <f>L454=_R32Matchups[[#This Row],[1A vs]]</f>
        <v>1</v>
      </c>
      <c r="V454" t="b">
        <f>M454=_R32Matchups[[#This Row],[1B vs]]</f>
        <v>1</v>
      </c>
      <c r="W454" t="b">
        <f>N454=_R32Matchups[[#This Row],[1D vs]]</f>
        <v>1</v>
      </c>
      <c r="X454" t="b">
        <f>O454=_R32Matchups[[#This Row],[1E vs]]</f>
        <v>1</v>
      </c>
      <c r="Y454" t="b">
        <f>P454=_R32Matchups[[#This Row],[1G vs]]</f>
        <v>1</v>
      </c>
      <c r="Z454" t="b">
        <f>Q454=_R32Matchups[[#This Row],[1I vs]]</f>
        <v>1</v>
      </c>
      <c r="AA454" t="b">
        <f>R454=_R32Matchups[[#This Row],[1K vs]]</f>
        <v>1</v>
      </c>
      <c r="AB454" t="b">
        <f>S454=_R32Matchups[[#This Row],[1L vs]]</f>
        <v>1</v>
      </c>
    </row>
    <row r="455" spans="1:28" ht="14.4">
      <c r="A455" s="2" t="s">
        <v>474</v>
      </c>
      <c r="B455" s="2" t="s">
        <v>28</v>
      </c>
      <c r="C455" s="2" t="s">
        <v>15</v>
      </c>
      <c r="D455" s="2" t="s">
        <v>65</v>
      </c>
      <c r="E455" s="2" t="s">
        <v>19</v>
      </c>
      <c r="F455" s="2" t="s">
        <v>186</v>
      </c>
      <c r="G455" s="2" t="s">
        <v>13</v>
      </c>
      <c r="H455" s="2" t="s">
        <v>16</v>
      </c>
      <c r="I455" s="2" t="s">
        <v>12</v>
      </c>
      <c r="K455" t="s">
        <v>474</v>
      </c>
      <c r="L455" t="s">
        <v>28</v>
      </c>
      <c r="M455" t="s">
        <v>15</v>
      </c>
      <c r="N455" t="s">
        <v>65</v>
      </c>
      <c r="O455" t="s">
        <v>19</v>
      </c>
      <c r="P455" t="s">
        <v>186</v>
      </c>
      <c r="Q455" t="s">
        <v>13</v>
      </c>
      <c r="R455" t="s">
        <v>16</v>
      </c>
      <c r="S455" t="s">
        <v>12</v>
      </c>
      <c r="U455" t="b">
        <f>L455=_R32Matchups[[#This Row],[1A vs]]</f>
        <v>1</v>
      </c>
      <c r="V455" t="b">
        <f>M455=_R32Matchups[[#This Row],[1B vs]]</f>
        <v>1</v>
      </c>
      <c r="W455" t="b">
        <f>N455=_R32Matchups[[#This Row],[1D vs]]</f>
        <v>1</v>
      </c>
      <c r="X455" t="b">
        <f>O455=_R32Matchups[[#This Row],[1E vs]]</f>
        <v>1</v>
      </c>
      <c r="Y455" t="b">
        <f>P455=_R32Matchups[[#This Row],[1G vs]]</f>
        <v>1</v>
      </c>
      <c r="Z455" t="b">
        <f>Q455=_R32Matchups[[#This Row],[1I vs]]</f>
        <v>1</v>
      </c>
      <c r="AA455" t="b">
        <f>R455=_R32Matchups[[#This Row],[1K vs]]</f>
        <v>1</v>
      </c>
      <c r="AB455" t="b">
        <f>S455=_R32Matchups[[#This Row],[1L vs]]</f>
        <v>1</v>
      </c>
    </row>
    <row r="456" spans="1:28" ht="14.4">
      <c r="A456" s="2" t="s">
        <v>475</v>
      </c>
      <c r="B456" s="2" t="s">
        <v>28</v>
      </c>
      <c r="C456" s="2" t="s">
        <v>15</v>
      </c>
      <c r="D456" s="2" t="s">
        <v>65</v>
      </c>
      <c r="E456" s="2" t="s">
        <v>19</v>
      </c>
      <c r="F456" s="2" t="s">
        <v>186</v>
      </c>
      <c r="G456" s="2" t="s">
        <v>13</v>
      </c>
      <c r="H456" s="2" t="s">
        <v>12</v>
      </c>
      <c r="I456" s="2" t="s">
        <v>17</v>
      </c>
      <c r="K456" t="s">
        <v>475</v>
      </c>
      <c r="L456" t="s">
        <v>28</v>
      </c>
      <c r="M456" t="s">
        <v>15</v>
      </c>
      <c r="N456" t="s">
        <v>65</v>
      </c>
      <c r="O456" t="s">
        <v>19</v>
      </c>
      <c r="P456" t="s">
        <v>186</v>
      </c>
      <c r="Q456" t="s">
        <v>13</v>
      </c>
      <c r="R456" t="s">
        <v>12</v>
      </c>
      <c r="S456" t="s">
        <v>17</v>
      </c>
      <c r="U456" t="b">
        <f>L456=_R32Matchups[[#This Row],[1A vs]]</f>
        <v>1</v>
      </c>
      <c r="V456" t="b">
        <f>M456=_R32Matchups[[#This Row],[1B vs]]</f>
        <v>1</v>
      </c>
      <c r="W456" t="b">
        <f>N456=_R32Matchups[[#This Row],[1D vs]]</f>
        <v>1</v>
      </c>
      <c r="X456" t="b">
        <f>O456=_R32Matchups[[#This Row],[1E vs]]</f>
        <v>1</v>
      </c>
      <c r="Y456" t="b">
        <f>P456=_R32Matchups[[#This Row],[1G vs]]</f>
        <v>1</v>
      </c>
      <c r="Z456" t="b">
        <f>Q456=_R32Matchups[[#This Row],[1I vs]]</f>
        <v>1</v>
      </c>
      <c r="AA456" t="b">
        <f>R456=_R32Matchups[[#This Row],[1K vs]]</f>
        <v>1</v>
      </c>
      <c r="AB456" t="b">
        <f>S456=_R32Matchups[[#This Row],[1L vs]]</f>
        <v>1</v>
      </c>
    </row>
    <row r="457" spans="1:28" ht="14.4">
      <c r="A457" s="2" t="s">
        <v>476</v>
      </c>
      <c r="B457" s="2" t="s">
        <v>28</v>
      </c>
      <c r="C457" s="2" t="s">
        <v>15</v>
      </c>
      <c r="D457" s="2" t="s">
        <v>65</v>
      </c>
      <c r="E457" s="2" t="s">
        <v>19</v>
      </c>
      <c r="F457" s="2" t="s">
        <v>186</v>
      </c>
      <c r="G457" s="2" t="s">
        <v>13</v>
      </c>
      <c r="H457" s="2" t="s">
        <v>12</v>
      </c>
      <c r="I457" s="2" t="s">
        <v>11</v>
      </c>
      <c r="K457" t="s">
        <v>476</v>
      </c>
      <c r="L457" t="s">
        <v>28</v>
      </c>
      <c r="M457" t="s">
        <v>15</v>
      </c>
      <c r="N457" t="s">
        <v>65</v>
      </c>
      <c r="O457" t="s">
        <v>19</v>
      </c>
      <c r="P457" t="s">
        <v>186</v>
      </c>
      <c r="Q457" t="s">
        <v>13</v>
      </c>
      <c r="R457" t="s">
        <v>12</v>
      </c>
      <c r="S457" t="s">
        <v>11</v>
      </c>
      <c r="U457" t="b">
        <f>L457=_R32Matchups[[#This Row],[1A vs]]</f>
        <v>1</v>
      </c>
      <c r="V457" t="b">
        <f>M457=_R32Matchups[[#This Row],[1B vs]]</f>
        <v>1</v>
      </c>
      <c r="W457" t="b">
        <f>N457=_R32Matchups[[#This Row],[1D vs]]</f>
        <v>1</v>
      </c>
      <c r="X457" t="b">
        <f>O457=_R32Matchups[[#This Row],[1E vs]]</f>
        <v>1</v>
      </c>
      <c r="Y457" t="b">
        <f>P457=_R32Matchups[[#This Row],[1G vs]]</f>
        <v>1</v>
      </c>
      <c r="Z457" t="b">
        <f>Q457=_R32Matchups[[#This Row],[1I vs]]</f>
        <v>1</v>
      </c>
      <c r="AA457" t="b">
        <f>R457=_R32Matchups[[#This Row],[1K vs]]</f>
        <v>1</v>
      </c>
      <c r="AB457" t="b">
        <f>S457=_R32Matchups[[#This Row],[1L vs]]</f>
        <v>1</v>
      </c>
    </row>
    <row r="458" spans="1:28" ht="14.4">
      <c r="A458" s="2" t="s">
        <v>477</v>
      </c>
      <c r="B458" s="2" t="s">
        <v>28</v>
      </c>
      <c r="C458" s="2" t="s">
        <v>15</v>
      </c>
      <c r="D458" s="2" t="s">
        <v>65</v>
      </c>
      <c r="E458" s="2" t="s">
        <v>19</v>
      </c>
      <c r="F458" s="2" t="s">
        <v>186</v>
      </c>
      <c r="G458" s="2" t="s">
        <v>13</v>
      </c>
      <c r="H458" s="2" t="s">
        <v>16</v>
      </c>
      <c r="I458" s="2" t="s">
        <v>14</v>
      </c>
      <c r="K458" t="s">
        <v>477</v>
      </c>
      <c r="L458" t="s">
        <v>28</v>
      </c>
      <c r="M458" t="s">
        <v>15</v>
      </c>
      <c r="N458" t="s">
        <v>65</v>
      </c>
      <c r="O458" t="s">
        <v>19</v>
      </c>
      <c r="P458" t="s">
        <v>186</v>
      </c>
      <c r="Q458" t="s">
        <v>13</v>
      </c>
      <c r="R458" t="s">
        <v>16</v>
      </c>
      <c r="S458" t="s">
        <v>14</v>
      </c>
      <c r="U458" t="b">
        <f>L458=_R32Matchups[[#This Row],[1A vs]]</f>
        <v>1</v>
      </c>
      <c r="V458" t="b">
        <f>M458=_R32Matchups[[#This Row],[1B vs]]</f>
        <v>1</v>
      </c>
      <c r="W458" t="b">
        <f>N458=_R32Matchups[[#This Row],[1D vs]]</f>
        <v>1</v>
      </c>
      <c r="X458" t="b">
        <f>O458=_R32Matchups[[#This Row],[1E vs]]</f>
        <v>1</v>
      </c>
      <c r="Y458" t="b">
        <f>P458=_R32Matchups[[#This Row],[1G vs]]</f>
        <v>1</v>
      </c>
      <c r="Z458" t="b">
        <f>Q458=_R32Matchups[[#This Row],[1I vs]]</f>
        <v>1</v>
      </c>
      <c r="AA458" t="b">
        <f>R458=_R32Matchups[[#This Row],[1K vs]]</f>
        <v>1</v>
      </c>
      <c r="AB458" t="b">
        <f>S458=_R32Matchups[[#This Row],[1L vs]]</f>
        <v>1</v>
      </c>
    </row>
    <row r="459" spans="1:28" ht="14.4">
      <c r="A459" s="2" t="s">
        <v>478</v>
      </c>
      <c r="B459" s="2" t="s">
        <v>14</v>
      </c>
      <c r="C459" s="2" t="s">
        <v>15</v>
      </c>
      <c r="D459" s="2" t="s">
        <v>65</v>
      </c>
      <c r="E459" s="2" t="s">
        <v>28</v>
      </c>
      <c r="F459" s="2" t="s">
        <v>186</v>
      </c>
      <c r="G459" s="2" t="s">
        <v>13</v>
      </c>
      <c r="H459" s="2" t="s">
        <v>19</v>
      </c>
      <c r="I459" s="2" t="s">
        <v>17</v>
      </c>
      <c r="K459" t="s">
        <v>478</v>
      </c>
      <c r="L459" t="s">
        <v>14</v>
      </c>
      <c r="M459" t="s">
        <v>15</v>
      </c>
      <c r="N459" t="s">
        <v>65</v>
      </c>
      <c r="O459" t="s">
        <v>28</v>
      </c>
      <c r="P459" t="s">
        <v>186</v>
      </c>
      <c r="Q459" t="s">
        <v>13</v>
      </c>
      <c r="R459" t="s">
        <v>19</v>
      </c>
      <c r="S459" t="s">
        <v>17</v>
      </c>
      <c r="U459" t="b">
        <f>L459=_R32Matchups[[#This Row],[1A vs]]</f>
        <v>1</v>
      </c>
      <c r="V459" t="b">
        <f>M459=_R32Matchups[[#This Row],[1B vs]]</f>
        <v>1</v>
      </c>
      <c r="W459" t="b">
        <f>N459=_R32Matchups[[#This Row],[1D vs]]</f>
        <v>1</v>
      </c>
      <c r="X459" t="b">
        <f>O459=_R32Matchups[[#This Row],[1E vs]]</f>
        <v>1</v>
      </c>
      <c r="Y459" t="b">
        <f>P459=_R32Matchups[[#This Row],[1G vs]]</f>
        <v>1</v>
      </c>
      <c r="Z459" t="b">
        <f>Q459=_R32Matchups[[#This Row],[1I vs]]</f>
        <v>1</v>
      </c>
      <c r="AA459" t="b">
        <f>R459=_R32Matchups[[#This Row],[1K vs]]</f>
        <v>1</v>
      </c>
      <c r="AB459" t="b">
        <f>S459=_R32Matchups[[#This Row],[1L vs]]</f>
        <v>1</v>
      </c>
    </row>
    <row r="460" spans="1:28" ht="14.4">
      <c r="A460" s="2" t="s">
        <v>479</v>
      </c>
      <c r="B460" s="2" t="s">
        <v>14</v>
      </c>
      <c r="C460" s="2" t="s">
        <v>15</v>
      </c>
      <c r="D460" s="2" t="s">
        <v>65</v>
      </c>
      <c r="E460" s="2" t="s">
        <v>28</v>
      </c>
      <c r="F460" s="2" t="s">
        <v>186</v>
      </c>
      <c r="G460" s="2" t="s">
        <v>13</v>
      </c>
      <c r="H460" s="2" t="s">
        <v>19</v>
      </c>
      <c r="I460" s="2" t="s">
        <v>11</v>
      </c>
      <c r="K460" t="s">
        <v>479</v>
      </c>
      <c r="L460" t="s">
        <v>14</v>
      </c>
      <c r="M460" t="s">
        <v>15</v>
      </c>
      <c r="N460" t="s">
        <v>65</v>
      </c>
      <c r="O460" t="s">
        <v>28</v>
      </c>
      <c r="P460" t="s">
        <v>186</v>
      </c>
      <c r="Q460" t="s">
        <v>13</v>
      </c>
      <c r="R460" t="s">
        <v>19</v>
      </c>
      <c r="S460" t="s">
        <v>11</v>
      </c>
      <c r="U460" t="b">
        <f>L460=_R32Matchups[[#This Row],[1A vs]]</f>
        <v>1</v>
      </c>
      <c r="V460" t="b">
        <f>M460=_R32Matchups[[#This Row],[1B vs]]</f>
        <v>1</v>
      </c>
      <c r="W460" t="b">
        <f>N460=_R32Matchups[[#This Row],[1D vs]]</f>
        <v>1</v>
      </c>
      <c r="X460" t="b">
        <f>O460=_R32Matchups[[#This Row],[1E vs]]</f>
        <v>1</v>
      </c>
      <c r="Y460" t="b">
        <f>P460=_R32Matchups[[#This Row],[1G vs]]</f>
        <v>1</v>
      </c>
      <c r="Z460" t="b">
        <f>Q460=_R32Matchups[[#This Row],[1I vs]]</f>
        <v>1</v>
      </c>
      <c r="AA460" t="b">
        <f>R460=_R32Matchups[[#This Row],[1K vs]]</f>
        <v>1</v>
      </c>
      <c r="AB460" t="b">
        <f>S460=_R32Matchups[[#This Row],[1L vs]]</f>
        <v>1</v>
      </c>
    </row>
    <row r="461" spans="1:28" ht="14.4">
      <c r="A461" s="2" t="s">
        <v>480</v>
      </c>
      <c r="B461" s="2" t="s">
        <v>14</v>
      </c>
      <c r="C461" s="2" t="s">
        <v>15</v>
      </c>
      <c r="D461" s="2" t="s">
        <v>65</v>
      </c>
      <c r="E461" s="2" t="s">
        <v>28</v>
      </c>
      <c r="F461" s="2" t="s">
        <v>186</v>
      </c>
      <c r="G461" s="2" t="s">
        <v>13</v>
      </c>
      <c r="H461" s="2" t="s">
        <v>19</v>
      </c>
      <c r="I461" s="2" t="s">
        <v>12</v>
      </c>
      <c r="K461" t="s">
        <v>480</v>
      </c>
      <c r="L461" t="s">
        <v>14</v>
      </c>
      <c r="M461" t="s">
        <v>15</v>
      </c>
      <c r="N461" t="s">
        <v>65</v>
      </c>
      <c r="O461" t="s">
        <v>28</v>
      </c>
      <c r="P461" t="s">
        <v>186</v>
      </c>
      <c r="Q461" t="s">
        <v>13</v>
      </c>
      <c r="R461" t="s">
        <v>19</v>
      </c>
      <c r="S461" t="s">
        <v>12</v>
      </c>
      <c r="U461" t="b">
        <f>L461=_R32Matchups[[#This Row],[1A vs]]</f>
        <v>1</v>
      </c>
      <c r="V461" t="b">
        <f>M461=_R32Matchups[[#This Row],[1B vs]]</f>
        <v>1</v>
      </c>
      <c r="W461" t="b">
        <f>N461=_R32Matchups[[#This Row],[1D vs]]</f>
        <v>1</v>
      </c>
      <c r="X461" t="b">
        <f>O461=_R32Matchups[[#This Row],[1E vs]]</f>
        <v>1</v>
      </c>
      <c r="Y461" t="b">
        <f>P461=_R32Matchups[[#This Row],[1G vs]]</f>
        <v>1</v>
      </c>
      <c r="Z461" t="b">
        <f>Q461=_R32Matchups[[#This Row],[1I vs]]</f>
        <v>1</v>
      </c>
      <c r="AA461" t="b">
        <f>R461=_R32Matchups[[#This Row],[1K vs]]</f>
        <v>1</v>
      </c>
      <c r="AB461" t="b">
        <f>S461=_R32Matchups[[#This Row],[1L vs]]</f>
        <v>1</v>
      </c>
    </row>
    <row r="462" spans="1:28" ht="14.4">
      <c r="A462" s="2" t="s">
        <v>481</v>
      </c>
      <c r="B462" s="2" t="s">
        <v>10</v>
      </c>
      <c r="C462" s="2" t="s">
        <v>11</v>
      </c>
      <c r="D462" s="2" t="s">
        <v>65</v>
      </c>
      <c r="E462" s="2" t="s">
        <v>28</v>
      </c>
      <c r="F462" s="2" t="s">
        <v>186</v>
      </c>
      <c r="G462" s="2" t="s">
        <v>19</v>
      </c>
      <c r="H462" s="2" t="s">
        <v>16</v>
      </c>
      <c r="I462" s="2" t="s">
        <v>17</v>
      </c>
      <c r="K462" t="s">
        <v>481</v>
      </c>
      <c r="L462" t="s">
        <v>10</v>
      </c>
      <c r="M462" t="s">
        <v>11</v>
      </c>
      <c r="N462" t="s">
        <v>65</v>
      </c>
      <c r="O462" t="s">
        <v>28</v>
      </c>
      <c r="P462" t="s">
        <v>186</v>
      </c>
      <c r="Q462" t="s">
        <v>19</v>
      </c>
      <c r="R462" t="s">
        <v>16</v>
      </c>
      <c r="S462" t="s">
        <v>17</v>
      </c>
      <c r="U462" t="b">
        <f>L462=_R32Matchups[[#This Row],[1A vs]]</f>
        <v>1</v>
      </c>
      <c r="V462" t="b">
        <f>M462=_R32Matchups[[#This Row],[1B vs]]</f>
        <v>1</v>
      </c>
      <c r="W462" t="b">
        <f>N462=_R32Matchups[[#This Row],[1D vs]]</f>
        <v>1</v>
      </c>
      <c r="X462" t="b">
        <f>O462=_R32Matchups[[#This Row],[1E vs]]</f>
        <v>1</v>
      </c>
      <c r="Y462" t="b">
        <f>P462=_R32Matchups[[#This Row],[1G vs]]</f>
        <v>1</v>
      </c>
      <c r="Z462" t="b">
        <f>Q462=_R32Matchups[[#This Row],[1I vs]]</f>
        <v>1</v>
      </c>
      <c r="AA462" t="b">
        <f>R462=_R32Matchups[[#This Row],[1K vs]]</f>
        <v>1</v>
      </c>
      <c r="AB462" t="b">
        <f>S462=_R32Matchups[[#This Row],[1L vs]]</f>
        <v>1</v>
      </c>
    </row>
    <row r="463" spans="1:28" ht="14.4">
      <c r="A463" s="2" t="s">
        <v>482</v>
      </c>
      <c r="B463" s="2" t="s">
        <v>10</v>
      </c>
      <c r="C463" s="2" t="s">
        <v>12</v>
      </c>
      <c r="D463" s="2" t="s">
        <v>65</v>
      </c>
      <c r="E463" s="2" t="s">
        <v>28</v>
      </c>
      <c r="F463" s="2" t="s">
        <v>186</v>
      </c>
      <c r="G463" s="2" t="s">
        <v>19</v>
      </c>
      <c r="H463" s="2" t="s">
        <v>16</v>
      </c>
      <c r="I463" s="2" t="s">
        <v>17</v>
      </c>
      <c r="K463" t="s">
        <v>482</v>
      </c>
      <c r="L463" t="s">
        <v>10</v>
      </c>
      <c r="M463" t="s">
        <v>12</v>
      </c>
      <c r="N463" t="s">
        <v>65</v>
      </c>
      <c r="O463" t="s">
        <v>28</v>
      </c>
      <c r="P463" t="s">
        <v>186</v>
      </c>
      <c r="Q463" t="s">
        <v>19</v>
      </c>
      <c r="R463" t="s">
        <v>16</v>
      </c>
      <c r="S463" t="s">
        <v>17</v>
      </c>
      <c r="U463" t="b">
        <f>L463=_R32Matchups[[#This Row],[1A vs]]</f>
        <v>1</v>
      </c>
      <c r="V463" t="b">
        <f>M463=_R32Matchups[[#This Row],[1B vs]]</f>
        <v>1</v>
      </c>
      <c r="W463" t="b">
        <f>N463=_R32Matchups[[#This Row],[1D vs]]</f>
        <v>1</v>
      </c>
      <c r="X463" t="b">
        <f>O463=_R32Matchups[[#This Row],[1E vs]]</f>
        <v>1</v>
      </c>
      <c r="Y463" t="b">
        <f>P463=_R32Matchups[[#This Row],[1G vs]]</f>
        <v>1</v>
      </c>
      <c r="Z463" t="b">
        <f>Q463=_R32Matchups[[#This Row],[1I vs]]</f>
        <v>1</v>
      </c>
      <c r="AA463" t="b">
        <f>R463=_R32Matchups[[#This Row],[1K vs]]</f>
        <v>1</v>
      </c>
      <c r="AB463" t="b">
        <f>S463=_R32Matchups[[#This Row],[1L vs]]</f>
        <v>1</v>
      </c>
    </row>
    <row r="464" spans="1:28" ht="14.4">
      <c r="A464" s="2" t="s">
        <v>483</v>
      </c>
      <c r="B464" s="2" t="s">
        <v>10</v>
      </c>
      <c r="C464" s="2" t="s">
        <v>11</v>
      </c>
      <c r="D464" s="2" t="s">
        <v>65</v>
      </c>
      <c r="E464" s="2" t="s">
        <v>28</v>
      </c>
      <c r="F464" s="2" t="s">
        <v>186</v>
      </c>
      <c r="G464" s="2" t="s">
        <v>19</v>
      </c>
      <c r="H464" s="2" t="s">
        <v>16</v>
      </c>
      <c r="I464" s="2" t="s">
        <v>12</v>
      </c>
      <c r="K464" t="s">
        <v>483</v>
      </c>
      <c r="L464" t="s">
        <v>10</v>
      </c>
      <c r="M464" t="s">
        <v>11</v>
      </c>
      <c r="N464" t="s">
        <v>65</v>
      </c>
      <c r="O464" t="s">
        <v>28</v>
      </c>
      <c r="P464" t="s">
        <v>186</v>
      </c>
      <c r="Q464" t="s">
        <v>19</v>
      </c>
      <c r="R464" t="s">
        <v>16</v>
      </c>
      <c r="S464" t="s">
        <v>12</v>
      </c>
      <c r="U464" t="b">
        <f>L464=_R32Matchups[[#This Row],[1A vs]]</f>
        <v>1</v>
      </c>
      <c r="V464" t="b">
        <f>M464=_R32Matchups[[#This Row],[1B vs]]</f>
        <v>1</v>
      </c>
      <c r="W464" t="b">
        <f>N464=_R32Matchups[[#This Row],[1D vs]]</f>
        <v>1</v>
      </c>
      <c r="X464" t="b">
        <f>O464=_R32Matchups[[#This Row],[1E vs]]</f>
        <v>1</v>
      </c>
      <c r="Y464" t="b">
        <f>P464=_R32Matchups[[#This Row],[1G vs]]</f>
        <v>1</v>
      </c>
      <c r="Z464" t="b">
        <f>Q464=_R32Matchups[[#This Row],[1I vs]]</f>
        <v>1</v>
      </c>
      <c r="AA464" t="b">
        <f>R464=_R32Matchups[[#This Row],[1K vs]]</f>
        <v>1</v>
      </c>
      <c r="AB464" t="b">
        <f>S464=_R32Matchups[[#This Row],[1L vs]]</f>
        <v>1</v>
      </c>
    </row>
    <row r="465" spans="1:28" ht="14.4">
      <c r="A465" s="2" t="s">
        <v>484</v>
      </c>
      <c r="B465" s="2" t="s">
        <v>10</v>
      </c>
      <c r="C465" s="2" t="s">
        <v>11</v>
      </c>
      <c r="D465" s="2" t="s">
        <v>65</v>
      </c>
      <c r="E465" s="2" t="s">
        <v>28</v>
      </c>
      <c r="F465" s="2" t="s">
        <v>186</v>
      </c>
      <c r="G465" s="2" t="s">
        <v>19</v>
      </c>
      <c r="H465" s="2" t="s">
        <v>12</v>
      </c>
      <c r="I465" s="2" t="s">
        <v>17</v>
      </c>
      <c r="K465" t="s">
        <v>484</v>
      </c>
      <c r="L465" t="s">
        <v>10</v>
      </c>
      <c r="M465" t="s">
        <v>11</v>
      </c>
      <c r="N465" t="s">
        <v>65</v>
      </c>
      <c r="O465" t="s">
        <v>28</v>
      </c>
      <c r="P465" t="s">
        <v>186</v>
      </c>
      <c r="Q465" t="s">
        <v>19</v>
      </c>
      <c r="R465" t="s">
        <v>12</v>
      </c>
      <c r="S465" t="s">
        <v>17</v>
      </c>
      <c r="U465" t="b">
        <f>L465=_R32Matchups[[#This Row],[1A vs]]</f>
        <v>1</v>
      </c>
      <c r="V465" t="b">
        <f>M465=_R32Matchups[[#This Row],[1B vs]]</f>
        <v>1</v>
      </c>
      <c r="W465" t="b">
        <f>N465=_R32Matchups[[#This Row],[1D vs]]</f>
        <v>1</v>
      </c>
      <c r="X465" t="b">
        <f>O465=_R32Matchups[[#This Row],[1E vs]]</f>
        <v>1</v>
      </c>
      <c r="Y465" t="b">
        <f>P465=_R32Matchups[[#This Row],[1G vs]]</f>
        <v>1</v>
      </c>
      <c r="Z465" t="b">
        <f>Q465=_R32Matchups[[#This Row],[1I vs]]</f>
        <v>1</v>
      </c>
      <c r="AA465" t="b">
        <f>R465=_R32Matchups[[#This Row],[1K vs]]</f>
        <v>1</v>
      </c>
      <c r="AB465" t="b">
        <f>S465=_R32Matchups[[#This Row],[1L vs]]</f>
        <v>1</v>
      </c>
    </row>
    <row r="466" spans="1:28" ht="14.4">
      <c r="A466" s="2" t="s">
        <v>485</v>
      </c>
      <c r="B466" s="2" t="s">
        <v>14</v>
      </c>
      <c r="C466" s="2" t="s">
        <v>10</v>
      </c>
      <c r="D466" s="2" t="s">
        <v>65</v>
      </c>
      <c r="E466" s="2" t="s">
        <v>28</v>
      </c>
      <c r="F466" s="2" t="s">
        <v>186</v>
      </c>
      <c r="G466" s="2" t="s">
        <v>19</v>
      </c>
      <c r="H466" s="2" t="s">
        <v>16</v>
      </c>
      <c r="I466" s="2" t="s">
        <v>17</v>
      </c>
      <c r="K466" t="s">
        <v>485</v>
      </c>
      <c r="L466" t="s">
        <v>14</v>
      </c>
      <c r="M466" t="s">
        <v>10</v>
      </c>
      <c r="N466" t="s">
        <v>65</v>
      </c>
      <c r="O466" t="s">
        <v>28</v>
      </c>
      <c r="P466" t="s">
        <v>186</v>
      </c>
      <c r="Q466" t="s">
        <v>19</v>
      </c>
      <c r="R466" t="s">
        <v>16</v>
      </c>
      <c r="S466" t="s">
        <v>17</v>
      </c>
      <c r="U466" t="b">
        <f>L466=_R32Matchups[[#This Row],[1A vs]]</f>
        <v>1</v>
      </c>
      <c r="V466" t="b">
        <f>M466=_R32Matchups[[#This Row],[1B vs]]</f>
        <v>1</v>
      </c>
      <c r="W466" t="b">
        <f>N466=_R32Matchups[[#This Row],[1D vs]]</f>
        <v>1</v>
      </c>
      <c r="X466" t="b">
        <f>O466=_R32Matchups[[#This Row],[1E vs]]</f>
        <v>1</v>
      </c>
      <c r="Y466" t="b">
        <f>P466=_R32Matchups[[#This Row],[1G vs]]</f>
        <v>1</v>
      </c>
      <c r="Z466" t="b">
        <f>Q466=_R32Matchups[[#This Row],[1I vs]]</f>
        <v>1</v>
      </c>
      <c r="AA466" t="b">
        <f>R466=_R32Matchups[[#This Row],[1K vs]]</f>
        <v>1</v>
      </c>
      <c r="AB466" t="b">
        <f>S466=_R32Matchups[[#This Row],[1L vs]]</f>
        <v>1</v>
      </c>
    </row>
    <row r="467" spans="1:28" ht="14.4">
      <c r="A467" s="2" t="s">
        <v>486</v>
      </c>
      <c r="B467" s="2" t="s">
        <v>14</v>
      </c>
      <c r="C467" s="2" t="s">
        <v>11</v>
      </c>
      <c r="D467" s="2" t="s">
        <v>65</v>
      </c>
      <c r="E467" s="2" t="s">
        <v>28</v>
      </c>
      <c r="F467" s="2" t="s">
        <v>186</v>
      </c>
      <c r="G467" s="2" t="s">
        <v>19</v>
      </c>
      <c r="H467" s="2" t="s">
        <v>16</v>
      </c>
      <c r="I467" s="2" t="s">
        <v>10</v>
      </c>
      <c r="K467" t="s">
        <v>486</v>
      </c>
      <c r="L467" t="s">
        <v>14</v>
      </c>
      <c r="M467" t="s">
        <v>11</v>
      </c>
      <c r="N467" t="s">
        <v>65</v>
      </c>
      <c r="O467" t="s">
        <v>28</v>
      </c>
      <c r="P467" t="s">
        <v>186</v>
      </c>
      <c r="Q467" t="s">
        <v>19</v>
      </c>
      <c r="R467" t="s">
        <v>16</v>
      </c>
      <c r="S467" t="s">
        <v>10</v>
      </c>
      <c r="U467" t="b">
        <f>L467=_R32Matchups[[#This Row],[1A vs]]</f>
        <v>1</v>
      </c>
      <c r="V467" t="b">
        <f>M467=_R32Matchups[[#This Row],[1B vs]]</f>
        <v>1</v>
      </c>
      <c r="W467" t="b">
        <f>N467=_R32Matchups[[#This Row],[1D vs]]</f>
        <v>1</v>
      </c>
      <c r="X467" t="b">
        <f>O467=_R32Matchups[[#This Row],[1E vs]]</f>
        <v>1</v>
      </c>
      <c r="Y467" t="b">
        <f>P467=_R32Matchups[[#This Row],[1G vs]]</f>
        <v>1</v>
      </c>
      <c r="Z467" t="b">
        <f>Q467=_R32Matchups[[#This Row],[1I vs]]</f>
        <v>1</v>
      </c>
      <c r="AA467" t="b">
        <f>R467=_R32Matchups[[#This Row],[1K vs]]</f>
        <v>1</v>
      </c>
      <c r="AB467" t="b">
        <f>S467=_R32Matchups[[#This Row],[1L vs]]</f>
        <v>1</v>
      </c>
    </row>
    <row r="468" spans="1:28" ht="14.4">
      <c r="A468" s="2" t="s">
        <v>487</v>
      </c>
      <c r="B468" s="2" t="s">
        <v>14</v>
      </c>
      <c r="C468" s="2" t="s">
        <v>11</v>
      </c>
      <c r="D468" s="2" t="s">
        <v>65</v>
      </c>
      <c r="E468" s="2" t="s">
        <v>28</v>
      </c>
      <c r="F468" s="2" t="s">
        <v>186</v>
      </c>
      <c r="G468" s="2" t="s">
        <v>19</v>
      </c>
      <c r="H468" s="2" t="s">
        <v>10</v>
      </c>
      <c r="I468" s="2" t="s">
        <v>17</v>
      </c>
      <c r="K468" t="s">
        <v>487</v>
      </c>
      <c r="L468" t="s">
        <v>14</v>
      </c>
      <c r="M468" t="s">
        <v>11</v>
      </c>
      <c r="N468" t="s">
        <v>65</v>
      </c>
      <c r="O468" t="s">
        <v>28</v>
      </c>
      <c r="P468" t="s">
        <v>186</v>
      </c>
      <c r="Q468" t="s">
        <v>19</v>
      </c>
      <c r="R468" t="s">
        <v>10</v>
      </c>
      <c r="S468" t="s">
        <v>17</v>
      </c>
      <c r="U468" t="b">
        <f>L468=_R32Matchups[[#This Row],[1A vs]]</f>
        <v>1</v>
      </c>
      <c r="V468" t="b">
        <f>M468=_R32Matchups[[#This Row],[1B vs]]</f>
        <v>1</v>
      </c>
      <c r="W468" t="b">
        <f>N468=_R32Matchups[[#This Row],[1D vs]]</f>
        <v>1</v>
      </c>
      <c r="X468" t="b">
        <f>O468=_R32Matchups[[#This Row],[1E vs]]</f>
        <v>1</v>
      </c>
      <c r="Y468" t="b">
        <f>P468=_R32Matchups[[#This Row],[1G vs]]</f>
        <v>1</v>
      </c>
      <c r="Z468" t="b">
        <f>Q468=_R32Matchups[[#This Row],[1I vs]]</f>
        <v>1</v>
      </c>
      <c r="AA468" t="b">
        <f>R468=_R32Matchups[[#This Row],[1K vs]]</f>
        <v>1</v>
      </c>
      <c r="AB468" t="b">
        <f>S468=_R32Matchups[[#This Row],[1L vs]]</f>
        <v>1</v>
      </c>
    </row>
    <row r="469" spans="1:28" ht="14.4">
      <c r="A469" s="2" t="s">
        <v>488</v>
      </c>
      <c r="B469" s="2" t="s">
        <v>14</v>
      </c>
      <c r="C469" s="2" t="s">
        <v>10</v>
      </c>
      <c r="D469" s="2" t="s">
        <v>65</v>
      </c>
      <c r="E469" s="2" t="s">
        <v>28</v>
      </c>
      <c r="F469" s="2" t="s">
        <v>186</v>
      </c>
      <c r="G469" s="2" t="s">
        <v>19</v>
      </c>
      <c r="H469" s="2" t="s">
        <v>16</v>
      </c>
      <c r="I469" s="2" t="s">
        <v>12</v>
      </c>
      <c r="K469" t="s">
        <v>488</v>
      </c>
      <c r="L469" t="s">
        <v>14</v>
      </c>
      <c r="M469" t="s">
        <v>10</v>
      </c>
      <c r="N469" t="s">
        <v>65</v>
      </c>
      <c r="O469" t="s">
        <v>28</v>
      </c>
      <c r="P469" t="s">
        <v>186</v>
      </c>
      <c r="Q469" t="s">
        <v>19</v>
      </c>
      <c r="R469" t="s">
        <v>16</v>
      </c>
      <c r="S469" t="s">
        <v>12</v>
      </c>
      <c r="U469" t="b">
        <f>L469=_R32Matchups[[#This Row],[1A vs]]</f>
        <v>1</v>
      </c>
      <c r="V469" t="b">
        <f>M469=_R32Matchups[[#This Row],[1B vs]]</f>
        <v>1</v>
      </c>
      <c r="W469" t="b">
        <f>N469=_R32Matchups[[#This Row],[1D vs]]</f>
        <v>1</v>
      </c>
      <c r="X469" t="b">
        <f>O469=_R32Matchups[[#This Row],[1E vs]]</f>
        <v>1</v>
      </c>
      <c r="Y469" t="b">
        <f>P469=_R32Matchups[[#This Row],[1G vs]]</f>
        <v>1</v>
      </c>
      <c r="Z469" t="b">
        <f>Q469=_R32Matchups[[#This Row],[1I vs]]</f>
        <v>1</v>
      </c>
      <c r="AA469" t="b">
        <f>R469=_R32Matchups[[#This Row],[1K vs]]</f>
        <v>1</v>
      </c>
      <c r="AB469" t="b">
        <f>S469=_R32Matchups[[#This Row],[1L vs]]</f>
        <v>1</v>
      </c>
    </row>
    <row r="470" spans="1:28" ht="14.4">
      <c r="A470" s="2" t="s">
        <v>489</v>
      </c>
      <c r="B470" s="2" t="s">
        <v>14</v>
      </c>
      <c r="C470" s="2" t="s">
        <v>10</v>
      </c>
      <c r="D470" s="2" t="s">
        <v>65</v>
      </c>
      <c r="E470" s="2" t="s">
        <v>28</v>
      </c>
      <c r="F470" s="2" t="s">
        <v>186</v>
      </c>
      <c r="G470" s="2" t="s">
        <v>19</v>
      </c>
      <c r="H470" s="2" t="s">
        <v>12</v>
      </c>
      <c r="I470" s="2" t="s">
        <v>17</v>
      </c>
      <c r="K470" t="s">
        <v>489</v>
      </c>
      <c r="L470" t="s">
        <v>14</v>
      </c>
      <c r="M470" t="s">
        <v>10</v>
      </c>
      <c r="N470" t="s">
        <v>65</v>
      </c>
      <c r="O470" t="s">
        <v>28</v>
      </c>
      <c r="P470" t="s">
        <v>186</v>
      </c>
      <c r="Q470" t="s">
        <v>19</v>
      </c>
      <c r="R470" t="s">
        <v>12</v>
      </c>
      <c r="S470" t="s">
        <v>17</v>
      </c>
      <c r="U470" t="b">
        <f>L470=_R32Matchups[[#This Row],[1A vs]]</f>
        <v>1</v>
      </c>
      <c r="V470" t="b">
        <f>M470=_R32Matchups[[#This Row],[1B vs]]</f>
        <v>1</v>
      </c>
      <c r="W470" t="b">
        <f>N470=_R32Matchups[[#This Row],[1D vs]]</f>
        <v>1</v>
      </c>
      <c r="X470" t="b">
        <f>O470=_R32Matchups[[#This Row],[1E vs]]</f>
        <v>1</v>
      </c>
      <c r="Y470" t="b">
        <f>P470=_R32Matchups[[#This Row],[1G vs]]</f>
        <v>1</v>
      </c>
      <c r="Z470" t="b">
        <f>Q470=_R32Matchups[[#This Row],[1I vs]]</f>
        <v>1</v>
      </c>
      <c r="AA470" t="b">
        <f>R470=_R32Matchups[[#This Row],[1K vs]]</f>
        <v>1</v>
      </c>
      <c r="AB470" t="b">
        <f>S470=_R32Matchups[[#This Row],[1L vs]]</f>
        <v>1</v>
      </c>
    </row>
    <row r="471" spans="1:28" ht="14.4">
      <c r="A471" s="2" t="s">
        <v>490</v>
      </c>
      <c r="B471" s="2" t="s">
        <v>14</v>
      </c>
      <c r="C471" s="2" t="s">
        <v>11</v>
      </c>
      <c r="D471" s="2" t="s">
        <v>65</v>
      </c>
      <c r="E471" s="2" t="s">
        <v>28</v>
      </c>
      <c r="F471" s="2" t="s">
        <v>186</v>
      </c>
      <c r="G471" s="2" t="s">
        <v>19</v>
      </c>
      <c r="H471" s="2" t="s">
        <v>10</v>
      </c>
      <c r="I471" s="2" t="s">
        <v>12</v>
      </c>
      <c r="K471" t="s">
        <v>490</v>
      </c>
      <c r="L471" t="s">
        <v>14</v>
      </c>
      <c r="M471" t="s">
        <v>11</v>
      </c>
      <c r="N471" t="s">
        <v>65</v>
      </c>
      <c r="O471" t="s">
        <v>28</v>
      </c>
      <c r="P471" t="s">
        <v>186</v>
      </c>
      <c r="Q471" t="s">
        <v>19</v>
      </c>
      <c r="R471" t="s">
        <v>10</v>
      </c>
      <c r="S471" t="s">
        <v>12</v>
      </c>
      <c r="U471" t="b">
        <f>L471=_R32Matchups[[#This Row],[1A vs]]</f>
        <v>1</v>
      </c>
      <c r="V471" t="b">
        <f>M471=_R32Matchups[[#This Row],[1B vs]]</f>
        <v>1</v>
      </c>
      <c r="W471" t="b">
        <f>N471=_R32Matchups[[#This Row],[1D vs]]</f>
        <v>1</v>
      </c>
      <c r="X471" t="b">
        <f>O471=_R32Matchups[[#This Row],[1E vs]]</f>
        <v>1</v>
      </c>
      <c r="Y471" t="b">
        <f>P471=_R32Matchups[[#This Row],[1G vs]]</f>
        <v>1</v>
      </c>
      <c r="Z471" t="b">
        <f>Q471=_R32Matchups[[#This Row],[1I vs]]</f>
        <v>1</v>
      </c>
      <c r="AA471" t="b">
        <f>R471=_R32Matchups[[#This Row],[1K vs]]</f>
        <v>1</v>
      </c>
      <c r="AB471" t="b">
        <f>S471=_R32Matchups[[#This Row],[1L vs]]</f>
        <v>1</v>
      </c>
    </row>
    <row r="472" spans="1:28" ht="14.4">
      <c r="A472" s="2" t="s">
        <v>491</v>
      </c>
      <c r="B472" s="2" t="s">
        <v>10</v>
      </c>
      <c r="C472" s="2" t="s">
        <v>15</v>
      </c>
      <c r="D472" s="2" t="s">
        <v>65</v>
      </c>
      <c r="E472" s="2" t="s">
        <v>28</v>
      </c>
      <c r="F472" s="2" t="s">
        <v>186</v>
      </c>
      <c r="G472" s="2" t="s">
        <v>19</v>
      </c>
      <c r="H472" s="2" t="s">
        <v>16</v>
      </c>
      <c r="I472" s="2" t="s">
        <v>17</v>
      </c>
      <c r="K472" t="s">
        <v>491</v>
      </c>
      <c r="L472" t="s">
        <v>10</v>
      </c>
      <c r="M472" t="s">
        <v>15</v>
      </c>
      <c r="N472" t="s">
        <v>65</v>
      </c>
      <c r="O472" t="s">
        <v>28</v>
      </c>
      <c r="P472" t="s">
        <v>186</v>
      </c>
      <c r="Q472" t="s">
        <v>19</v>
      </c>
      <c r="R472" t="s">
        <v>16</v>
      </c>
      <c r="S472" t="s">
        <v>17</v>
      </c>
      <c r="U472" t="b">
        <f>L472=_R32Matchups[[#This Row],[1A vs]]</f>
        <v>1</v>
      </c>
      <c r="V472" t="b">
        <f>M472=_R32Matchups[[#This Row],[1B vs]]</f>
        <v>1</v>
      </c>
      <c r="W472" t="b">
        <f>N472=_R32Matchups[[#This Row],[1D vs]]</f>
        <v>1</v>
      </c>
      <c r="X472" t="b">
        <f>O472=_R32Matchups[[#This Row],[1E vs]]</f>
        <v>1</v>
      </c>
      <c r="Y472" t="b">
        <f>P472=_R32Matchups[[#This Row],[1G vs]]</f>
        <v>1</v>
      </c>
      <c r="Z472" t="b">
        <f>Q472=_R32Matchups[[#This Row],[1I vs]]</f>
        <v>1</v>
      </c>
      <c r="AA472" t="b">
        <f>R472=_R32Matchups[[#This Row],[1K vs]]</f>
        <v>1</v>
      </c>
      <c r="AB472" t="b">
        <f>S472=_R32Matchups[[#This Row],[1L vs]]</f>
        <v>1</v>
      </c>
    </row>
    <row r="473" spans="1:28" ht="14.4">
      <c r="A473" s="2" t="s">
        <v>492</v>
      </c>
      <c r="B473" s="2" t="s">
        <v>10</v>
      </c>
      <c r="C473" s="2" t="s">
        <v>15</v>
      </c>
      <c r="D473" s="2" t="s">
        <v>65</v>
      </c>
      <c r="E473" s="2" t="s">
        <v>28</v>
      </c>
      <c r="F473" s="2" t="s">
        <v>186</v>
      </c>
      <c r="G473" s="2" t="s">
        <v>19</v>
      </c>
      <c r="H473" s="2" t="s">
        <v>16</v>
      </c>
      <c r="I473" s="2" t="s">
        <v>11</v>
      </c>
      <c r="K473" t="s">
        <v>492</v>
      </c>
      <c r="L473" t="s">
        <v>10</v>
      </c>
      <c r="M473" t="s">
        <v>15</v>
      </c>
      <c r="N473" t="s">
        <v>65</v>
      </c>
      <c r="O473" t="s">
        <v>28</v>
      </c>
      <c r="P473" t="s">
        <v>186</v>
      </c>
      <c r="Q473" t="s">
        <v>19</v>
      </c>
      <c r="R473" t="s">
        <v>16</v>
      </c>
      <c r="S473" t="s">
        <v>11</v>
      </c>
      <c r="U473" t="b">
        <f>L473=_R32Matchups[[#This Row],[1A vs]]</f>
        <v>1</v>
      </c>
      <c r="V473" t="b">
        <f>M473=_R32Matchups[[#This Row],[1B vs]]</f>
        <v>1</v>
      </c>
      <c r="W473" t="b">
        <f>N473=_R32Matchups[[#This Row],[1D vs]]</f>
        <v>1</v>
      </c>
      <c r="X473" t="b">
        <f>O473=_R32Matchups[[#This Row],[1E vs]]</f>
        <v>1</v>
      </c>
      <c r="Y473" t="b">
        <f>P473=_R32Matchups[[#This Row],[1G vs]]</f>
        <v>1</v>
      </c>
      <c r="Z473" t="b">
        <f>Q473=_R32Matchups[[#This Row],[1I vs]]</f>
        <v>1</v>
      </c>
      <c r="AA473" t="b">
        <f>R473=_R32Matchups[[#This Row],[1K vs]]</f>
        <v>1</v>
      </c>
      <c r="AB473" t="b">
        <f>S473=_R32Matchups[[#This Row],[1L vs]]</f>
        <v>1</v>
      </c>
    </row>
    <row r="474" spans="1:28" ht="14.4">
      <c r="A474" s="2" t="s">
        <v>493</v>
      </c>
      <c r="B474" s="2" t="s">
        <v>10</v>
      </c>
      <c r="C474" s="2" t="s">
        <v>15</v>
      </c>
      <c r="D474" s="2" t="s">
        <v>65</v>
      </c>
      <c r="E474" s="2" t="s">
        <v>28</v>
      </c>
      <c r="F474" s="2" t="s">
        <v>186</v>
      </c>
      <c r="G474" s="2" t="s">
        <v>19</v>
      </c>
      <c r="H474" s="2" t="s">
        <v>11</v>
      </c>
      <c r="I474" s="2" t="s">
        <v>17</v>
      </c>
      <c r="K474" t="s">
        <v>493</v>
      </c>
      <c r="L474" t="s">
        <v>10</v>
      </c>
      <c r="M474" t="s">
        <v>15</v>
      </c>
      <c r="N474" t="s">
        <v>65</v>
      </c>
      <c r="O474" t="s">
        <v>28</v>
      </c>
      <c r="P474" t="s">
        <v>186</v>
      </c>
      <c r="Q474" t="s">
        <v>19</v>
      </c>
      <c r="R474" t="s">
        <v>11</v>
      </c>
      <c r="S474" t="s">
        <v>17</v>
      </c>
      <c r="U474" t="b">
        <f>L474=_R32Matchups[[#This Row],[1A vs]]</f>
        <v>1</v>
      </c>
      <c r="V474" t="b">
        <f>M474=_R32Matchups[[#This Row],[1B vs]]</f>
        <v>1</v>
      </c>
      <c r="W474" t="b">
        <f>N474=_R32Matchups[[#This Row],[1D vs]]</f>
        <v>1</v>
      </c>
      <c r="X474" t="b">
        <f>O474=_R32Matchups[[#This Row],[1E vs]]</f>
        <v>1</v>
      </c>
      <c r="Y474" t="b">
        <f>P474=_R32Matchups[[#This Row],[1G vs]]</f>
        <v>1</v>
      </c>
      <c r="Z474" t="b">
        <f>Q474=_R32Matchups[[#This Row],[1I vs]]</f>
        <v>1</v>
      </c>
      <c r="AA474" t="b">
        <f>R474=_R32Matchups[[#This Row],[1K vs]]</f>
        <v>1</v>
      </c>
      <c r="AB474" t="b">
        <f>S474=_R32Matchups[[#This Row],[1L vs]]</f>
        <v>1</v>
      </c>
    </row>
    <row r="475" spans="1:28" ht="14.4">
      <c r="A475" s="2" t="s">
        <v>494</v>
      </c>
      <c r="B475" s="2" t="s">
        <v>10</v>
      </c>
      <c r="C475" s="2" t="s">
        <v>15</v>
      </c>
      <c r="D475" s="2" t="s">
        <v>65</v>
      </c>
      <c r="E475" s="2" t="s">
        <v>28</v>
      </c>
      <c r="F475" s="2" t="s">
        <v>186</v>
      </c>
      <c r="G475" s="2" t="s">
        <v>19</v>
      </c>
      <c r="H475" s="2" t="s">
        <v>16</v>
      </c>
      <c r="I475" s="2" t="s">
        <v>12</v>
      </c>
      <c r="K475" t="s">
        <v>494</v>
      </c>
      <c r="L475" t="s">
        <v>10</v>
      </c>
      <c r="M475" t="s">
        <v>15</v>
      </c>
      <c r="N475" t="s">
        <v>65</v>
      </c>
      <c r="O475" t="s">
        <v>28</v>
      </c>
      <c r="P475" t="s">
        <v>186</v>
      </c>
      <c r="Q475" t="s">
        <v>19</v>
      </c>
      <c r="R475" t="s">
        <v>16</v>
      </c>
      <c r="S475" t="s">
        <v>12</v>
      </c>
      <c r="U475" t="b">
        <f>L475=_R32Matchups[[#This Row],[1A vs]]</f>
        <v>1</v>
      </c>
      <c r="V475" t="b">
        <f>M475=_R32Matchups[[#This Row],[1B vs]]</f>
        <v>1</v>
      </c>
      <c r="W475" t="b">
        <f>N475=_R32Matchups[[#This Row],[1D vs]]</f>
        <v>1</v>
      </c>
      <c r="X475" t="b">
        <f>O475=_R32Matchups[[#This Row],[1E vs]]</f>
        <v>1</v>
      </c>
      <c r="Y475" t="b">
        <f>P475=_R32Matchups[[#This Row],[1G vs]]</f>
        <v>1</v>
      </c>
      <c r="Z475" t="b">
        <f>Q475=_R32Matchups[[#This Row],[1I vs]]</f>
        <v>1</v>
      </c>
      <c r="AA475" t="b">
        <f>R475=_R32Matchups[[#This Row],[1K vs]]</f>
        <v>1</v>
      </c>
      <c r="AB475" t="b">
        <f>S475=_R32Matchups[[#This Row],[1L vs]]</f>
        <v>1</v>
      </c>
    </row>
    <row r="476" spans="1:28" ht="14.4">
      <c r="A476" s="2" t="s">
        <v>495</v>
      </c>
      <c r="B476" s="2" t="s">
        <v>10</v>
      </c>
      <c r="C476" s="2" t="s">
        <v>15</v>
      </c>
      <c r="D476" s="2" t="s">
        <v>65</v>
      </c>
      <c r="E476" s="2" t="s">
        <v>28</v>
      </c>
      <c r="F476" s="2" t="s">
        <v>186</v>
      </c>
      <c r="G476" s="2" t="s">
        <v>19</v>
      </c>
      <c r="H476" s="2" t="s">
        <v>12</v>
      </c>
      <c r="I476" s="2" t="s">
        <v>17</v>
      </c>
      <c r="K476" t="s">
        <v>495</v>
      </c>
      <c r="L476" t="s">
        <v>10</v>
      </c>
      <c r="M476" t="s">
        <v>15</v>
      </c>
      <c r="N476" t="s">
        <v>65</v>
      </c>
      <c r="O476" t="s">
        <v>28</v>
      </c>
      <c r="P476" t="s">
        <v>186</v>
      </c>
      <c r="Q476" t="s">
        <v>19</v>
      </c>
      <c r="R476" t="s">
        <v>12</v>
      </c>
      <c r="S476" t="s">
        <v>17</v>
      </c>
      <c r="U476" t="b">
        <f>L476=_R32Matchups[[#This Row],[1A vs]]</f>
        <v>1</v>
      </c>
      <c r="V476" t="b">
        <f>M476=_R32Matchups[[#This Row],[1B vs]]</f>
        <v>1</v>
      </c>
      <c r="W476" t="b">
        <f>N476=_R32Matchups[[#This Row],[1D vs]]</f>
        <v>1</v>
      </c>
      <c r="X476" t="b">
        <f>O476=_R32Matchups[[#This Row],[1E vs]]</f>
        <v>1</v>
      </c>
      <c r="Y476" t="b">
        <f>P476=_R32Matchups[[#This Row],[1G vs]]</f>
        <v>1</v>
      </c>
      <c r="Z476" t="b">
        <f>Q476=_R32Matchups[[#This Row],[1I vs]]</f>
        <v>1</v>
      </c>
      <c r="AA476" t="b">
        <f>R476=_R32Matchups[[#This Row],[1K vs]]</f>
        <v>1</v>
      </c>
      <c r="AB476" t="b">
        <f>S476=_R32Matchups[[#This Row],[1L vs]]</f>
        <v>1</v>
      </c>
    </row>
    <row r="477" spans="1:28" ht="14.4">
      <c r="A477" s="2" t="s">
        <v>496</v>
      </c>
      <c r="B477" s="2" t="s">
        <v>10</v>
      </c>
      <c r="C477" s="2" t="s">
        <v>15</v>
      </c>
      <c r="D477" s="2" t="s">
        <v>65</v>
      </c>
      <c r="E477" s="2" t="s">
        <v>28</v>
      </c>
      <c r="F477" s="2" t="s">
        <v>186</v>
      </c>
      <c r="G477" s="2" t="s">
        <v>19</v>
      </c>
      <c r="H477" s="2" t="s">
        <v>12</v>
      </c>
      <c r="I477" s="2" t="s">
        <v>11</v>
      </c>
      <c r="K477" t="s">
        <v>496</v>
      </c>
      <c r="L477" t="s">
        <v>10</v>
      </c>
      <c r="M477" t="s">
        <v>15</v>
      </c>
      <c r="N477" t="s">
        <v>65</v>
      </c>
      <c r="O477" t="s">
        <v>28</v>
      </c>
      <c r="P477" t="s">
        <v>186</v>
      </c>
      <c r="Q477" t="s">
        <v>19</v>
      </c>
      <c r="R477" t="s">
        <v>12</v>
      </c>
      <c r="S477" t="s">
        <v>11</v>
      </c>
      <c r="U477" t="b">
        <f>L477=_R32Matchups[[#This Row],[1A vs]]</f>
        <v>1</v>
      </c>
      <c r="V477" t="b">
        <f>M477=_R32Matchups[[#This Row],[1B vs]]</f>
        <v>1</v>
      </c>
      <c r="W477" t="b">
        <f>N477=_R32Matchups[[#This Row],[1D vs]]</f>
        <v>1</v>
      </c>
      <c r="X477" t="b">
        <f>O477=_R32Matchups[[#This Row],[1E vs]]</f>
        <v>1</v>
      </c>
      <c r="Y477" t="b">
        <f>P477=_R32Matchups[[#This Row],[1G vs]]</f>
        <v>1</v>
      </c>
      <c r="Z477" t="b">
        <f>Q477=_R32Matchups[[#This Row],[1I vs]]</f>
        <v>1</v>
      </c>
      <c r="AA477" t="b">
        <f>R477=_R32Matchups[[#This Row],[1K vs]]</f>
        <v>1</v>
      </c>
      <c r="AB477" t="b">
        <f>S477=_R32Matchups[[#This Row],[1L vs]]</f>
        <v>1</v>
      </c>
    </row>
    <row r="478" spans="1:28" ht="14.4">
      <c r="A478" s="2" t="s">
        <v>497</v>
      </c>
      <c r="B478" s="2" t="s">
        <v>14</v>
      </c>
      <c r="C478" s="2" t="s">
        <v>15</v>
      </c>
      <c r="D478" s="2" t="s">
        <v>65</v>
      </c>
      <c r="E478" s="2" t="s">
        <v>28</v>
      </c>
      <c r="F478" s="2" t="s">
        <v>186</v>
      </c>
      <c r="G478" s="2" t="s">
        <v>19</v>
      </c>
      <c r="H478" s="2" t="s">
        <v>16</v>
      </c>
      <c r="I478" s="2" t="s">
        <v>10</v>
      </c>
      <c r="K478" t="s">
        <v>497</v>
      </c>
      <c r="L478" t="s">
        <v>14</v>
      </c>
      <c r="M478" t="s">
        <v>15</v>
      </c>
      <c r="N478" t="s">
        <v>65</v>
      </c>
      <c r="O478" t="s">
        <v>28</v>
      </c>
      <c r="P478" t="s">
        <v>186</v>
      </c>
      <c r="Q478" t="s">
        <v>19</v>
      </c>
      <c r="R478" t="s">
        <v>16</v>
      </c>
      <c r="S478" t="s">
        <v>10</v>
      </c>
      <c r="U478" t="b">
        <f>L478=_R32Matchups[[#This Row],[1A vs]]</f>
        <v>1</v>
      </c>
      <c r="V478" t="b">
        <f>M478=_R32Matchups[[#This Row],[1B vs]]</f>
        <v>1</v>
      </c>
      <c r="W478" t="b">
        <f>N478=_R32Matchups[[#This Row],[1D vs]]</f>
        <v>1</v>
      </c>
      <c r="X478" t="b">
        <f>O478=_R32Matchups[[#This Row],[1E vs]]</f>
        <v>1</v>
      </c>
      <c r="Y478" t="b">
        <f>P478=_R32Matchups[[#This Row],[1G vs]]</f>
        <v>1</v>
      </c>
      <c r="Z478" t="b">
        <f>Q478=_R32Matchups[[#This Row],[1I vs]]</f>
        <v>1</v>
      </c>
      <c r="AA478" t="b">
        <f>R478=_R32Matchups[[#This Row],[1K vs]]</f>
        <v>1</v>
      </c>
      <c r="AB478" t="b">
        <f>S478=_R32Matchups[[#This Row],[1L vs]]</f>
        <v>1</v>
      </c>
    </row>
    <row r="479" spans="1:28" ht="14.4">
      <c r="A479" s="2" t="s">
        <v>498</v>
      </c>
      <c r="B479" s="2" t="s">
        <v>14</v>
      </c>
      <c r="C479" s="2" t="s">
        <v>15</v>
      </c>
      <c r="D479" s="2" t="s">
        <v>65</v>
      </c>
      <c r="E479" s="2" t="s">
        <v>28</v>
      </c>
      <c r="F479" s="2" t="s">
        <v>186</v>
      </c>
      <c r="G479" s="2" t="s">
        <v>19</v>
      </c>
      <c r="H479" s="2" t="s">
        <v>10</v>
      </c>
      <c r="I479" s="2" t="s">
        <v>17</v>
      </c>
      <c r="K479" t="s">
        <v>498</v>
      </c>
      <c r="L479" t="s">
        <v>14</v>
      </c>
      <c r="M479" t="s">
        <v>15</v>
      </c>
      <c r="N479" t="s">
        <v>65</v>
      </c>
      <c r="O479" t="s">
        <v>28</v>
      </c>
      <c r="P479" t="s">
        <v>186</v>
      </c>
      <c r="Q479" t="s">
        <v>19</v>
      </c>
      <c r="R479" t="s">
        <v>10</v>
      </c>
      <c r="S479" t="s">
        <v>17</v>
      </c>
      <c r="U479" t="b">
        <f>L479=_R32Matchups[[#This Row],[1A vs]]</f>
        <v>1</v>
      </c>
      <c r="V479" t="b">
        <f>M479=_R32Matchups[[#This Row],[1B vs]]</f>
        <v>1</v>
      </c>
      <c r="W479" t="b">
        <f>N479=_R32Matchups[[#This Row],[1D vs]]</f>
        <v>1</v>
      </c>
      <c r="X479" t="b">
        <f>O479=_R32Matchups[[#This Row],[1E vs]]</f>
        <v>1</v>
      </c>
      <c r="Y479" t="b">
        <f>P479=_R32Matchups[[#This Row],[1G vs]]</f>
        <v>1</v>
      </c>
      <c r="Z479" t="b">
        <f>Q479=_R32Matchups[[#This Row],[1I vs]]</f>
        <v>1</v>
      </c>
      <c r="AA479" t="b">
        <f>R479=_R32Matchups[[#This Row],[1K vs]]</f>
        <v>1</v>
      </c>
      <c r="AB479" t="b">
        <f>S479=_R32Matchups[[#This Row],[1L vs]]</f>
        <v>1</v>
      </c>
    </row>
    <row r="480" spans="1:28" ht="14.4">
      <c r="A480" s="2" t="s">
        <v>499</v>
      </c>
      <c r="B480" s="2" t="s">
        <v>14</v>
      </c>
      <c r="C480" s="2" t="s">
        <v>15</v>
      </c>
      <c r="D480" s="2" t="s">
        <v>65</v>
      </c>
      <c r="E480" s="2" t="s">
        <v>28</v>
      </c>
      <c r="F480" s="2" t="s">
        <v>186</v>
      </c>
      <c r="G480" s="2" t="s">
        <v>19</v>
      </c>
      <c r="H480" s="2" t="s">
        <v>10</v>
      </c>
      <c r="I480" s="2" t="s">
        <v>11</v>
      </c>
      <c r="K480" t="s">
        <v>499</v>
      </c>
      <c r="L480" t="s">
        <v>14</v>
      </c>
      <c r="M480" t="s">
        <v>15</v>
      </c>
      <c r="N480" t="s">
        <v>65</v>
      </c>
      <c r="O480" t="s">
        <v>28</v>
      </c>
      <c r="P480" t="s">
        <v>186</v>
      </c>
      <c r="Q480" t="s">
        <v>19</v>
      </c>
      <c r="R480" t="s">
        <v>10</v>
      </c>
      <c r="S480" t="s">
        <v>11</v>
      </c>
      <c r="U480" t="b">
        <f>L480=_R32Matchups[[#This Row],[1A vs]]</f>
        <v>1</v>
      </c>
      <c r="V480" t="b">
        <f>M480=_R32Matchups[[#This Row],[1B vs]]</f>
        <v>1</v>
      </c>
      <c r="W480" t="b">
        <f>N480=_R32Matchups[[#This Row],[1D vs]]</f>
        <v>1</v>
      </c>
      <c r="X480" t="b">
        <f>O480=_R32Matchups[[#This Row],[1E vs]]</f>
        <v>1</v>
      </c>
      <c r="Y480" t="b">
        <f>P480=_R32Matchups[[#This Row],[1G vs]]</f>
        <v>1</v>
      </c>
      <c r="Z480" t="b">
        <f>Q480=_R32Matchups[[#This Row],[1I vs]]</f>
        <v>1</v>
      </c>
      <c r="AA480" t="b">
        <f>R480=_R32Matchups[[#This Row],[1K vs]]</f>
        <v>1</v>
      </c>
      <c r="AB480" t="b">
        <f>S480=_R32Matchups[[#This Row],[1L vs]]</f>
        <v>1</v>
      </c>
    </row>
    <row r="481" spans="1:28" ht="14.4">
      <c r="A481" s="2" t="s">
        <v>500</v>
      </c>
      <c r="B481" s="2" t="s">
        <v>14</v>
      </c>
      <c r="C481" s="2" t="s">
        <v>15</v>
      </c>
      <c r="D481" s="2" t="s">
        <v>65</v>
      </c>
      <c r="E481" s="2" t="s">
        <v>28</v>
      </c>
      <c r="F481" s="2" t="s">
        <v>186</v>
      </c>
      <c r="G481" s="2" t="s">
        <v>19</v>
      </c>
      <c r="H481" s="2" t="s">
        <v>10</v>
      </c>
      <c r="I481" s="2" t="s">
        <v>12</v>
      </c>
      <c r="K481" t="s">
        <v>500</v>
      </c>
      <c r="L481" t="s">
        <v>14</v>
      </c>
      <c r="M481" t="s">
        <v>15</v>
      </c>
      <c r="N481" t="s">
        <v>65</v>
      </c>
      <c r="O481" t="s">
        <v>28</v>
      </c>
      <c r="P481" t="s">
        <v>186</v>
      </c>
      <c r="Q481" t="s">
        <v>19</v>
      </c>
      <c r="R481" t="s">
        <v>10</v>
      </c>
      <c r="S481" t="s">
        <v>12</v>
      </c>
      <c r="U481" t="b">
        <f>L481=_R32Matchups[[#This Row],[1A vs]]</f>
        <v>1</v>
      </c>
      <c r="V481" t="b">
        <f>M481=_R32Matchups[[#This Row],[1B vs]]</f>
        <v>1</v>
      </c>
      <c r="W481" t="b">
        <f>N481=_R32Matchups[[#This Row],[1D vs]]</f>
        <v>1</v>
      </c>
      <c r="X481" t="b">
        <f>O481=_R32Matchups[[#This Row],[1E vs]]</f>
        <v>1</v>
      </c>
      <c r="Y481" t="b">
        <f>P481=_R32Matchups[[#This Row],[1G vs]]</f>
        <v>1</v>
      </c>
      <c r="Z481" t="b">
        <f>Q481=_R32Matchups[[#This Row],[1I vs]]</f>
        <v>1</v>
      </c>
      <c r="AA481" t="b">
        <f>R481=_R32Matchups[[#This Row],[1K vs]]</f>
        <v>1</v>
      </c>
      <c r="AB481" t="b">
        <f>S481=_R32Matchups[[#This Row],[1L vs]]</f>
        <v>1</v>
      </c>
    </row>
    <row r="482" spans="1:28" ht="14.4">
      <c r="A482" s="2" t="s">
        <v>501</v>
      </c>
      <c r="B482" s="2" t="s">
        <v>28</v>
      </c>
      <c r="C482" s="2" t="s">
        <v>10</v>
      </c>
      <c r="D482" s="2" t="s">
        <v>65</v>
      </c>
      <c r="E482" s="2" t="s">
        <v>19</v>
      </c>
      <c r="F482" s="2" t="s">
        <v>186</v>
      </c>
      <c r="G482" s="2" t="s">
        <v>13</v>
      </c>
      <c r="H482" s="2" t="s">
        <v>16</v>
      </c>
      <c r="I482" s="2" t="s">
        <v>17</v>
      </c>
      <c r="K482" t="s">
        <v>501</v>
      </c>
      <c r="L482" t="s">
        <v>28</v>
      </c>
      <c r="M482" t="s">
        <v>10</v>
      </c>
      <c r="N482" t="s">
        <v>65</v>
      </c>
      <c r="O482" t="s">
        <v>19</v>
      </c>
      <c r="P482" t="s">
        <v>186</v>
      </c>
      <c r="Q482" t="s">
        <v>13</v>
      </c>
      <c r="R482" t="s">
        <v>16</v>
      </c>
      <c r="S482" t="s">
        <v>17</v>
      </c>
      <c r="U482" t="b">
        <f>L482=_R32Matchups[[#This Row],[1A vs]]</f>
        <v>1</v>
      </c>
      <c r="V482" t="b">
        <f>M482=_R32Matchups[[#This Row],[1B vs]]</f>
        <v>1</v>
      </c>
      <c r="W482" t="b">
        <f>N482=_R32Matchups[[#This Row],[1D vs]]</f>
        <v>1</v>
      </c>
      <c r="X482" t="b">
        <f>O482=_R32Matchups[[#This Row],[1E vs]]</f>
        <v>1</v>
      </c>
      <c r="Y482" t="b">
        <f>P482=_R32Matchups[[#This Row],[1G vs]]</f>
        <v>1</v>
      </c>
      <c r="Z482" t="b">
        <f>Q482=_R32Matchups[[#This Row],[1I vs]]</f>
        <v>1</v>
      </c>
      <c r="AA482" t="b">
        <f>R482=_R32Matchups[[#This Row],[1K vs]]</f>
        <v>1</v>
      </c>
      <c r="AB482" t="b">
        <f>S482=_R32Matchups[[#This Row],[1L vs]]</f>
        <v>1</v>
      </c>
    </row>
    <row r="483" spans="1:28" ht="14.4">
      <c r="A483" s="2" t="s">
        <v>502</v>
      </c>
      <c r="B483" s="2" t="s">
        <v>28</v>
      </c>
      <c r="C483" s="2" t="s">
        <v>11</v>
      </c>
      <c r="D483" s="2" t="s">
        <v>65</v>
      </c>
      <c r="E483" s="2" t="s">
        <v>19</v>
      </c>
      <c r="F483" s="2" t="s">
        <v>186</v>
      </c>
      <c r="G483" s="2" t="s">
        <v>13</v>
      </c>
      <c r="H483" s="2" t="s">
        <v>16</v>
      </c>
      <c r="I483" s="2" t="s">
        <v>10</v>
      </c>
      <c r="K483" t="s">
        <v>502</v>
      </c>
      <c r="L483" t="s">
        <v>28</v>
      </c>
      <c r="M483" t="s">
        <v>11</v>
      </c>
      <c r="N483" t="s">
        <v>65</v>
      </c>
      <c r="O483" t="s">
        <v>19</v>
      </c>
      <c r="P483" t="s">
        <v>186</v>
      </c>
      <c r="Q483" t="s">
        <v>13</v>
      </c>
      <c r="R483" t="s">
        <v>16</v>
      </c>
      <c r="S483" t="s">
        <v>10</v>
      </c>
      <c r="U483" t="b">
        <f>L483=_R32Matchups[[#This Row],[1A vs]]</f>
        <v>1</v>
      </c>
      <c r="V483" t="b">
        <f>M483=_R32Matchups[[#This Row],[1B vs]]</f>
        <v>1</v>
      </c>
      <c r="W483" t="b">
        <f>N483=_R32Matchups[[#This Row],[1D vs]]</f>
        <v>1</v>
      </c>
      <c r="X483" t="b">
        <f>O483=_R32Matchups[[#This Row],[1E vs]]</f>
        <v>1</v>
      </c>
      <c r="Y483" t="b">
        <f>P483=_R32Matchups[[#This Row],[1G vs]]</f>
        <v>1</v>
      </c>
      <c r="Z483" t="b">
        <f>Q483=_R32Matchups[[#This Row],[1I vs]]</f>
        <v>1</v>
      </c>
      <c r="AA483" t="b">
        <f>R483=_R32Matchups[[#This Row],[1K vs]]</f>
        <v>1</v>
      </c>
      <c r="AB483" t="b">
        <f>S483=_R32Matchups[[#This Row],[1L vs]]</f>
        <v>1</v>
      </c>
    </row>
    <row r="484" spans="1:28" ht="14.4">
      <c r="A484" s="2" t="s">
        <v>503</v>
      </c>
      <c r="B484" s="2" t="s">
        <v>28</v>
      </c>
      <c r="C484" s="2" t="s">
        <v>11</v>
      </c>
      <c r="D484" s="2" t="s">
        <v>65</v>
      </c>
      <c r="E484" s="2" t="s">
        <v>19</v>
      </c>
      <c r="F484" s="2" t="s">
        <v>186</v>
      </c>
      <c r="G484" s="2" t="s">
        <v>13</v>
      </c>
      <c r="H484" s="2" t="s">
        <v>10</v>
      </c>
      <c r="I484" s="2" t="s">
        <v>17</v>
      </c>
      <c r="K484" t="s">
        <v>503</v>
      </c>
      <c r="L484" t="s">
        <v>28</v>
      </c>
      <c r="M484" t="s">
        <v>11</v>
      </c>
      <c r="N484" t="s">
        <v>65</v>
      </c>
      <c r="O484" t="s">
        <v>19</v>
      </c>
      <c r="P484" t="s">
        <v>186</v>
      </c>
      <c r="Q484" t="s">
        <v>13</v>
      </c>
      <c r="R484" t="s">
        <v>10</v>
      </c>
      <c r="S484" t="s">
        <v>17</v>
      </c>
      <c r="U484" t="b">
        <f>L484=_R32Matchups[[#This Row],[1A vs]]</f>
        <v>1</v>
      </c>
      <c r="V484" t="b">
        <f>M484=_R32Matchups[[#This Row],[1B vs]]</f>
        <v>1</v>
      </c>
      <c r="W484" t="b">
        <f>N484=_R32Matchups[[#This Row],[1D vs]]</f>
        <v>1</v>
      </c>
      <c r="X484" t="b">
        <f>O484=_R32Matchups[[#This Row],[1E vs]]</f>
        <v>1</v>
      </c>
      <c r="Y484" t="b">
        <f>P484=_R32Matchups[[#This Row],[1G vs]]</f>
        <v>1</v>
      </c>
      <c r="Z484" t="b">
        <f>Q484=_R32Matchups[[#This Row],[1I vs]]</f>
        <v>1</v>
      </c>
      <c r="AA484" t="b">
        <f>R484=_R32Matchups[[#This Row],[1K vs]]</f>
        <v>1</v>
      </c>
      <c r="AB484" t="b">
        <f>S484=_R32Matchups[[#This Row],[1L vs]]</f>
        <v>1</v>
      </c>
    </row>
    <row r="485" spans="1:28" ht="14.4">
      <c r="A485" s="2" t="s">
        <v>504</v>
      </c>
      <c r="B485" s="2" t="s">
        <v>28</v>
      </c>
      <c r="C485" s="2" t="s">
        <v>10</v>
      </c>
      <c r="D485" s="2" t="s">
        <v>65</v>
      </c>
      <c r="E485" s="2" t="s">
        <v>19</v>
      </c>
      <c r="F485" s="2" t="s">
        <v>186</v>
      </c>
      <c r="G485" s="2" t="s">
        <v>13</v>
      </c>
      <c r="H485" s="2" t="s">
        <v>16</v>
      </c>
      <c r="I485" s="2" t="s">
        <v>12</v>
      </c>
      <c r="K485" t="s">
        <v>504</v>
      </c>
      <c r="L485" t="s">
        <v>28</v>
      </c>
      <c r="M485" t="s">
        <v>10</v>
      </c>
      <c r="N485" t="s">
        <v>65</v>
      </c>
      <c r="O485" t="s">
        <v>19</v>
      </c>
      <c r="P485" t="s">
        <v>186</v>
      </c>
      <c r="Q485" t="s">
        <v>13</v>
      </c>
      <c r="R485" t="s">
        <v>16</v>
      </c>
      <c r="S485" t="s">
        <v>12</v>
      </c>
      <c r="U485" t="b">
        <f>L485=_R32Matchups[[#This Row],[1A vs]]</f>
        <v>1</v>
      </c>
      <c r="V485" t="b">
        <f>M485=_R32Matchups[[#This Row],[1B vs]]</f>
        <v>1</v>
      </c>
      <c r="W485" t="b">
        <f>N485=_R32Matchups[[#This Row],[1D vs]]</f>
        <v>1</v>
      </c>
      <c r="X485" t="b">
        <f>O485=_R32Matchups[[#This Row],[1E vs]]</f>
        <v>1</v>
      </c>
      <c r="Y485" t="b">
        <f>P485=_R32Matchups[[#This Row],[1G vs]]</f>
        <v>1</v>
      </c>
      <c r="Z485" t="b">
        <f>Q485=_R32Matchups[[#This Row],[1I vs]]</f>
        <v>1</v>
      </c>
      <c r="AA485" t="b">
        <f>R485=_R32Matchups[[#This Row],[1K vs]]</f>
        <v>1</v>
      </c>
      <c r="AB485" t="b">
        <f>S485=_R32Matchups[[#This Row],[1L vs]]</f>
        <v>1</v>
      </c>
    </row>
    <row r="486" spans="1:28" ht="14.4">
      <c r="A486" s="2" t="s">
        <v>505</v>
      </c>
      <c r="B486" s="2" t="s">
        <v>28</v>
      </c>
      <c r="C486" s="2" t="s">
        <v>10</v>
      </c>
      <c r="D486" s="2" t="s">
        <v>65</v>
      </c>
      <c r="E486" s="2" t="s">
        <v>19</v>
      </c>
      <c r="F486" s="2" t="s">
        <v>186</v>
      </c>
      <c r="G486" s="2" t="s">
        <v>13</v>
      </c>
      <c r="H486" s="2" t="s">
        <v>12</v>
      </c>
      <c r="I486" s="2" t="s">
        <v>17</v>
      </c>
      <c r="K486" t="s">
        <v>505</v>
      </c>
      <c r="L486" t="s">
        <v>28</v>
      </c>
      <c r="M486" t="s">
        <v>10</v>
      </c>
      <c r="N486" t="s">
        <v>65</v>
      </c>
      <c r="O486" t="s">
        <v>19</v>
      </c>
      <c r="P486" t="s">
        <v>186</v>
      </c>
      <c r="Q486" t="s">
        <v>13</v>
      </c>
      <c r="R486" t="s">
        <v>12</v>
      </c>
      <c r="S486" t="s">
        <v>17</v>
      </c>
      <c r="U486" t="b">
        <f>L486=_R32Matchups[[#This Row],[1A vs]]</f>
        <v>1</v>
      </c>
      <c r="V486" t="b">
        <f>M486=_R32Matchups[[#This Row],[1B vs]]</f>
        <v>1</v>
      </c>
      <c r="W486" t="b">
        <f>N486=_R32Matchups[[#This Row],[1D vs]]</f>
        <v>1</v>
      </c>
      <c r="X486" t="b">
        <f>O486=_R32Matchups[[#This Row],[1E vs]]</f>
        <v>1</v>
      </c>
      <c r="Y486" t="b">
        <f>P486=_R32Matchups[[#This Row],[1G vs]]</f>
        <v>1</v>
      </c>
      <c r="Z486" t="b">
        <f>Q486=_R32Matchups[[#This Row],[1I vs]]</f>
        <v>1</v>
      </c>
      <c r="AA486" t="b">
        <f>R486=_R32Matchups[[#This Row],[1K vs]]</f>
        <v>1</v>
      </c>
      <c r="AB486" t="b">
        <f>S486=_R32Matchups[[#This Row],[1L vs]]</f>
        <v>1</v>
      </c>
    </row>
    <row r="487" spans="1:28" ht="14.4">
      <c r="A487" s="2" t="s">
        <v>506</v>
      </c>
      <c r="B487" s="2" t="s">
        <v>28</v>
      </c>
      <c r="C487" s="2" t="s">
        <v>11</v>
      </c>
      <c r="D487" s="2" t="s">
        <v>65</v>
      </c>
      <c r="E487" s="2" t="s">
        <v>19</v>
      </c>
      <c r="F487" s="2" t="s">
        <v>186</v>
      </c>
      <c r="G487" s="2" t="s">
        <v>13</v>
      </c>
      <c r="H487" s="2" t="s">
        <v>10</v>
      </c>
      <c r="I487" s="2" t="s">
        <v>12</v>
      </c>
      <c r="K487" t="s">
        <v>506</v>
      </c>
      <c r="L487" t="s">
        <v>28</v>
      </c>
      <c r="M487" t="s">
        <v>11</v>
      </c>
      <c r="N487" t="s">
        <v>65</v>
      </c>
      <c r="O487" t="s">
        <v>19</v>
      </c>
      <c r="P487" t="s">
        <v>186</v>
      </c>
      <c r="Q487" t="s">
        <v>13</v>
      </c>
      <c r="R487" t="s">
        <v>10</v>
      </c>
      <c r="S487" t="s">
        <v>12</v>
      </c>
      <c r="U487" t="b">
        <f>L487=_R32Matchups[[#This Row],[1A vs]]</f>
        <v>1</v>
      </c>
      <c r="V487" t="b">
        <f>M487=_R32Matchups[[#This Row],[1B vs]]</f>
        <v>1</v>
      </c>
      <c r="W487" t="b">
        <f>N487=_R32Matchups[[#This Row],[1D vs]]</f>
        <v>1</v>
      </c>
      <c r="X487" t="b">
        <f>O487=_R32Matchups[[#This Row],[1E vs]]</f>
        <v>1</v>
      </c>
      <c r="Y487" t="b">
        <f>P487=_R32Matchups[[#This Row],[1G vs]]</f>
        <v>1</v>
      </c>
      <c r="Z487" t="b">
        <f>Q487=_R32Matchups[[#This Row],[1I vs]]</f>
        <v>1</v>
      </c>
      <c r="AA487" t="b">
        <f>R487=_R32Matchups[[#This Row],[1K vs]]</f>
        <v>1</v>
      </c>
      <c r="AB487" t="b">
        <f>S487=_R32Matchups[[#This Row],[1L vs]]</f>
        <v>1</v>
      </c>
    </row>
    <row r="488" spans="1:28" ht="14.4">
      <c r="A488" s="2" t="s">
        <v>507</v>
      </c>
      <c r="B488" s="2" t="s">
        <v>14</v>
      </c>
      <c r="C488" s="2" t="s">
        <v>13</v>
      </c>
      <c r="D488" s="2" t="s">
        <v>65</v>
      </c>
      <c r="E488" s="2" t="s">
        <v>28</v>
      </c>
      <c r="F488" s="2" t="s">
        <v>186</v>
      </c>
      <c r="G488" s="2" t="s">
        <v>19</v>
      </c>
      <c r="H488" s="2" t="s">
        <v>16</v>
      </c>
      <c r="I488" s="2" t="s">
        <v>10</v>
      </c>
      <c r="K488" t="s">
        <v>507</v>
      </c>
      <c r="L488" t="s">
        <v>14</v>
      </c>
      <c r="M488" t="s">
        <v>13</v>
      </c>
      <c r="N488" t="s">
        <v>65</v>
      </c>
      <c r="O488" t="s">
        <v>28</v>
      </c>
      <c r="P488" t="s">
        <v>186</v>
      </c>
      <c r="Q488" t="s">
        <v>19</v>
      </c>
      <c r="R488" t="s">
        <v>16</v>
      </c>
      <c r="S488" t="s">
        <v>10</v>
      </c>
      <c r="U488" t="b">
        <f>L488=_R32Matchups[[#This Row],[1A vs]]</f>
        <v>1</v>
      </c>
      <c r="V488" t="b">
        <f>M488=_R32Matchups[[#This Row],[1B vs]]</f>
        <v>1</v>
      </c>
      <c r="W488" t="b">
        <f>N488=_R32Matchups[[#This Row],[1D vs]]</f>
        <v>1</v>
      </c>
      <c r="X488" t="b">
        <f>O488=_R32Matchups[[#This Row],[1E vs]]</f>
        <v>1</v>
      </c>
      <c r="Y488" t="b">
        <f>P488=_R32Matchups[[#This Row],[1G vs]]</f>
        <v>1</v>
      </c>
      <c r="Z488" t="b">
        <f>Q488=_R32Matchups[[#This Row],[1I vs]]</f>
        <v>1</v>
      </c>
      <c r="AA488" t="b">
        <f>R488=_R32Matchups[[#This Row],[1K vs]]</f>
        <v>1</v>
      </c>
      <c r="AB488" t="b">
        <f>S488=_R32Matchups[[#This Row],[1L vs]]</f>
        <v>1</v>
      </c>
    </row>
    <row r="489" spans="1:28" ht="14.4">
      <c r="A489" s="2" t="s">
        <v>508</v>
      </c>
      <c r="B489" s="2" t="s">
        <v>14</v>
      </c>
      <c r="C489" s="2" t="s">
        <v>10</v>
      </c>
      <c r="D489" s="2" t="s">
        <v>65</v>
      </c>
      <c r="E489" s="2" t="s">
        <v>28</v>
      </c>
      <c r="F489" s="2" t="s">
        <v>186</v>
      </c>
      <c r="G489" s="2" t="s">
        <v>13</v>
      </c>
      <c r="H489" s="2" t="s">
        <v>19</v>
      </c>
      <c r="I489" s="2" t="s">
        <v>17</v>
      </c>
      <c r="K489" t="s">
        <v>508</v>
      </c>
      <c r="L489" t="s">
        <v>14</v>
      </c>
      <c r="M489" t="s">
        <v>10</v>
      </c>
      <c r="N489" t="s">
        <v>65</v>
      </c>
      <c r="O489" t="s">
        <v>28</v>
      </c>
      <c r="P489" t="s">
        <v>186</v>
      </c>
      <c r="Q489" t="s">
        <v>13</v>
      </c>
      <c r="R489" t="s">
        <v>19</v>
      </c>
      <c r="S489" t="s">
        <v>17</v>
      </c>
      <c r="U489" t="b">
        <f>L489=_R32Matchups[[#This Row],[1A vs]]</f>
        <v>1</v>
      </c>
      <c r="V489" t="b">
        <f>M489=_R32Matchups[[#This Row],[1B vs]]</f>
        <v>1</v>
      </c>
      <c r="W489" t="b">
        <f>N489=_R32Matchups[[#This Row],[1D vs]]</f>
        <v>1</v>
      </c>
      <c r="X489" t="b">
        <f>O489=_R32Matchups[[#This Row],[1E vs]]</f>
        <v>1</v>
      </c>
      <c r="Y489" t="b">
        <f>P489=_R32Matchups[[#This Row],[1G vs]]</f>
        <v>1</v>
      </c>
      <c r="Z489" t="b">
        <f>Q489=_R32Matchups[[#This Row],[1I vs]]</f>
        <v>1</v>
      </c>
      <c r="AA489" t="b">
        <f>R489=_R32Matchups[[#This Row],[1K vs]]</f>
        <v>1</v>
      </c>
      <c r="AB489" t="b">
        <f>S489=_R32Matchups[[#This Row],[1L vs]]</f>
        <v>1</v>
      </c>
    </row>
    <row r="490" spans="1:28" ht="14.4">
      <c r="A490" s="2" t="s">
        <v>509</v>
      </c>
      <c r="B490" s="2" t="s">
        <v>14</v>
      </c>
      <c r="C490" s="2" t="s">
        <v>11</v>
      </c>
      <c r="D490" s="2" t="s">
        <v>65</v>
      </c>
      <c r="E490" s="2" t="s">
        <v>28</v>
      </c>
      <c r="F490" s="2" t="s">
        <v>186</v>
      </c>
      <c r="G490" s="2" t="s">
        <v>13</v>
      </c>
      <c r="H490" s="2" t="s">
        <v>19</v>
      </c>
      <c r="I490" s="2" t="s">
        <v>10</v>
      </c>
      <c r="K490" t="s">
        <v>509</v>
      </c>
      <c r="L490" t="s">
        <v>14</v>
      </c>
      <c r="M490" t="s">
        <v>11</v>
      </c>
      <c r="N490" t="s">
        <v>65</v>
      </c>
      <c r="O490" t="s">
        <v>28</v>
      </c>
      <c r="P490" t="s">
        <v>186</v>
      </c>
      <c r="Q490" t="s">
        <v>13</v>
      </c>
      <c r="R490" t="s">
        <v>19</v>
      </c>
      <c r="S490" t="s">
        <v>10</v>
      </c>
      <c r="U490" t="b">
        <f>L490=_R32Matchups[[#This Row],[1A vs]]</f>
        <v>1</v>
      </c>
      <c r="V490" t="b">
        <f>M490=_R32Matchups[[#This Row],[1B vs]]</f>
        <v>1</v>
      </c>
      <c r="W490" t="b">
        <f>N490=_R32Matchups[[#This Row],[1D vs]]</f>
        <v>1</v>
      </c>
      <c r="X490" t="b">
        <f>O490=_R32Matchups[[#This Row],[1E vs]]</f>
        <v>1</v>
      </c>
      <c r="Y490" t="b">
        <f>P490=_R32Matchups[[#This Row],[1G vs]]</f>
        <v>1</v>
      </c>
      <c r="Z490" t="b">
        <f>Q490=_R32Matchups[[#This Row],[1I vs]]</f>
        <v>1</v>
      </c>
      <c r="AA490" t="b">
        <f>R490=_R32Matchups[[#This Row],[1K vs]]</f>
        <v>1</v>
      </c>
      <c r="AB490" t="b">
        <f>S490=_R32Matchups[[#This Row],[1L vs]]</f>
        <v>1</v>
      </c>
    </row>
    <row r="491" spans="1:28" ht="14.4">
      <c r="A491" s="2" t="s">
        <v>510</v>
      </c>
      <c r="B491" s="2" t="s">
        <v>14</v>
      </c>
      <c r="C491" s="2" t="s">
        <v>10</v>
      </c>
      <c r="D491" s="2" t="s">
        <v>65</v>
      </c>
      <c r="E491" s="2" t="s">
        <v>28</v>
      </c>
      <c r="F491" s="2" t="s">
        <v>186</v>
      </c>
      <c r="G491" s="2" t="s">
        <v>13</v>
      </c>
      <c r="H491" s="2" t="s">
        <v>19</v>
      </c>
      <c r="I491" s="2" t="s">
        <v>12</v>
      </c>
      <c r="K491" t="s">
        <v>510</v>
      </c>
      <c r="L491" t="s">
        <v>14</v>
      </c>
      <c r="M491" t="s">
        <v>10</v>
      </c>
      <c r="N491" t="s">
        <v>65</v>
      </c>
      <c r="O491" t="s">
        <v>28</v>
      </c>
      <c r="P491" t="s">
        <v>186</v>
      </c>
      <c r="Q491" t="s">
        <v>13</v>
      </c>
      <c r="R491" t="s">
        <v>19</v>
      </c>
      <c r="S491" t="s">
        <v>12</v>
      </c>
      <c r="U491" t="b">
        <f>L491=_R32Matchups[[#This Row],[1A vs]]</f>
        <v>1</v>
      </c>
      <c r="V491" t="b">
        <f>M491=_R32Matchups[[#This Row],[1B vs]]</f>
        <v>1</v>
      </c>
      <c r="W491" t="b">
        <f>N491=_R32Matchups[[#This Row],[1D vs]]</f>
        <v>1</v>
      </c>
      <c r="X491" t="b">
        <f>O491=_R32Matchups[[#This Row],[1E vs]]</f>
        <v>1</v>
      </c>
      <c r="Y491" t="b">
        <f>P491=_R32Matchups[[#This Row],[1G vs]]</f>
        <v>1</v>
      </c>
      <c r="Z491" t="b">
        <f>Q491=_R32Matchups[[#This Row],[1I vs]]</f>
        <v>1</v>
      </c>
      <c r="AA491" t="b">
        <f>R491=_R32Matchups[[#This Row],[1K vs]]</f>
        <v>1</v>
      </c>
      <c r="AB491" t="b">
        <f>S491=_R32Matchups[[#This Row],[1L vs]]</f>
        <v>1</v>
      </c>
    </row>
    <row r="492" spans="1:28" ht="14.4">
      <c r="A492" s="2" t="s">
        <v>511</v>
      </c>
      <c r="B492" s="2" t="s">
        <v>28</v>
      </c>
      <c r="C492" s="2" t="s">
        <v>15</v>
      </c>
      <c r="D492" s="2" t="s">
        <v>65</v>
      </c>
      <c r="E492" s="2" t="s">
        <v>19</v>
      </c>
      <c r="F492" s="2" t="s">
        <v>186</v>
      </c>
      <c r="G492" s="2" t="s">
        <v>13</v>
      </c>
      <c r="H492" s="2" t="s">
        <v>16</v>
      </c>
      <c r="I492" s="2" t="s">
        <v>10</v>
      </c>
      <c r="K492" t="s">
        <v>511</v>
      </c>
      <c r="L492" t="s">
        <v>28</v>
      </c>
      <c r="M492" t="s">
        <v>15</v>
      </c>
      <c r="N492" t="s">
        <v>65</v>
      </c>
      <c r="O492" t="s">
        <v>19</v>
      </c>
      <c r="P492" t="s">
        <v>186</v>
      </c>
      <c r="Q492" t="s">
        <v>13</v>
      </c>
      <c r="R492" t="s">
        <v>16</v>
      </c>
      <c r="S492" t="s">
        <v>10</v>
      </c>
      <c r="U492" t="b">
        <f>L492=_R32Matchups[[#This Row],[1A vs]]</f>
        <v>1</v>
      </c>
      <c r="V492" t="b">
        <f>M492=_R32Matchups[[#This Row],[1B vs]]</f>
        <v>1</v>
      </c>
      <c r="W492" t="b">
        <f>N492=_R32Matchups[[#This Row],[1D vs]]</f>
        <v>1</v>
      </c>
      <c r="X492" t="b">
        <f>O492=_R32Matchups[[#This Row],[1E vs]]</f>
        <v>1</v>
      </c>
      <c r="Y492" t="b">
        <f>P492=_R32Matchups[[#This Row],[1G vs]]</f>
        <v>1</v>
      </c>
      <c r="Z492" t="b">
        <f>Q492=_R32Matchups[[#This Row],[1I vs]]</f>
        <v>1</v>
      </c>
      <c r="AA492" t="b">
        <f>R492=_R32Matchups[[#This Row],[1K vs]]</f>
        <v>1</v>
      </c>
      <c r="AB492" t="b">
        <f>S492=_R32Matchups[[#This Row],[1L vs]]</f>
        <v>1</v>
      </c>
    </row>
    <row r="493" spans="1:28" ht="14.4">
      <c r="A493" s="2" t="s">
        <v>512</v>
      </c>
      <c r="B493" s="2" t="s">
        <v>28</v>
      </c>
      <c r="C493" s="2" t="s">
        <v>15</v>
      </c>
      <c r="D493" s="2" t="s">
        <v>65</v>
      </c>
      <c r="E493" s="2" t="s">
        <v>19</v>
      </c>
      <c r="F493" s="2" t="s">
        <v>186</v>
      </c>
      <c r="G493" s="2" t="s">
        <v>13</v>
      </c>
      <c r="H493" s="2" t="s">
        <v>10</v>
      </c>
      <c r="I493" s="2" t="s">
        <v>17</v>
      </c>
      <c r="K493" t="s">
        <v>512</v>
      </c>
      <c r="L493" t="s">
        <v>28</v>
      </c>
      <c r="M493" t="s">
        <v>15</v>
      </c>
      <c r="N493" t="s">
        <v>65</v>
      </c>
      <c r="O493" t="s">
        <v>19</v>
      </c>
      <c r="P493" t="s">
        <v>186</v>
      </c>
      <c r="Q493" t="s">
        <v>13</v>
      </c>
      <c r="R493" t="s">
        <v>10</v>
      </c>
      <c r="S493" t="s">
        <v>17</v>
      </c>
      <c r="U493" t="b">
        <f>L493=_R32Matchups[[#This Row],[1A vs]]</f>
        <v>1</v>
      </c>
      <c r="V493" t="b">
        <f>M493=_R32Matchups[[#This Row],[1B vs]]</f>
        <v>1</v>
      </c>
      <c r="W493" t="b">
        <f>N493=_R32Matchups[[#This Row],[1D vs]]</f>
        <v>1</v>
      </c>
      <c r="X493" t="b">
        <f>O493=_R32Matchups[[#This Row],[1E vs]]</f>
        <v>1</v>
      </c>
      <c r="Y493" t="b">
        <f>P493=_R32Matchups[[#This Row],[1G vs]]</f>
        <v>1</v>
      </c>
      <c r="Z493" t="b">
        <f>Q493=_R32Matchups[[#This Row],[1I vs]]</f>
        <v>1</v>
      </c>
      <c r="AA493" t="b">
        <f>R493=_R32Matchups[[#This Row],[1K vs]]</f>
        <v>1</v>
      </c>
      <c r="AB493" t="b">
        <f>S493=_R32Matchups[[#This Row],[1L vs]]</f>
        <v>1</v>
      </c>
    </row>
    <row r="494" spans="1:28" ht="14.4">
      <c r="A494" s="2" t="s">
        <v>513</v>
      </c>
      <c r="B494" s="2" t="s">
        <v>28</v>
      </c>
      <c r="C494" s="2" t="s">
        <v>15</v>
      </c>
      <c r="D494" s="2" t="s">
        <v>65</v>
      </c>
      <c r="E494" s="2" t="s">
        <v>19</v>
      </c>
      <c r="F494" s="2" t="s">
        <v>186</v>
      </c>
      <c r="G494" s="2" t="s">
        <v>13</v>
      </c>
      <c r="H494" s="2" t="s">
        <v>10</v>
      </c>
      <c r="I494" s="2" t="s">
        <v>11</v>
      </c>
      <c r="K494" t="s">
        <v>513</v>
      </c>
      <c r="L494" t="s">
        <v>28</v>
      </c>
      <c r="M494" t="s">
        <v>15</v>
      </c>
      <c r="N494" t="s">
        <v>65</v>
      </c>
      <c r="O494" t="s">
        <v>19</v>
      </c>
      <c r="P494" t="s">
        <v>186</v>
      </c>
      <c r="Q494" t="s">
        <v>13</v>
      </c>
      <c r="R494" t="s">
        <v>10</v>
      </c>
      <c r="S494" t="s">
        <v>11</v>
      </c>
      <c r="U494" t="b">
        <f>L494=_R32Matchups[[#This Row],[1A vs]]</f>
        <v>1</v>
      </c>
      <c r="V494" t="b">
        <f>M494=_R32Matchups[[#This Row],[1B vs]]</f>
        <v>1</v>
      </c>
      <c r="W494" t="b">
        <f>N494=_R32Matchups[[#This Row],[1D vs]]</f>
        <v>1</v>
      </c>
      <c r="X494" t="b">
        <f>O494=_R32Matchups[[#This Row],[1E vs]]</f>
        <v>1</v>
      </c>
      <c r="Y494" t="b">
        <f>P494=_R32Matchups[[#This Row],[1G vs]]</f>
        <v>1</v>
      </c>
      <c r="Z494" t="b">
        <f>Q494=_R32Matchups[[#This Row],[1I vs]]</f>
        <v>1</v>
      </c>
      <c r="AA494" t="b">
        <f>R494=_R32Matchups[[#This Row],[1K vs]]</f>
        <v>1</v>
      </c>
      <c r="AB494" t="b">
        <f>S494=_R32Matchups[[#This Row],[1L vs]]</f>
        <v>1</v>
      </c>
    </row>
    <row r="495" spans="1:28" ht="14.4">
      <c r="A495" s="2" t="s">
        <v>514</v>
      </c>
      <c r="B495" s="2" t="s">
        <v>28</v>
      </c>
      <c r="C495" s="2" t="s">
        <v>15</v>
      </c>
      <c r="D495" s="2" t="s">
        <v>65</v>
      </c>
      <c r="E495" s="2" t="s">
        <v>19</v>
      </c>
      <c r="F495" s="2" t="s">
        <v>186</v>
      </c>
      <c r="G495" s="2" t="s">
        <v>13</v>
      </c>
      <c r="H495" s="2" t="s">
        <v>10</v>
      </c>
      <c r="I495" s="2" t="s">
        <v>12</v>
      </c>
      <c r="K495" t="s">
        <v>514</v>
      </c>
      <c r="L495" t="s">
        <v>28</v>
      </c>
      <c r="M495" t="s">
        <v>15</v>
      </c>
      <c r="N495" t="s">
        <v>65</v>
      </c>
      <c r="O495" t="s">
        <v>19</v>
      </c>
      <c r="P495" t="s">
        <v>186</v>
      </c>
      <c r="Q495" t="s">
        <v>13</v>
      </c>
      <c r="R495" t="s">
        <v>10</v>
      </c>
      <c r="S495" t="s">
        <v>12</v>
      </c>
      <c r="U495" t="b">
        <f>L495=_R32Matchups[[#This Row],[1A vs]]</f>
        <v>1</v>
      </c>
      <c r="V495" t="b">
        <f>M495=_R32Matchups[[#This Row],[1B vs]]</f>
        <v>1</v>
      </c>
      <c r="W495" t="b">
        <f>N495=_R32Matchups[[#This Row],[1D vs]]</f>
        <v>1</v>
      </c>
      <c r="X495" t="b">
        <f>O495=_R32Matchups[[#This Row],[1E vs]]</f>
        <v>1</v>
      </c>
      <c r="Y495" t="b">
        <f>P495=_R32Matchups[[#This Row],[1G vs]]</f>
        <v>1</v>
      </c>
      <c r="Z495" t="b">
        <f>Q495=_R32Matchups[[#This Row],[1I vs]]</f>
        <v>1</v>
      </c>
      <c r="AA495" t="b">
        <f>R495=_R32Matchups[[#This Row],[1K vs]]</f>
        <v>1</v>
      </c>
      <c r="AB495" t="b">
        <f>S495=_R32Matchups[[#This Row],[1L vs]]</f>
        <v>1</v>
      </c>
    </row>
    <row r="496" spans="1:28" ht="14.4">
      <c r="A496" s="2" t="s">
        <v>515</v>
      </c>
      <c r="B496" s="2" t="s">
        <v>14</v>
      </c>
      <c r="C496" s="2" t="s">
        <v>15</v>
      </c>
      <c r="D496" s="2" t="s">
        <v>65</v>
      </c>
      <c r="E496" s="2" t="s">
        <v>28</v>
      </c>
      <c r="F496" s="2" t="s">
        <v>186</v>
      </c>
      <c r="G496" s="2" t="s">
        <v>13</v>
      </c>
      <c r="H496" s="2" t="s">
        <v>19</v>
      </c>
      <c r="I496" s="2" t="s">
        <v>10</v>
      </c>
      <c r="K496" t="s">
        <v>515</v>
      </c>
      <c r="L496" t="s">
        <v>14</v>
      </c>
      <c r="M496" t="s">
        <v>15</v>
      </c>
      <c r="N496" t="s">
        <v>65</v>
      </c>
      <c r="O496" t="s">
        <v>28</v>
      </c>
      <c r="P496" t="s">
        <v>186</v>
      </c>
      <c r="Q496" t="s">
        <v>13</v>
      </c>
      <c r="R496" t="s">
        <v>19</v>
      </c>
      <c r="S496" t="s">
        <v>10</v>
      </c>
      <c r="U496" t="b">
        <f>L496=_R32Matchups[[#This Row],[1A vs]]</f>
        <v>1</v>
      </c>
      <c r="V496" t="b">
        <f>M496=_R32Matchups[[#This Row],[1B vs]]</f>
        <v>1</v>
      </c>
      <c r="W496" t="b">
        <f>N496=_R32Matchups[[#This Row],[1D vs]]</f>
        <v>1</v>
      </c>
      <c r="X496" t="b">
        <f>O496=_R32Matchups[[#This Row],[1E vs]]</f>
        <v>1</v>
      </c>
      <c r="Y496" t="b">
        <f>P496=_R32Matchups[[#This Row],[1G vs]]</f>
        <v>1</v>
      </c>
      <c r="Z496" t="b">
        <f>Q496=_R32Matchups[[#This Row],[1I vs]]</f>
        <v>1</v>
      </c>
      <c r="AA496" t="b">
        <f>R496=_R32Matchups[[#This Row],[1K vs]]</f>
        <v>1</v>
      </c>
      <c r="AB496" t="b">
        <f>S496=_R32Matchups[[#This Row],[1L vs]]</f>
        <v>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/>
  </sheetViews>
  <sheetFormatPr defaultRowHeight="13.8"/>
  <cols>
    <col min="1" max="1" width="22" customWidth="1"/>
    <col min="2" max="2" width="80" customWidth="1"/>
  </cols>
  <sheetData>
    <row r="1" spans="1:2">
      <c r="A1" s="3" t="s">
        <v>516</v>
      </c>
      <c r="B1" s="3" t="s">
        <v>517</v>
      </c>
    </row>
    <row r="2" spans="1:2">
      <c r="A2" s="4" t="s">
        <v>518</v>
      </c>
      <c r="B2" s="4" t="s">
        <v>519</v>
      </c>
    </row>
    <row r="3" spans="1:2">
      <c r="A3" s="4" t="s">
        <v>520</v>
      </c>
      <c r="B3" s="4" t="s">
        <v>521</v>
      </c>
    </row>
    <row r="4" spans="1:2">
      <c r="A4" s="4" t="s">
        <v>522</v>
      </c>
      <c r="B4" s="4" t="s">
        <v>523</v>
      </c>
    </row>
    <row r="5" spans="1:2">
      <c r="A5" s="4" t="s">
        <v>524</v>
      </c>
      <c r="B5" s="4">
        <v>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R32 Matchups Certo</vt:lpstr>
      <vt:lpstr>cERTO X ERRADO</vt:lpstr>
      <vt:lpstr>Planilha3</vt:lpstr>
      <vt:lpstr>R32 Matchups</vt:lpstr>
      <vt:lpstr>Fonte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Brandão</dc:creator>
  <cp:lastModifiedBy>Pedro Brandão</cp:lastModifiedBy>
  <dcterms:created xsi:type="dcterms:W3CDTF">2026-06-21T22:42:55Z</dcterms:created>
  <dcterms:modified xsi:type="dcterms:W3CDTF">2026-06-21T22:42:55Z</dcterms:modified>
</cp:coreProperties>
</file>