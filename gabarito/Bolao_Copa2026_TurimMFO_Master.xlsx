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ão_copa\gabarito\"/>
    </mc:Choice>
  </mc:AlternateContent>
  <xr:revisionPtr revIDLastSave="0" documentId="13_ncr:1_{8974CD40-D127-45CF-847C-8731A5330C22}" xr6:coauthVersionLast="45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L319" i="8" s="1"/>
  <c r="H319" i="8"/>
  <c r="F319" i="8"/>
  <c r="G319" i="8" s="1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L309" i="8" s="1"/>
  <c r="H309" i="8"/>
  <c r="F309" i="8"/>
  <c r="G309" i="8" s="1"/>
  <c r="E309" i="8"/>
  <c r="D309" i="8"/>
  <c r="C309" i="8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L304" i="8" s="1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L282" i="8" s="1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L280" i="8" s="1"/>
  <c r="H280" i="8"/>
  <c r="I280" i="8" s="1"/>
  <c r="F280" i="8"/>
  <c r="E280" i="8"/>
  <c r="G280" i="8" s="1"/>
  <c r="D280" i="8"/>
  <c r="C280" i="8"/>
  <c r="K279" i="8"/>
  <c r="L279" i="8" s="1"/>
  <c r="F279" i="8"/>
  <c r="E279" i="8"/>
  <c r="D279" i="8"/>
  <c r="C279" i="8"/>
  <c r="H279" i="8" s="1"/>
  <c r="K278" i="8"/>
  <c r="F278" i="8"/>
  <c r="E278" i="8"/>
  <c r="G278" i="8" s="1"/>
  <c r="D278" i="8"/>
  <c r="C278" i="8"/>
  <c r="H278" i="8" s="1"/>
  <c r="I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L274" i="8" s="1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D228" i="8"/>
  <c r="C228" i="8"/>
  <c r="H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H223" i="8"/>
  <c r="G223" i="8"/>
  <c r="F223" i="8"/>
  <c r="E223" i="8"/>
  <c r="D223" i="8"/>
  <c r="C223" i="8"/>
  <c r="K222" i="8"/>
  <c r="L222" i="8" s="1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H221" i="8" s="1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L213" i="8" s="1"/>
  <c r="F213" i="8"/>
  <c r="E213" i="8"/>
  <c r="G213" i="8" s="1"/>
  <c r="I213" i="8" s="1"/>
  <c r="D213" i="8"/>
  <c r="C213" i="8"/>
  <c r="H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H209" i="8" s="1"/>
  <c r="I209" i="8" s="1"/>
  <c r="C209" i="8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H184" i="8"/>
  <c r="F184" i="8"/>
  <c r="E184" i="8"/>
  <c r="G184" i="8" s="1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D50" i="8"/>
  <c r="C50" i="8"/>
  <c r="H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D22" i="8"/>
  <c r="C22" i="8"/>
  <c r="H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I202" i="8" l="1"/>
  <c r="G226" i="8"/>
  <c r="I274" i="8"/>
  <c r="G283" i="8"/>
  <c r="G288" i="8"/>
  <c r="I288" i="8" s="1"/>
  <c r="G302" i="8"/>
  <c r="G297" i="8"/>
  <c r="L317" i="8"/>
  <c r="G274" i="8"/>
  <c r="L202" i="8"/>
  <c r="L207" i="8"/>
  <c r="L284" i="8"/>
  <c r="I227" i="8"/>
  <c r="H313" i="8"/>
  <c r="I313" i="8" s="1"/>
  <c r="L217" i="8"/>
  <c r="L227" i="8"/>
  <c r="L303" i="8"/>
  <c r="L308" i="8"/>
  <c r="I22" i="8"/>
  <c r="I50" i="8"/>
  <c r="L193" i="8"/>
  <c r="G208" i="8"/>
  <c r="I208" i="8" s="1"/>
  <c r="J208" i="8" s="1"/>
  <c r="L212" i="8"/>
  <c r="I228" i="8"/>
  <c r="J228" i="8" s="1"/>
  <c r="L313" i="8"/>
  <c r="I109" i="8"/>
  <c r="L189" i="8"/>
  <c r="H285" i="8"/>
  <c r="L289" i="8"/>
  <c r="G22" i="8"/>
  <c r="L28" i="8"/>
  <c r="G50" i="8"/>
  <c r="H98" i="8"/>
  <c r="H126" i="8"/>
  <c r="G189" i="8"/>
  <c r="H204" i="8"/>
  <c r="G228" i="8"/>
  <c r="L294" i="8"/>
  <c r="L314" i="8"/>
  <c r="L190" i="8"/>
  <c r="L295" i="8"/>
  <c r="L316" i="8"/>
  <c r="L186" i="8"/>
  <c r="G311" i="8"/>
  <c r="I223" i="8"/>
  <c r="I309" i="8"/>
  <c r="G204" i="8"/>
  <c r="I319" i="8"/>
  <c r="J319" i="8" s="1"/>
  <c r="J320" i="8"/>
  <c r="G190" i="8"/>
  <c r="I190" i="8" s="1"/>
  <c r="H224" i="8"/>
  <c r="I224" i="8" s="1"/>
  <c r="I220" i="8"/>
  <c r="J220" i="8" s="1"/>
  <c r="H277" i="8"/>
  <c r="I277" i="8" s="1"/>
  <c r="G291" i="8"/>
  <c r="I191" i="8"/>
  <c r="L281" i="8"/>
  <c r="L305" i="8"/>
  <c r="G277" i="8"/>
  <c r="L291" i="8"/>
  <c r="H215" i="8"/>
  <c r="H225" i="8"/>
  <c r="I225" i="8" s="1"/>
  <c r="I206" i="8"/>
  <c r="L210" i="8"/>
  <c r="L220" i="8"/>
  <c r="G282" i="8"/>
  <c r="I282" i="8" s="1"/>
  <c r="I292" i="8"/>
  <c r="G316" i="8"/>
  <c r="I316" i="8" s="1"/>
  <c r="J316" i="8" s="1"/>
  <c r="G14" i="8"/>
  <c r="I14" i="8" s="1"/>
  <c r="G42" i="8"/>
  <c r="H48" i="8"/>
  <c r="H187" i="8"/>
  <c r="I187" i="8" s="1"/>
  <c r="G221" i="8"/>
  <c r="I221" i="8" s="1"/>
  <c r="L302" i="8"/>
  <c r="H317" i="8"/>
  <c r="I317" i="8" s="1"/>
  <c r="J318" i="8" s="1"/>
  <c r="H8" i="6"/>
  <c r="H15" i="6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I29" i="8" s="1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L297" i="8"/>
  <c r="H297" i="8"/>
  <c r="I297" i="8" s="1"/>
  <c r="J298" i="8" s="1"/>
  <c r="L307" i="8"/>
  <c r="H307" i="8"/>
  <c r="I307" i="8" s="1"/>
  <c r="J307" i="8" s="1"/>
  <c r="L135" i="8"/>
  <c r="H135" i="8"/>
  <c r="I135" i="8" s="1"/>
  <c r="I210" i="8"/>
  <c r="L118" i="8"/>
  <c r="H118" i="8"/>
  <c r="G285" i="8"/>
  <c r="J199" i="8"/>
  <c r="J201" i="8"/>
  <c r="I310" i="8"/>
  <c r="L311" i="8"/>
  <c r="H311" i="8"/>
  <c r="I311" i="8" s="1"/>
  <c r="H130" i="8"/>
  <c r="J195" i="8"/>
  <c r="J196" i="8"/>
  <c r="J202" i="8"/>
  <c r="L211" i="8"/>
  <c r="H211" i="8"/>
  <c r="I211" i="8" s="1"/>
  <c r="J214" i="8" s="1"/>
  <c r="L44" i="8"/>
  <c r="L7" i="8"/>
  <c r="H36" i="8"/>
  <c r="I36" i="8" s="1"/>
  <c r="L36" i="8"/>
  <c r="L100" i="8"/>
  <c r="H100" i="8"/>
  <c r="L315" i="8"/>
  <c r="H315" i="8"/>
  <c r="I315" i="8" s="1"/>
  <c r="J200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L132" i="8"/>
  <c r="H132" i="8"/>
  <c r="I132" i="8" s="1"/>
  <c r="H183" i="8"/>
  <c r="I183" i="8" s="1"/>
  <c r="J213" i="8"/>
  <c r="L197" i="8"/>
  <c r="H197" i="8"/>
  <c r="I197" i="8" s="1"/>
  <c r="L318" i="8"/>
  <c r="L199" i="8"/>
  <c r="L204" i="8"/>
  <c r="L21" i="8"/>
  <c r="L283" i="8"/>
  <c r="H283" i="8"/>
  <c r="H39" i="8"/>
  <c r="I39" i="8" s="1"/>
  <c r="L39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L46" i="8"/>
  <c r="G102" i="8"/>
  <c r="H188" i="8"/>
  <c r="I188" i="8" s="1"/>
  <c r="G215" i="8"/>
  <c r="I215" i="8" s="1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I186" i="8" s="1"/>
  <c r="L203" i="8"/>
  <c r="H207" i="8"/>
  <c r="I207" i="8" s="1"/>
  <c r="G217" i="8"/>
  <c r="I217" i="8" s="1"/>
  <c r="L230" i="8"/>
  <c r="G279" i="8"/>
  <c r="I279" i="8" s="1"/>
  <c r="J279" i="8" s="1"/>
  <c r="L293" i="8"/>
  <c r="L306" i="8"/>
  <c r="H314" i="8"/>
  <c r="I314" i="8" s="1"/>
  <c r="J221" i="8" l="1"/>
  <c r="J222" i="8"/>
  <c r="J187" i="8"/>
  <c r="J184" i="8"/>
  <c r="J312" i="8"/>
  <c r="J309" i="8"/>
  <c r="J227" i="8"/>
  <c r="B244" i="8" s="1"/>
  <c r="P9" i="10" s="1"/>
  <c r="J215" i="8"/>
  <c r="J188" i="8"/>
  <c r="J300" i="8"/>
  <c r="J304" i="8"/>
  <c r="I283" i="8"/>
  <c r="J283" i="8" s="1"/>
  <c r="I118" i="8"/>
  <c r="J120" i="8" s="1"/>
  <c r="I204" i="8"/>
  <c r="J219" i="8"/>
  <c r="C242" i="8" s="1"/>
  <c r="Y9" i="10" s="1"/>
  <c r="J291" i="8"/>
  <c r="J317" i="8"/>
  <c r="E334" i="8" s="1"/>
  <c r="I111" i="8"/>
  <c r="J109" i="8" s="1"/>
  <c r="J212" i="8"/>
  <c r="J230" i="8"/>
  <c r="J207" i="8"/>
  <c r="D239" i="8" s="1"/>
  <c r="I48" i="8"/>
  <c r="J50" i="8" s="1"/>
  <c r="J226" i="8"/>
  <c r="J191" i="8"/>
  <c r="C235" i="8" s="1"/>
  <c r="G9" i="10" s="1"/>
  <c r="J286" i="8"/>
  <c r="I42" i="8"/>
  <c r="J315" i="8"/>
  <c r="J193" i="8"/>
  <c r="J229" i="8"/>
  <c r="I126" i="8"/>
  <c r="I8" i="6"/>
  <c r="I10" i="6"/>
  <c r="I15" i="6"/>
  <c r="I7" i="6"/>
  <c r="I12" i="6"/>
  <c r="I39" i="6"/>
  <c r="I6" i="6"/>
  <c r="I11" i="6"/>
  <c r="I45" i="6"/>
  <c r="I5" i="6"/>
  <c r="I21" i="6"/>
  <c r="I3" i="6"/>
  <c r="I14" i="6"/>
  <c r="I25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C69" i="8" s="1"/>
  <c r="J18" i="8"/>
  <c r="J17" i="8"/>
  <c r="J14" i="8"/>
  <c r="J27" i="8"/>
  <c r="B59" i="8" s="1"/>
  <c r="T5" i="10" s="1"/>
  <c r="I26" i="8"/>
  <c r="I96" i="8"/>
  <c r="I102" i="8"/>
  <c r="J101" i="8" s="1"/>
  <c r="I9" i="8"/>
  <c r="J9" i="8" s="1"/>
  <c r="I108" i="8"/>
  <c r="J106" i="8" s="1"/>
  <c r="I18" i="6"/>
  <c r="I7" i="8"/>
  <c r="J8" i="8" s="1"/>
  <c r="J137" i="8"/>
  <c r="J138" i="8"/>
  <c r="BI9" i="10"/>
  <c r="BK9" i="10" s="1"/>
  <c r="AC6" i="11"/>
  <c r="BG9" i="10"/>
  <c r="AA6" i="11"/>
  <c r="J107" i="8"/>
  <c r="I100" i="8"/>
  <c r="J99" i="8" s="1"/>
  <c r="I114" i="8"/>
  <c r="I130" i="8"/>
  <c r="J132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I116" i="8"/>
  <c r="I34" i="6"/>
  <c r="I20" i="6"/>
  <c r="J3" i="8"/>
  <c r="J5" i="8"/>
  <c r="J4" i="8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J217" i="8"/>
  <c r="C237" i="8"/>
  <c r="L9" i="10" s="1"/>
  <c r="C250" i="8"/>
  <c r="B250" i="8"/>
  <c r="D237" i="8"/>
  <c r="B237" i="8"/>
  <c r="D9" i="10" s="1"/>
  <c r="E237" i="8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90" i="8"/>
  <c r="J305" i="8"/>
  <c r="J124" i="8"/>
  <c r="J301" i="8"/>
  <c r="J303" i="8"/>
  <c r="E234" i="8"/>
  <c r="D234" i="8"/>
  <c r="B247" i="8"/>
  <c r="C247" i="8"/>
  <c r="J185" i="8"/>
  <c r="J216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J108" i="8"/>
  <c r="J186" i="8"/>
  <c r="B236" i="8"/>
  <c r="R9" i="10" s="1"/>
  <c r="E236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J297" i="8"/>
  <c r="J48" i="8"/>
  <c r="J310" i="8"/>
  <c r="C345" i="8" s="1"/>
  <c r="J287" i="8"/>
  <c r="J218" i="8"/>
  <c r="J285" i="8"/>
  <c r="J38" i="8"/>
  <c r="J35" i="8"/>
  <c r="J299" i="8"/>
  <c r="J25" i="8"/>
  <c r="J194" i="8"/>
  <c r="J16" i="8"/>
  <c r="J277" i="8"/>
  <c r="J209" i="8"/>
  <c r="J211" i="8"/>
  <c r="J210" i="8"/>
  <c r="C254" i="8" l="1"/>
  <c r="B347" i="8"/>
  <c r="J47" i="8"/>
  <c r="D64" i="8" s="1"/>
  <c r="C334" i="8"/>
  <c r="W11" i="10" s="1"/>
  <c r="J113" i="8"/>
  <c r="C161" i="8" s="1"/>
  <c r="J204" i="8"/>
  <c r="J206" i="8"/>
  <c r="J205" i="8"/>
  <c r="J203" i="8"/>
  <c r="B252" i="8"/>
  <c r="E239" i="8"/>
  <c r="J117" i="8"/>
  <c r="B56" i="8"/>
  <c r="R5" i="10" s="1"/>
  <c r="C257" i="8"/>
  <c r="B254" i="8"/>
  <c r="J105" i="8"/>
  <c r="C159" i="8" s="1"/>
  <c r="C59" i="8"/>
  <c r="AG5" i="10" s="1"/>
  <c r="J128" i="8"/>
  <c r="E244" i="8"/>
  <c r="B235" i="8"/>
  <c r="H9" i="10" s="1"/>
  <c r="B239" i="8"/>
  <c r="T9" i="10" s="1"/>
  <c r="E235" i="8"/>
  <c r="J110" i="8"/>
  <c r="B160" i="8" s="1"/>
  <c r="D56" i="8"/>
  <c r="B248" i="8"/>
  <c r="J284" i="8"/>
  <c r="J282" i="8"/>
  <c r="C252" i="8"/>
  <c r="C241" i="8"/>
  <c r="M9" i="10" s="1"/>
  <c r="C244" i="8"/>
  <c r="W9" i="10" s="1"/>
  <c r="D244" i="8"/>
  <c r="J281" i="8"/>
  <c r="J13" i="6"/>
  <c r="J10" i="6"/>
  <c r="J9" i="6"/>
  <c r="J7" i="6"/>
  <c r="J8" i="6"/>
  <c r="J3" i="6"/>
  <c r="J11" i="6"/>
  <c r="J46" i="6"/>
  <c r="J5" i="6"/>
  <c r="J6" i="6"/>
  <c r="J36" i="6"/>
  <c r="J4" i="6"/>
  <c r="J41" i="6"/>
  <c r="J40" i="6"/>
  <c r="J39" i="6"/>
  <c r="J23" i="6"/>
  <c r="J47" i="6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J32" i="8"/>
  <c r="J31" i="8"/>
  <c r="J135" i="8"/>
  <c r="J134" i="8"/>
  <c r="B159" i="8"/>
  <c r="D146" i="8"/>
  <c r="C146" i="8"/>
  <c r="AF7" i="10" s="1"/>
  <c r="J127" i="8"/>
  <c r="J125" i="8"/>
  <c r="D151" i="8" s="1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E60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338" i="8" l="1"/>
  <c r="E54" i="8"/>
  <c r="D54" i="8"/>
  <c r="C158" i="8"/>
  <c r="C67" i="8"/>
  <c r="B67" i="8"/>
  <c r="C238" i="8"/>
  <c r="I9" i="10" s="1"/>
  <c r="C251" i="8"/>
  <c r="D253" i="8" s="1"/>
  <c r="D238" i="8"/>
  <c r="B251" i="8"/>
  <c r="E238" i="8"/>
  <c r="B238" i="8"/>
  <c r="F9" i="10" s="1"/>
  <c r="D148" i="8"/>
  <c r="E145" i="8"/>
  <c r="B162" i="8"/>
  <c r="D149" i="8"/>
  <c r="C162" i="8"/>
  <c r="B54" i="8"/>
  <c r="Z5" i="10" s="1"/>
  <c r="AV5" i="10" s="1"/>
  <c r="C145" i="8"/>
  <c r="G7" i="10" s="1"/>
  <c r="D145" i="8"/>
  <c r="B161" i="8"/>
  <c r="C338" i="8"/>
  <c r="D338" i="8" s="1"/>
  <c r="C325" i="8"/>
  <c r="G11" i="10" s="1"/>
  <c r="D325" i="8"/>
  <c r="B325" i="8"/>
  <c r="H11" i="10" s="1"/>
  <c r="E325" i="8"/>
  <c r="E148" i="8"/>
  <c r="B77" i="8"/>
  <c r="B64" i="6"/>
  <c r="D11" i="9" s="1"/>
  <c r="B58" i="6"/>
  <c r="D6" i="9" s="1"/>
  <c r="B57" i="6"/>
  <c r="D5" i="9" s="1"/>
  <c r="B55" i="6"/>
  <c r="D7" i="9" s="1"/>
  <c r="D54" i="6"/>
  <c r="B69" i="6"/>
  <c r="B54" i="6"/>
  <c r="D16" i="9" s="1"/>
  <c r="C69" i="6"/>
  <c r="E54" i="6"/>
  <c r="C54" i="6"/>
  <c r="E4" i="9" s="1"/>
  <c r="E53" i="6"/>
  <c r="B53" i="6"/>
  <c r="D10" i="9" s="1"/>
  <c r="C68" i="6"/>
  <c r="B68" i="6"/>
  <c r="C53" i="6"/>
  <c r="D4" i="9" s="1"/>
  <c r="D53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46" i="8"/>
  <c r="D250" i="8"/>
  <c r="D247" i="8"/>
  <c r="D251" i="8"/>
  <c r="D257" i="8"/>
  <c r="D69" i="8"/>
  <c r="D74" i="8"/>
  <c r="D252" i="8"/>
  <c r="D347" i="8"/>
  <c r="D66" i="8"/>
  <c r="D67" i="8"/>
  <c r="D345" i="8" l="1"/>
  <c r="D73" i="8"/>
  <c r="D256" i="8"/>
  <c r="D342" i="8"/>
  <c r="D337" i="8"/>
  <c r="D343" i="8"/>
  <c r="D341" i="8"/>
  <c r="D255" i="8"/>
  <c r="D249" i="8"/>
  <c r="D346" i="8"/>
  <c r="D254" i="8"/>
  <c r="D248" i="8"/>
  <c r="B268" i="8" s="1"/>
  <c r="D339" i="8"/>
  <c r="D336" i="8"/>
  <c r="D340" i="8"/>
  <c r="D34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83" i="8" l="1"/>
  <c r="B84" i="8"/>
  <c r="B260" i="8"/>
  <c r="B262" i="8"/>
  <c r="B261" i="8"/>
  <c r="B263" i="8"/>
  <c r="B259" i="8"/>
  <c r="B264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4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E5" i="11"/>
  <c r="AD5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<sst xmlns="http://schemas.openxmlformats.org/spreadsheetml/2006/main" count="6090" uniqueCount="1091">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</sst>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L10" sqref="L10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/>
      <c r="G10" s="10"/>
      <c r="H10" s="16" t="str">
        <f t="shared" si="0"/>
        <v>Aguardando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/>
      <c r="G15" s="10"/>
      <c r="H15" s="21" t="str">
        <f t="shared" si="0"/>
        <v>Aguardando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/>
      <c r="G16" s="10"/>
      <c r="H16" s="21" t="str">
        <f t="shared" si="0"/>
        <v>Aguardando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1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63" t="s">
        <v>188</v>
      </c>
      <c r="C3" s="253"/>
      <c r="D3" s="263" t="s">
        <v>189</v>
      </c>
      <c r="E3" s="253"/>
      <c r="F3" s="263" t="s">
        <v>190</v>
      </c>
      <c r="G3" s="253"/>
      <c r="H3" s="263" t="s">
        <v>191</v>
      </c>
      <c r="I3" s="253"/>
      <c r="J3" s="263" t="s">
        <v>192</v>
      </c>
      <c r="K3" s="253"/>
      <c r="L3" s="263" t="s">
        <v>193</v>
      </c>
      <c r="M3" s="253"/>
      <c r="N3" s="264" t="s">
        <v>194</v>
      </c>
      <c r="O3" s="253"/>
      <c r="P3" s="264" t="s">
        <v>195</v>
      </c>
      <c r="Q3" s="253"/>
      <c r="R3" s="264" t="s">
        <v>196</v>
      </c>
      <c r="S3" s="253"/>
      <c r="T3" s="264" t="s">
        <v>197</v>
      </c>
      <c r="U3" s="253"/>
      <c r="V3" s="264" t="s">
        <v>198</v>
      </c>
      <c r="W3" s="253"/>
      <c r="X3" s="264" t="s">
        <v>199</v>
      </c>
      <c r="Y3" s="253"/>
      <c r="Z3" s="259" t="s">
        <v>200</v>
      </c>
      <c r="AA3" s="253"/>
      <c r="AB3" s="259" t="s">
        <v>201</v>
      </c>
      <c r="AC3" s="253"/>
      <c r="AD3" s="259" t="s">
        <v>202</v>
      </c>
      <c r="AE3" s="253"/>
      <c r="AF3" s="259" t="s">
        <v>203</v>
      </c>
      <c r="AG3" s="253"/>
      <c r="AH3" s="259" t="s">
        <v>204</v>
      </c>
      <c r="AI3" s="253"/>
      <c r="AJ3" s="259" t="s">
        <v>205</v>
      </c>
      <c r="AK3" s="253"/>
      <c r="AL3" s="260" t="s">
        <v>206</v>
      </c>
      <c r="AM3" s="253"/>
      <c r="AN3" s="260" t="s">
        <v>207</v>
      </c>
      <c r="AO3" s="253"/>
      <c r="AP3" s="260" t="s">
        <v>208</v>
      </c>
      <c r="AQ3" s="253"/>
      <c r="AR3" s="260" t="s">
        <v>209</v>
      </c>
      <c r="AS3" s="253"/>
      <c r="AT3" s="260" t="s">
        <v>210</v>
      </c>
      <c r="AU3" s="253"/>
      <c r="AV3" s="260" t="s">
        <v>211</v>
      </c>
      <c r="AW3" s="253"/>
      <c r="AX3" s="265" t="s">
        <v>212</v>
      </c>
      <c r="AY3" s="253"/>
      <c r="AZ3" s="265" t="s">
        <v>213</v>
      </c>
      <c r="BA3" s="253"/>
      <c r="BB3" s="265" t="s">
        <v>214</v>
      </c>
      <c r="BC3" s="253"/>
      <c r="BD3" s="265" t="s">
        <v>215</v>
      </c>
      <c r="BE3" s="253"/>
      <c r="BF3" s="265" t="s">
        <v>216</v>
      </c>
      <c r="BG3" s="253"/>
      <c r="BH3" s="265" t="s">
        <v>217</v>
      </c>
      <c r="BI3" s="253"/>
      <c r="BJ3" s="266" t="s">
        <v>218</v>
      </c>
      <c r="BK3" s="253"/>
      <c r="BL3" s="266" t="s">
        <v>219</v>
      </c>
      <c r="BM3" s="253"/>
      <c r="BN3" s="266" t="s">
        <v>220</v>
      </c>
      <c r="BO3" s="253"/>
      <c r="BP3" s="266" t="s">
        <v>221</v>
      </c>
      <c r="BQ3" s="253"/>
      <c r="BR3" s="266" t="s">
        <v>222</v>
      </c>
      <c r="BS3" s="253"/>
      <c r="BT3" s="266" t="s">
        <v>223</v>
      </c>
      <c r="BU3" s="253"/>
      <c r="BV3" s="256" t="s">
        <v>224</v>
      </c>
      <c r="BW3" s="253"/>
      <c r="BX3" s="256" t="s">
        <v>225</v>
      </c>
      <c r="BY3" s="253"/>
      <c r="BZ3" s="256" t="s">
        <v>226</v>
      </c>
      <c r="CA3" s="253"/>
      <c r="CB3" s="256" t="s">
        <v>227</v>
      </c>
      <c r="CC3" s="253"/>
      <c r="CD3" s="256" t="s">
        <v>228</v>
      </c>
      <c r="CE3" s="253"/>
      <c r="CF3" s="256" t="s">
        <v>229</v>
      </c>
      <c r="CG3" s="253"/>
      <c r="CH3" s="257" t="s">
        <v>230</v>
      </c>
      <c r="CI3" s="253"/>
      <c r="CJ3" s="257" t="s">
        <v>231</v>
      </c>
      <c r="CK3" s="253"/>
      <c r="CL3" s="257" t="s">
        <v>232</v>
      </c>
      <c r="CM3" s="253"/>
      <c r="CN3" s="257" t="s">
        <v>233</v>
      </c>
      <c r="CO3" s="253"/>
      <c r="CP3" s="257" t="s">
        <v>234</v>
      </c>
      <c r="CQ3" s="253"/>
      <c r="CR3" s="257" t="s">
        <v>235</v>
      </c>
      <c r="CS3" s="253"/>
      <c r="CT3" s="258" t="s">
        <v>236</v>
      </c>
      <c r="CU3" s="253"/>
      <c r="CV3" s="258" t="s">
        <v>237</v>
      </c>
      <c r="CW3" s="253"/>
      <c r="CX3" s="258" t="s">
        <v>238</v>
      </c>
      <c r="CY3" s="253"/>
      <c r="CZ3" s="258" t="s">
        <v>239</v>
      </c>
      <c r="DA3" s="253"/>
      <c r="DB3" s="258" t="s">
        <v>240</v>
      </c>
      <c r="DC3" s="253"/>
      <c r="DD3" s="258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8" t="s">
        <v>248</v>
      </c>
      <c r="DS3" s="253"/>
      <c r="DT3" s="268" t="s">
        <v>249</v>
      </c>
      <c r="DU3" s="253"/>
      <c r="DV3" s="268" t="s">
        <v>250</v>
      </c>
      <c r="DW3" s="253"/>
      <c r="DX3" s="268" t="s">
        <v>251</v>
      </c>
      <c r="DY3" s="253"/>
      <c r="DZ3" s="268" t="s">
        <v>252</v>
      </c>
      <c r="EA3" s="253"/>
      <c r="EB3" s="268" t="s">
        <v>253</v>
      </c>
      <c r="EC3" s="253"/>
      <c r="ED3" s="262" t="s">
        <v>254</v>
      </c>
      <c r="EE3" s="253"/>
      <c r="EF3" s="262" t="s">
        <v>255</v>
      </c>
      <c r="EG3" s="253"/>
      <c r="EH3" s="262" t="s">
        <v>256</v>
      </c>
      <c r="EI3" s="253"/>
      <c r="EJ3" s="262" t="s">
        <v>257</v>
      </c>
      <c r="EK3" s="253"/>
      <c r="EL3" s="262" t="s">
        <v>258</v>
      </c>
      <c r="EM3" s="253"/>
      <c r="EN3" s="262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C4" sqref="C4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1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1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 t="str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-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 t="str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-</v>
      </c>
      <c r="O5" s="106" t="str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-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 t="str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-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 t="str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-</v>
      </c>
      <c r="O6" s="108" t="str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-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 t="str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-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 t="str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-</v>
      </c>
      <c r="O7" s="106" t="str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-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 t="str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-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 t="str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-</v>
      </c>
      <c r="O8" s="108" t="str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-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1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2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0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4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3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0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0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Canada</v>
      </c>
      <c r="C54" s="135" t="str">
        <f>IFERROR(INDEX($B$7:$B$10,MATCH(2,$J$7:$J$10,0)),"?")</f>
        <v>Bosnia e Herzegovina</v>
      </c>
      <c r="D54" s="135" t="str">
        <f>IFERROR(INDEX($B$7:$B$10,MATCH(3,$J$7:$J$10,0)),"?")</f>
        <v>Suica</v>
      </c>
      <c r="E54" s="135" t="str">
        <f>IFERROR(INDEX($B$7:$B$10,MATCH(4,$J$7:$J$10,0)),"?")</f>
        <v>Qatar</v>
      </c>
    </row>
    <row r="55" spans="1:11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12</v>
      </c>
    </row>
    <row r="69" spans="1:4">
      <c r="A69" s="151" t="s">
        <v>65</v>
      </c>
      <c r="B69" s="149" t="str">
        <f>IFERROR(INDEX($B$7:$B$10,MATCH(3,$J$7:$J$10,0)),"?")</f>
        <v>Suica</v>
      </c>
      <c r="C69" s="149">
        <f>IFERROR(INDEX($I$7:$I$10,MATCH(3,$J$7:$J$10,0)),0)</f>
        <v>200000480</v>
      </c>
      <c r="D69" s="150">
        <f t="shared" si="3"/>
        <v>1</v>
      </c>
    </row>
    <row r="70" spans="1:4">
      <c r="A70" s="152" t="s">
        <v>76</v>
      </c>
      <c r="B70" s="149" t="str">
        <f>IFERROR(INDEX($B$11:$B$14,MATCH(3,$J$11:$J$14,0)),"?")</f>
        <v>Escocia</v>
      </c>
      <c r="C70" s="149">
        <f>IFERROR(INDEX($I$11:$I$14,MATCH(3,$J$11:$J$14,0)),0)</f>
        <v>200000473</v>
      </c>
      <c r="D70" s="150">
        <f t="shared" si="3"/>
        <v>3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6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8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2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10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10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9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Suica</v>
      </c>
    </row>
    <row r="83" spans="1:2">
      <c r="A83" s="163">
        <v>2</v>
      </c>
      <c r="B83" s="164" t="str">
        <f>IFERROR(INDEX($B$68:$B$79,MATCH(2,$D$68:$D$79,0)),"?")</f>
        <v>Suecia</v>
      </c>
    </row>
    <row r="84" spans="1:2">
      <c r="A84" s="163">
        <v>3</v>
      </c>
      <c r="B84" s="164" t="str">
        <f>IFERROR(INDEX($B$68:$B$79,MATCH(3,$D$68:$D$79,0)),"?")</f>
        <v>Escocia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Turquia</v>
      </c>
    </row>
    <row r="88" spans="1:2">
      <c r="A88" s="163">
        <v>7</v>
      </c>
      <c r="B88" s="164" t="str">
        <f>IFERROR(INDEX($B$68:$B$79,MATCH(7,$D$68:$D$79,0)),"?")</f>
        <v>?</v>
      </c>
    </row>
    <row r="89" spans="1:2">
      <c r="A89" s="163">
        <v>8</v>
      </c>
      <c r="B89" s="164" t="str">
        <f>IFERROR(INDEX($B$68:$B$79,MATCH(8,$D$68:$D$79,0)),"?")</f>
        <v>Costa do Marfim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BCDEFGIJ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Bosnia e Herzegovina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Turquia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Marrocos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Escocia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Suica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Canada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Costa do Marfim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1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2" customHeight="1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1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1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4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2026-06-13T12:50:41Z</dcterms:modified>
</cp:coreProperties>
</file>