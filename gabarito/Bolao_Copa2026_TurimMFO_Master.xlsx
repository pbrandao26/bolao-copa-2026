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edro\projetos\bolão_copa\gabarito\"/>
    </mc:Choice>
  </mc:AlternateContent>
  <xr:revisionPtr revIDLastSave="0" documentId="13_ncr:1_{5A06A87A-2EC0-4702-87B2-05DEFBAD04F8}" xr6:coauthVersionLast="45" xr6:coauthVersionMax="47" xr10:uidLastSave="{00000000-0000-0000-0000-000000000000}"/>
  <bookViews>
    <workbookView xWindow="2340" yWindow="3000" windowWidth="17280" windowHeight="8880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81029"/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K319" i="8"/>
  <c r="L319" i="8" s="1"/>
  <c r="H319" i="8"/>
  <c r="F319" i="8"/>
  <c r="G319" i="8" s="1"/>
  <c r="E319" i="8"/>
  <c r="D319" i="8"/>
  <c r="C319" i="8"/>
  <c r="K318" i="8"/>
  <c r="F318" i="8"/>
  <c r="E318" i="8"/>
  <c r="G318" i="8" s="1"/>
  <c r="D318" i="8"/>
  <c r="C318" i="8"/>
  <c r="H318" i="8" s="1"/>
  <c r="I318" i="8" s="1"/>
  <c r="K317" i="8"/>
  <c r="F317" i="8"/>
  <c r="E317" i="8"/>
  <c r="G317" i="8" s="1"/>
  <c r="D317" i="8"/>
  <c r="C317" i="8"/>
  <c r="K316" i="8"/>
  <c r="F316" i="8"/>
  <c r="E316" i="8"/>
  <c r="D316" i="8"/>
  <c r="C316" i="8"/>
  <c r="H316" i="8" s="1"/>
  <c r="K315" i="8"/>
  <c r="F315" i="8"/>
  <c r="E315" i="8"/>
  <c r="G315" i="8" s="1"/>
  <c r="D315" i="8"/>
  <c r="C315" i="8"/>
  <c r="K314" i="8"/>
  <c r="F314" i="8"/>
  <c r="E314" i="8"/>
  <c r="G314" i="8" s="1"/>
  <c r="D314" i="8"/>
  <c r="C314" i="8"/>
  <c r="K313" i="8"/>
  <c r="F313" i="8"/>
  <c r="E313" i="8"/>
  <c r="G313" i="8" s="1"/>
  <c r="D313" i="8"/>
  <c r="C313" i="8"/>
  <c r="K312" i="8"/>
  <c r="F312" i="8"/>
  <c r="E312" i="8"/>
  <c r="G312" i="8" s="1"/>
  <c r="D312" i="8"/>
  <c r="C312" i="8"/>
  <c r="K311" i="8"/>
  <c r="F311" i="8"/>
  <c r="E311" i="8"/>
  <c r="D311" i="8"/>
  <c r="C311" i="8"/>
  <c r="K310" i="8"/>
  <c r="L310" i="8" s="1"/>
  <c r="F310" i="8"/>
  <c r="E310" i="8"/>
  <c r="G310" i="8" s="1"/>
  <c r="D310" i="8"/>
  <c r="C310" i="8"/>
  <c r="H310" i="8" s="1"/>
  <c r="K309" i="8"/>
  <c r="L309" i="8" s="1"/>
  <c r="H309" i="8"/>
  <c r="F309" i="8"/>
  <c r="G309" i="8" s="1"/>
  <c r="E309" i="8"/>
  <c r="D309" i="8"/>
  <c r="C309" i="8"/>
  <c r="K308" i="8"/>
  <c r="F308" i="8"/>
  <c r="E308" i="8"/>
  <c r="G308" i="8" s="1"/>
  <c r="D308" i="8"/>
  <c r="C308" i="8"/>
  <c r="H308" i="8" s="1"/>
  <c r="I308" i="8" s="1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F305" i="8"/>
  <c r="E305" i="8"/>
  <c r="G305" i="8" s="1"/>
  <c r="D305" i="8"/>
  <c r="C305" i="8"/>
  <c r="H305" i="8" s="1"/>
  <c r="I305" i="8" s="1"/>
  <c r="K304" i="8"/>
  <c r="L304" i="8" s="1"/>
  <c r="F304" i="8"/>
  <c r="E304" i="8"/>
  <c r="D304" i="8"/>
  <c r="C304" i="8"/>
  <c r="H304" i="8" s="1"/>
  <c r="K303" i="8"/>
  <c r="F303" i="8"/>
  <c r="E303" i="8"/>
  <c r="G303" i="8" s="1"/>
  <c r="D303" i="8"/>
  <c r="C303" i="8"/>
  <c r="H303" i="8" s="1"/>
  <c r="I303" i="8" s="1"/>
  <c r="K302" i="8"/>
  <c r="F302" i="8"/>
  <c r="E302" i="8"/>
  <c r="D302" i="8"/>
  <c r="C302" i="8"/>
  <c r="K301" i="8"/>
  <c r="F301" i="8"/>
  <c r="E301" i="8"/>
  <c r="G301" i="8" s="1"/>
  <c r="D301" i="8"/>
  <c r="C301" i="8"/>
  <c r="K300" i="8"/>
  <c r="L300" i="8" s="1"/>
  <c r="F300" i="8"/>
  <c r="E300" i="8"/>
  <c r="G300" i="8" s="1"/>
  <c r="D300" i="8"/>
  <c r="C300" i="8"/>
  <c r="K299" i="8"/>
  <c r="F299" i="8"/>
  <c r="E299" i="8"/>
  <c r="G299" i="8" s="1"/>
  <c r="D299" i="8"/>
  <c r="H299" i="8" s="1"/>
  <c r="I299" i="8" s="1"/>
  <c r="C299" i="8"/>
  <c r="K298" i="8"/>
  <c r="L298" i="8" s="1"/>
  <c r="F298" i="8"/>
  <c r="E298" i="8"/>
  <c r="G298" i="8" s="1"/>
  <c r="D298" i="8"/>
  <c r="C298" i="8"/>
  <c r="H298" i="8" s="1"/>
  <c r="I298" i="8" s="1"/>
  <c r="K297" i="8"/>
  <c r="F297" i="8"/>
  <c r="E297" i="8"/>
  <c r="D297" i="8"/>
  <c r="C297" i="8"/>
  <c r="K296" i="8"/>
  <c r="L296" i="8" s="1"/>
  <c r="F296" i="8"/>
  <c r="E296" i="8"/>
  <c r="G296" i="8" s="1"/>
  <c r="D296" i="8"/>
  <c r="C296" i="8"/>
  <c r="H296" i="8" s="1"/>
  <c r="I296" i="8" s="1"/>
  <c r="K295" i="8"/>
  <c r="F295" i="8"/>
  <c r="E295" i="8"/>
  <c r="G295" i="8" s="1"/>
  <c r="D295" i="8"/>
  <c r="C295" i="8"/>
  <c r="H295" i="8" s="1"/>
  <c r="I295" i="8" s="1"/>
  <c r="K294" i="8"/>
  <c r="F294" i="8"/>
  <c r="E294" i="8"/>
  <c r="D294" i="8"/>
  <c r="C294" i="8"/>
  <c r="H294" i="8" s="1"/>
  <c r="K293" i="8"/>
  <c r="F293" i="8"/>
  <c r="E293" i="8"/>
  <c r="D293" i="8"/>
  <c r="C293" i="8"/>
  <c r="H293" i="8" s="1"/>
  <c r="K292" i="8"/>
  <c r="F292" i="8"/>
  <c r="E292" i="8"/>
  <c r="G292" i="8" s="1"/>
  <c r="D292" i="8"/>
  <c r="C292" i="8"/>
  <c r="H292" i="8" s="1"/>
  <c r="K291" i="8"/>
  <c r="F291" i="8"/>
  <c r="E291" i="8"/>
  <c r="D291" i="8"/>
  <c r="C291" i="8"/>
  <c r="H291" i="8" s="1"/>
  <c r="K290" i="8"/>
  <c r="F290" i="8"/>
  <c r="E290" i="8"/>
  <c r="G290" i="8" s="1"/>
  <c r="D290" i="8"/>
  <c r="C290" i="8"/>
  <c r="K289" i="8"/>
  <c r="F289" i="8"/>
  <c r="E289" i="8"/>
  <c r="G289" i="8" s="1"/>
  <c r="D289" i="8"/>
  <c r="C289" i="8"/>
  <c r="H289" i="8" s="1"/>
  <c r="K288" i="8"/>
  <c r="L288" i="8" s="1"/>
  <c r="F288" i="8"/>
  <c r="E288" i="8"/>
  <c r="D288" i="8"/>
  <c r="H288" i="8" s="1"/>
  <c r="C288" i="8"/>
  <c r="K287" i="8"/>
  <c r="F287" i="8"/>
  <c r="E287" i="8"/>
  <c r="G287" i="8" s="1"/>
  <c r="D287" i="8"/>
  <c r="C287" i="8"/>
  <c r="K286" i="8"/>
  <c r="L286" i="8" s="1"/>
  <c r="F286" i="8"/>
  <c r="E286" i="8"/>
  <c r="G286" i="8" s="1"/>
  <c r="D286" i="8"/>
  <c r="C286" i="8"/>
  <c r="H286" i="8" s="1"/>
  <c r="K285" i="8"/>
  <c r="L285" i="8" s="1"/>
  <c r="F285" i="8"/>
  <c r="E285" i="8"/>
  <c r="D285" i="8"/>
  <c r="C285" i="8"/>
  <c r="K284" i="8"/>
  <c r="F284" i="8"/>
  <c r="E284" i="8"/>
  <c r="G284" i="8" s="1"/>
  <c r="D284" i="8"/>
  <c r="C284" i="8"/>
  <c r="K283" i="8"/>
  <c r="F283" i="8"/>
  <c r="E283" i="8"/>
  <c r="D283" i="8"/>
  <c r="C283" i="8"/>
  <c r="K282" i="8"/>
  <c r="L282" i="8" s="1"/>
  <c r="F282" i="8"/>
  <c r="E282" i="8"/>
  <c r="D282" i="8"/>
  <c r="C282" i="8"/>
  <c r="H282" i="8" s="1"/>
  <c r="K281" i="8"/>
  <c r="F281" i="8"/>
  <c r="E281" i="8"/>
  <c r="G281" i="8" s="1"/>
  <c r="D281" i="8"/>
  <c r="C281" i="8"/>
  <c r="H281" i="8" s="1"/>
  <c r="I281" i="8" s="1"/>
  <c r="K280" i="8"/>
  <c r="L280" i="8" s="1"/>
  <c r="H280" i="8"/>
  <c r="I280" i="8" s="1"/>
  <c r="F280" i="8"/>
  <c r="E280" i="8"/>
  <c r="G280" i="8" s="1"/>
  <c r="D280" i="8"/>
  <c r="C280" i="8"/>
  <c r="K279" i="8"/>
  <c r="L279" i="8" s="1"/>
  <c r="F279" i="8"/>
  <c r="E279" i="8"/>
  <c r="D279" i="8"/>
  <c r="C279" i="8"/>
  <c r="H279" i="8" s="1"/>
  <c r="K278" i="8"/>
  <c r="F278" i="8"/>
  <c r="E278" i="8"/>
  <c r="G278" i="8" s="1"/>
  <c r="D278" i="8"/>
  <c r="C278" i="8"/>
  <c r="H278" i="8" s="1"/>
  <c r="I278" i="8" s="1"/>
  <c r="K277" i="8"/>
  <c r="F277" i="8"/>
  <c r="E277" i="8"/>
  <c r="D277" i="8"/>
  <c r="C277" i="8"/>
  <c r="K276" i="8"/>
  <c r="F276" i="8"/>
  <c r="E276" i="8"/>
  <c r="G276" i="8" s="1"/>
  <c r="D276" i="8"/>
  <c r="C276" i="8"/>
  <c r="H276" i="8" s="1"/>
  <c r="K275" i="8"/>
  <c r="F275" i="8"/>
  <c r="E275" i="8"/>
  <c r="G275" i="8" s="1"/>
  <c r="D275" i="8"/>
  <c r="C275" i="8"/>
  <c r="K274" i="8"/>
  <c r="L274" i="8" s="1"/>
  <c r="F274" i="8"/>
  <c r="E274" i="8"/>
  <c r="D274" i="8"/>
  <c r="C274" i="8"/>
  <c r="H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D228" i="8"/>
  <c r="C228" i="8"/>
  <c r="H228" i="8" s="1"/>
  <c r="K227" i="8"/>
  <c r="F227" i="8"/>
  <c r="E227" i="8"/>
  <c r="G227" i="8" s="1"/>
  <c r="D227" i="8"/>
  <c r="C227" i="8"/>
  <c r="H227" i="8" s="1"/>
  <c r="K226" i="8"/>
  <c r="L226" i="8" s="1"/>
  <c r="H226" i="8"/>
  <c r="F226" i="8"/>
  <c r="E226" i="8"/>
  <c r="D226" i="8"/>
  <c r="C226" i="8"/>
  <c r="K225" i="8"/>
  <c r="F225" i="8"/>
  <c r="E225" i="8"/>
  <c r="G225" i="8" s="1"/>
  <c r="D225" i="8"/>
  <c r="C225" i="8"/>
  <c r="K224" i="8"/>
  <c r="F224" i="8"/>
  <c r="E224" i="8"/>
  <c r="G224" i="8" s="1"/>
  <c r="D224" i="8"/>
  <c r="C224" i="8"/>
  <c r="K223" i="8"/>
  <c r="L223" i="8" s="1"/>
  <c r="H223" i="8"/>
  <c r="G223" i="8"/>
  <c r="F223" i="8"/>
  <c r="E223" i="8"/>
  <c r="D223" i="8"/>
  <c r="C223" i="8"/>
  <c r="K222" i="8"/>
  <c r="L222" i="8" s="1"/>
  <c r="F222" i="8"/>
  <c r="E222" i="8"/>
  <c r="G222" i="8" s="1"/>
  <c r="D222" i="8"/>
  <c r="C222" i="8"/>
  <c r="H222" i="8" s="1"/>
  <c r="I222" i="8" s="1"/>
  <c r="K221" i="8"/>
  <c r="F221" i="8"/>
  <c r="E221" i="8"/>
  <c r="D221" i="8"/>
  <c r="C221" i="8"/>
  <c r="H221" i="8" s="1"/>
  <c r="K220" i="8"/>
  <c r="F220" i="8"/>
  <c r="E220" i="8"/>
  <c r="G220" i="8" s="1"/>
  <c r="D220" i="8"/>
  <c r="C220" i="8"/>
  <c r="H220" i="8" s="1"/>
  <c r="K219" i="8"/>
  <c r="F219" i="8"/>
  <c r="E219" i="8"/>
  <c r="G219" i="8" s="1"/>
  <c r="D219" i="8"/>
  <c r="C219" i="8"/>
  <c r="H219" i="8" s="1"/>
  <c r="I219" i="8" s="1"/>
  <c r="K218" i="8"/>
  <c r="L218" i="8" s="1"/>
  <c r="F218" i="8"/>
  <c r="G218" i="8" s="1"/>
  <c r="E218" i="8"/>
  <c r="D218" i="8"/>
  <c r="C218" i="8"/>
  <c r="K217" i="8"/>
  <c r="F217" i="8"/>
  <c r="E217" i="8"/>
  <c r="D217" i="8"/>
  <c r="C217" i="8"/>
  <c r="H217" i="8" s="1"/>
  <c r="K216" i="8"/>
  <c r="F216" i="8"/>
  <c r="E216" i="8"/>
  <c r="G216" i="8" s="1"/>
  <c r="D216" i="8"/>
  <c r="C216" i="8"/>
  <c r="K215" i="8"/>
  <c r="F215" i="8"/>
  <c r="E215" i="8"/>
  <c r="D215" i="8"/>
  <c r="C215" i="8"/>
  <c r="K214" i="8"/>
  <c r="F214" i="8"/>
  <c r="E214" i="8"/>
  <c r="G214" i="8" s="1"/>
  <c r="D214" i="8"/>
  <c r="C214" i="8"/>
  <c r="H214" i="8" s="1"/>
  <c r="I214" i="8" s="1"/>
  <c r="K213" i="8"/>
  <c r="L213" i="8" s="1"/>
  <c r="F213" i="8"/>
  <c r="E213" i="8"/>
  <c r="G213" i="8" s="1"/>
  <c r="I213" i="8" s="1"/>
  <c r="D213" i="8"/>
  <c r="C213" i="8"/>
  <c r="H213" i="8" s="1"/>
  <c r="K212" i="8"/>
  <c r="F212" i="8"/>
  <c r="E212" i="8"/>
  <c r="G212" i="8" s="1"/>
  <c r="D212" i="8"/>
  <c r="C212" i="8"/>
  <c r="H212" i="8" s="1"/>
  <c r="K211" i="8"/>
  <c r="F211" i="8"/>
  <c r="G211" i="8" s="1"/>
  <c r="E211" i="8"/>
  <c r="D211" i="8"/>
  <c r="C211" i="8"/>
  <c r="K210" i="8"/>
  <c r="F210" i="8"/>
  <c r="E210" i="8"/>
  <c r="G210" i="8" s="1"/>
  <c r="D210" i="8"/>
  <c r="C210" i="8"/>
  <c r="H210" i="8" s="1"/>
  <c r="K209" i="8"/>
  <c r="L209" i="8" s="1"/>
  <c r="F209" i="8"/>
  <c r="E209" i="8"/>
  <c r="G209" i="8" s="1"/>
  <c r="D209" i="8"/>
  <c r="H209" i="8" s="1"/>
  <c r="I209" i="8" s="1"/>
  <c r="C209" i="8"/>
  <c r="K208" i="8"/>
  <c r="F208" i="8"/>
  <c r="E208" i="8"/>
  <c r="D208" i="8"/>
  <c r="C208" i="8"/>
  <c r="H208" i="8" s="1"/>
  <c r="K207" i="8"/>
  <c r="F207" i="8"/>
  <c r="E207" i="8"/>
  <c r="G207" i="8" s="1"/>
  <c r="D207" i="8"/>
  <c r="C207" i="8"/>
  <c r="K206" i="8"/>
  <c r="L206" i="8" s="1"/>
  <c r="F206" i="8"/>
  <c r="E206" i="8"/>
  <c r="G206" i="8" s="1"/>
  <c r="D206" i="8"/>
  <c r="C206" i="8"/>
  <c r="H206" i="8" s="1"/>
  <c r="K205" i="8"/>
  <c r="L205" i="8" s="1"/>
  <c r="F205" i="8"/>
  <c r="E205" i="8"/>
  <c r="G205" i="8" s="1"/>
  <c r="D205" i="8"/>
  <c r="C205" i="8"/>
  <c r="H205" i="8" s="1"/>
  <c r="I205" i="8" s="1"/>
  <c r="K204" i="8"/>
  <c r="F204" i="8"/>
  <c r="E204" i="8"/>
  <c r="D204" i="8"/>
  <c r="C204" i="8"/>
  <c r="K203" i="8"/>
  <c r="F203" i="8"/>
  <c r="E203" i="8"/>
  <c r="G203" i="8" s="1"/>
  <c r="D203" i="8"/>
  <c r="C203" i="8"/>
  <c r="H203" i="8" s="1"/>
  <c r="I203" i="8" s="1"/>
  <c r="K202" i="8"/>
  <c r="F202" i="8"/>
  <c r="E202" i="8"/>
  <c r="G202" i="8" s="1"/>
  <c r="D202" i="8"/>
  <c r="C202" i="8"/>
  <c r="H202" i="8" s="1"/>
  <c r="K201" i="8"/>
  <c r="F201" i="8"/>
  <c r="E201" i="8"/>
  <c r="G201" i="8" s="1"/>
  <c r="D201" i="8"/>
  <c r="C201" i="8"/>
  <c r="H201" i="8" s="1"/>
  <c r="I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L198" i="8" s="1"/>
  <c r="F198" i="8"/>
  <c r="E198" i="8"/>
  <c r="G198" i="8" s="1"/>
  <c r="D198" i="8"/>
  <c r="C198" i="8"/>
  <c r="H198" i="8" s="1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K195" i="8"/>
  <c r="L195" i="8" s="1"/>
  <c r="F195" i="8"/>
  <c r="E195" i="8"/>
  <c r="G195" i="8" s="1"/>
  <c r="D195" i="8"/>
  <c r="C195" i="8"/>
  <c r="H195" i="8" s="1"/>
  <c r="I195" i="8" s="1"/>
  <c r="K194" i="8"/>
  <c r="L194" i="8" s="1"/>
  <c r="F194" i="8"/>
  <c r="E194" i="8"/>
  <c r="G194" i="8" s="1"/>
  <c r="D194" i="8"/>
  <c r="C194" i="8"/>
  <c r="H194" i="8" s="1"/>
  <c r="K193" i="8"/>
  <c r="F193" i="8"/>
  <c r="E193" i="8"/>
  <c r="G193" i="8" s="1"/>
  <c r="I193" i="8" s="1"/>
  <c r="D193" i="8"/>
  <c r="C193" i="8"/>
  <c r="H193" i="8" s="1"/>
  <c r="K192" i="8"/>
  <c r="L192" i="8" s="1"/>
  <c r="F192" i="8"/>
  <c r="E192" i="8"/>
  <c r="G192" i="8" s="1"/>
  <c r="D192" i="8"/>
  <c r="C192" i="8"/>
  <c r="K191" i="8"/>
  <c r="F191" i="8"/>
  <c r="E191" i="8"/>
  <c r="G191" i="8" s="1"/>
  <c r="D191" i="8"/>
  <c r="C191" i="8"/>
  <c r="H191" i="8" s="1"/>
  <c r="K190" i="8"/>
  <c r="F190" i="8"/>
  <c r="E190" i="8"/>
  <c r="D190" i="8"/>
  <c r="C190" i="8"/>
  <c r="H190" i="8" s="1"/>
  <c r="K189" i="8"/>
  <c r="F189" i="8"/>
  <c r="E189" i="8"/>
  <c r="D189" i="8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K186" i="8"/>
  <c r="F186" i="8"/>
  <c r="E186" i="8"/>
  <c r="D186" i="8"/>
  <c r="C186" i="8"/>
  <c r="H186" i="8" s="1"/>
  <c r="K185" i="8"/>
  <c r="F185" i="8"/>
  <c r="E185" i="8"/>
  <c r="G185" i="8" s="1"/>
  <c r="I185" i="8" s="1"/>
  <c r="D185" i="8"/>
  <c r="C185" i="8"/>
  <c r="H185" i="8" s="1"/>
  <c r="K184" i="8"/>
  <c r="L184" i="8" s="1"/>
  <c r="H184" i="8"/>
  <c r="F184" i="8"/>
  <c r="E184" i="8"/>
  <c r="G184" i="8" s="1"/>
  <c r="D184" i="8"/>
  <c r="C184" i="8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H140" i="8" s="1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G134" i="8" s="1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H123" i="8" s="1"/>
  <c r="I123" i="8" s="1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G117" i="8" s="1"/>
  <c r="D117" i="8"/>
  <c r="C117" i="8"/>
  <c r="H117" i="8" s="1"/>
  <c r="I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H112" i="8" s="1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G106" i="8" s="1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H95" i="8" s="1"/>
  <c r="I95" i="8" s="1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D50" i="8"/>
  <c r="C50" i="8"/>
  <c r="H50" i="8" s="1"/>
  <c r="K49" i="8"/>
  <c r="F49" i="8"/>
  <c r="E49" i="8"/>
  <c r="D49" i="8"/>
  <c r="C49" i="8"/>
  <c r="H49" i="8" s="1"/>
  <c r="K48" i="8"/>
  <c r="F48" i="8"/>
  <c r="E48" i="8"/>
  <c r="D48" i="8"/>
  <c r="C48" i="8"/>
  <c r="K47" i="8"/>
  <c r="F47" i="8"/>
  <c r="E47" i="8"/>
  <c r="G47" i="8" s="1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G36" i="8" s="1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D22" i="8"/>
  <c r="C22" i="8"/>
  <c r="H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G19" i="8" s="1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D14" i="8"/>
  <c r="C14" i="8"/>
  <c r="H14" i="8" s="1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G8" i="8" s="1"/>
  <c r="D8" i="8"/>
  <c r="C8" i="8"/>
  <c r="H8" i="8" s="1"/>
  <c r="I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F3" i="6"/>
  <c r="E3" i="6"/>
  <c r="D3" i="6"/>
  <c r="C3" i="6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I202" i="8" l="1"/>
  <c r="G226" i="8"/>
  <c r="I274" i="8"/>
  <c r="G283" i="8"/>
  <c r="G288" i="8"/>
  <c r="I288" i="8" s="1"/>
  <c r="G302" i="8"/>
  <c r="G297" i="8"/>
  <c r="L317" i="8"/>
  <c r="G274" i="8"/>
  <c r="L202" i="8"/>
  <c r="L207" i="8"/>
  <c r="L284" i="8"/>
  <c r="I227" i="8"/>
  <c r="H313" i="8"/>
  <c r="I313" i="8" s="1"/>
  <c r="L217" i="8"/>
  <c r="L227" i="8"/>
  <c r="L303" i="8"/>
  <c r="L308" i="8"/>
  <c r="I22" i="8"/>
  <c r="I50" i="8"/>
  <c r="L193" i="8"/>
  <c r="G208" i="8"/>
  <c r="I208" i="8" s="1"/>
  <c r="J208" i="8" s="1"/>
  <c r="L212" i="8"/>
  <c r="I228" i="8"/>
  <c r="J228" i="8" s="1"/>
  <c r="L313" i="8"/>
  <c r="I109" i="8"/>
  <c r="L189" i="8"/>
  <c r="H285" i="8"/>
  <c r="L289" i="8"/>
  <c r="G22" i="8"/>
  <c r="L28" i="8"/>
  <c r="G50" i="8"/>
  <c r="H98" i="8"/>
  <c r="H126" i="8"/>
  <c r="G189" i="8"/>
  <c r="H204" i="8"/>
  <c r="G228" i="8"/>
  <c r="L294" i="8"/>
  <c r="L314" i="8"/>
  <c r="L190" i="8"/>
  <c r="L295" i="8"/>
  <c r="L316" i="8"/>
  <c r="L186" i="8"/>
  <c r="G311" i="8"/>
  <c r="I223" i="8"/>
  <c r="I309" i="8"/>
  <c r="G204" i="8"/>
  <c r="I319" i="8"/>
  <c r="J319" i="8" s="1"/>
  <c r="J320" i="8"/>
  <c r="G190" i="8"/>
  <c r="I190" i="8" s="1"/>
  <c r="H224" i="8"/>
  <c r="I224" i="8" s="1"/>
  <c r="I220" i="8"/>
  <c r="J220" i="8" s="1"/>
  <c r="H277" i="8"/>
  <c r="I277" i="8" s="1"/>
  <c r="G291" i="8"/>
  <c r="I191" i="8"/>
  <c r="L281" i="8"/>
  <c r="L305" i="8"/>
  <c r="G277" i="8"/>
  <c r="L291" i="8"/>
  <c r="H215" i="8"/>
  <c r="H225" i="8"/>
  <c r="I225" i="8" s="1"/>
  <c r="I206" i="8"/>
  <c r="L210" i="8"/>
  <c r="L220" i="8"/>
  <c r="G282" i="8"/>
  <c r="I282" i="8" s="1"/>
  <c r="I292" i="8"/>
  <c r="G316" i="8"/>
  <c r="I316" i="8" s="1"/>
  <c r="J316" i="8" s="1"/>
  <c r="G14" i="8"/>
  <c r="I14" i="8" s="1"/>
  <c r="G42" i="8"/>
  <c r="H48" i="8"/>
  <c r="H187" i="8"/>
  <c r="I187" i="8" s="1"/>
  <c r="G221" i="8"/>
  <c r="I221" i="8" s="1"/>
  <c r="L302" i="8"/>
  <c r="H317" i="8"/>
  <c r="I317" i="8" s="1"/>
  <c r="J318" i="8" s="1"/>
  <c r="H8" i="6"/>
  <c r="H15" i="6"/>
  <c r="H25" i="6"/>
  <c r="H11" i="6"/>
  <c r="G5" i="6"/>
  <c r="G12" i="6"/>
  <c r="H7" i="6"/>
  <c r="G39" i="6"/>
  <c r="G3" i="6"/>
  <c r="H39" i="6"/>
  <c r="H3" i="6"/>
  <c r="H10" i="6"/>
  <c r="H17" i="6"/>
  <c r="H31" i="6"/>
  <c r="H45" i="6"/>
  <c r="G17" i="6"/>
  <c r="H14" i="6"/>
  <c r="H21" i="6"/>
  <c r="G9" i="6"/>
  <c r="G6" i="6"/>
  <c r="H24" i="6"/>
  <c r="H9" i="6"/>
  <c r="G31" i="6"/>
  <c r="H12" i="6"/>
  <c r="G10" i="6"/>
  <c r="G7" i="6"/>
  <c r="G14" i="6"/>
  <c r="G21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H43" i="6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H29" i="8"/>
  <c r="I29" i="8" s="1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39" i="8"/>
  <c r="L140" i="8"/>
  <c r="BV6" i="5"/>
  <c r="J5" i="13" s="1"/>
  <c r="L124" i="8"/>
  <c r="H97" i="8"/>
  <c r="I97" i="8" s="1"/>
  <c r="L119" i="8"/>
  <c r="L131" i="8"/>
  <c r="L116" i="8"/>
  <c r="G140" i="8"/>
  <c r="I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I23" i="8"/>
  <c r="G98" i="8"/>
  <c r="I98" i="8" s="1"/>
  <c r="G108" i="8"/>
  <c r="L138" i="8"/>
  <c r="L3" i="8"/>
  <c r="L37" i="8"/>
  <c r="L98" i="8"/>
  <c r="L123" i="8"/>
  <c r="G128" i="8"/>
  <c r="H42" i="8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H48" i="6"/>
  <c r="G24" i="6"/>
  <c r="G13" i="6"/>
  <c r="G11" i="6"/>
  <c r="G48" i="6"/>
  <c r="H18" i="6"/>
  <c r="G18" i="6"/>
  <c r="G25" i="6"/>
  <c r="H44" i="6"/>
  <c r="N6" i="13"/>
  <c r="G38" i="6"/>
  <c r="G8" i="6"/>
  <c r="G32" i="6"/>
  <c r="H20" i="6"/>
  <c r="G45" i="6"/>
  <c r="G20" i="6"/>
  <c r="G46" i="6"/>
  <c r="G15" i="6"/>
  <c r="H34" i="6"/>
  <c r="G4" i="6"/>
  <c r="G34" i="6"/>
  <c r="H41" i="6"/>
  <c r="H5" i="6"/>
  <c r="L297" i="8"/>
  <c r="H297" i="8"/>
  <c r="I297" i="8" s="1"/>
  <c r="J298" i="8" s="1"/>
  <c r="L307" i="8"/>
  <c r="H307" i="8"/>
  <c r="I307" i="8" s="1"/>
  <c r="J307" i="8" s="1"/>
  <c r="L135" i="8"/>
  <c r="H135" i="8"/>
  <c r="I135" i="8" s="1"/>
  <c r="I210" i="8"/>
  <c r="L118" i="8"/>
  <c r="H118" i="8"/>
  <c r="G285" i="8"/>
  <c r="J199" i="8"/>
  <c r="J201" i="8"/>
  <c r="I310" i="8"/>
  <c r="L311" i="8"/>
  <c r="H311" i="8"/>
  <c r="I311" i="8" s="1"/>
  <c r="H130" i="8"/>
  <c r="J195" i="8"/>
  <c r="J196" i="8"/>
  <c r="J202" i="8"/>
  <c r="L211" i="8"/>
  <c r="H211" i="8"/>
  <c r="I211" i="8" s="1"/>
  <c r="J214" i="8" s="1"/>
  <c r="L44" i="8"/>
  <c r="L7" i="8"/>
  <c r="H36" i="8"/>
  <c r="I36" i="8" s="1"/>
  <c r="L36" i="8"/>
  <c r="L100" i="8"/>
  <c r="H100" i="8"/>
  <c r="L315" i="8"/>
  <c r="H315" i="8"/>
  <c r="I315" i="8" s="1"/>
  <c r="J200" i="8"/>
  <c r="I113" i="8"/>
  <c r="I276" i="8"/>
  <c r="I45" i="8"/>
  <c r="L41" i="8"/>
  <c r="L93" i="8"/>
  <c r="L101" i="8"/>
  <c r="L127" i="8"/>
  <c r="L136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L200" i="8"/>
  <c r="N5" i="13"/>
  <c r="I47" i="8"/>
  <c r="L188" i="8"/>
  <c r="G304" i="8"/>
  <c r="I304" i="8" s="1"/>
  <c r="L105" i="8"/>
  <c r="H105" i="8"/>
  <c r="I105" i="8" s="1"/>
  <c r="G5" i="14"/>
  <c r="L320" i="8"/>
  <c r="E5" i="14"/>
  <c r="L34" i="8"/>
  <c r="H138" i="8"/>
  <c r="I138" i="8" s="1"/>
  <c r="L276" i="8"/>
  <c r="L132" i="8"/>
  <c r="H132" i="8"/>
  <c r="I132" i="8" s="1"/>
  <c r="H183" i="8"/>
  <c r="I183" i="8" s="1"/>
  <c r="J213" i="8"/>
  <c r="L197" i="8"/>
  <c r="H197" i="8"/>
  <c r="I197" i="8" s="1"/>
  <c r="L318" i="8"/>
  <c r="L199" i="8"/>
  <c r="L204" i="8"/>
  <c r="L21" i="8"/>
  <c r="L283" i="8"/>
  <c r="H283" i="8"/>
  <c r="H39" i="8"/>
  <c r="I39" i="8" s="1"/>
  <c r="L39" i="8"/>
  <c r="H275" i="8"/>
  <c r="I275" i="8" s="1"/>
  <c r="J275" i="8" s="1"/>
  <c r="L275" i="8"/>
  <c r="L301" i="8"/>
  <c r="H301" i="8"/>
  <c r="I301" i="8" s="1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L46" i="8"/>
  <c r="G102" i="8"/>
  <c r="H188" i="8"/>
  <c r="I188" i="8" s="1"/>
  <c r="G215" i="8"/>
  <c r="I215" i="8" s="1"/>
  <c r="L228" i="8"/>
  <c r="H312" i="8"/>
  <c r="I312" i="8" s="1"/>
  <c r="L19" i="8"/>
  <c r="H102" i="8"/>
  <c r="I184" i="8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I291" i="8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L229" i="8"/>
  <c r="I285" i="8"/>
  <c r="H302" i="8"/>
  <c r="I302" i="8" s="1"/>
  <c r="L10" i="8"/>
  <c r="L14" i="8"/>
  <c r="I134" i="8"/>
  <c r="I289" i="8"/>
  <c r="L17" i="8"/>
  <c r="L27" i="8"/>
  <c r="L114" i="8"/>
  <c r="H114" i="8"/>
  <c r="I131" i="8"/>
  <c r="I286" i="8"/>
  <c r="L185" i="8"/>
  <c r="L24" i="8"/>
  <c r="L137" i="8"/>
  <c r="L292" i="8"/>
  <c r="H300" i="8"/>
  <c r="I300" i="8" s="1"/>
  <c r="N4" i="13"/>
  <c r="I226" i="8"/>
  <c r="L216" i="8"/>
  <c r="L278" i="8"/>
  <c r="G186" i="8"/>
  <c r="I186" i="8" s="1"/>
  <c r="L203" i="8"/>
  <c r="H207" i="8"/>
  <c r="I207" i="8" s="1"/>
  <c r="G217" i="8"/>
  <c r="I217" i="8" s="1"/>
  <c r="L230" i="8"/>
  <c r="G279" i="8"/>
  <c r="I279" i="8" s="1"/>
  <c r="J279" i="8" s="1"/>
  <c r="L293" i="8"/>
  <c r="L306" i="8"/>
  <c r="H314" i="8"/>
  <c r="I314" i="8" s="1"/>
  <c r="J221" i="8" l="1"/>
  <c r="J222" i="8"/>
  <c r="J187" i="8"/>
  <c r="J184" i="8"/>
  <c r="J312" i="8"/>
  <c r="J309" i="8"/>
  <c r="J227" i="8"/>
  <c r="B244" i="8" s="1"/>
  <c r="P9" i="10" s="1"/>
  <c r="J215" i="8"/>
  <c r="J188" i="8"/>
  <c r="J300" i="8"/>
  <c r="J304" i="8"/>
  <c r="I283" i="8"/>
  <c r="J283" i="8" s="1"/>
  <c r="I118" i="8"/>
  <c r="J120" i="8" s="1"/>
  <c r="I204" i="8"/>
  <c r="J219" i="8"/>
  <c r="C242" i="8" s="1"/>
  <c r="Y9" i="10" s="1"/>
  <c r="J291" i="8"/>
  <c r="J317" i="8"/>
  <c r="E334" i="8" s="1"/>
  <c r="I111" i="8"/>
  <c r="J109" i="8" s="1"/>
  <c r="J212" i="8"/>
  <c r="J230" i="8"/>
  <c r="J207" i="8"/>
  <c r="D239" i="8" s="1"/>
  <c r="I48" i="8"/>
  <c r="J50" i="8" s="1"/>
  <c r="J226" i="8"/>
  <c r="J191" i="8"/>
  <c r="C235" i="8" s="1"/>
  <c r="G9" i="10" s="1"/>
  <c r="J286" i="8"/>
  <c r="I42" i="8"/>
  <c r="J315" i="8"/>
  <c r="J193" i="8"/>
  <c r="J229" i="8"/>
  <c r="I126" i="8"/>
  <c r="I8" i="6"/>
  <c r="I10" i="6"/>
  <c r="I15" i="6"/>
  <c r="I7" i="6"/>
  <c r="I12" i="6"/>
  <c r="I39" i="6"/>
  <c r="I6" i="6"/>
  <c r="I11" i="6"/>
  <c r="I45" i="6"/>
  <c r="I5" i="6"/>
  <c r="I21" i="6"/>
  <c r="I3" i="6"/>
  <c r="I14" i="6"/>
  <c r="I25" i="6"/>
  <c r="I9" i="6"/>
  <c r="I17" i="6"/>
  <c r="I24" i="6"/>
  <c r="I31" i="6"/>
  <c r="I36" i="6"/>
  <c r="I43" i="6"/>
  <c r="I4" i="6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I50" i="6"/>
  <c r="I22" i="6"/>
  <c r="I42" i="6"/>
  <c r="I38" i="6"/>
  <c r="I48" i="6"/>
  <c r="I44" i="6"/>
  <c r="I23" i="6"/>
  <c r="I46" i="6"/>
  <c r="I30" i="6"/>
  <c r="J15" i="8"/>
  <c r="C69" i="8" s="1"/>
  <c r="J18" i="8"/>
  <c r="J17" i="8"/>
  <c r="J14" i="8"/>
  <c r="J27" i="8"/>
  <c r="B59" i="8" s="1"/>
  <c r="T5" i="10" s="1"/>
  <c r="I26" i="8"/>
  <c r="I96" i="8"/>
  <c r="I102" i="8"/>
  <c r="J101" i="8" s="1"/>
  <c r="I9" i="8"/>
  <c r="J9" i="8" s="1"/>
  <c r="I108" i="8"/>
  <c r="J106" i="8" s="1"/>
  <c r="I18" i="6"/>
  <c r="I7" i="8"/>
  <c r="J8" i="8" s="1"/>
  <c r="J137" i="8"/>
  <c r="J138" i="8"/>
  <c r="BI9" i="10"/>
  <c r="BK9" i="10" s="1"/>
  <c r="AC6" i="11"/>
  <c r="BG9" i="10"/>
  <c r="AA6" i="11"/>
  <c r="J107" i="8"/>
  <c r="I100" i="8"/>
  <c r="J99" i="8" s="1"/>
  <c r="I114" i="8"/>
  <c r="I130" i="8"/>
  <c r="J132" i="8" s="1"/>
  <c r="J96" i="8"/>
  <c r="J45" i="8"/>
  <c r="J24" i="8"/>
  <c r="J111" i="8"/>
  <c r="J29" i="8"/>
  <c r="J118" i="8"/>
  <c r="J122" i="8"/>
  <c r="J119" i="8"/>
  <c r="I136" i="8"/>
  <c r="J136" i="8" s="1"/>
  <c r="I20" i="8"/>
  <c r="J21" i="8" s="1"/>
  <c r="J36" i="8"/>
  <c r="I128" i="8"/>
  <c r="I116" i="8"/>
  <c r="I34" i="6"/>
  <c r="I20" i="6"/>
  <c r="J3" i="8"/>
  <c r="J5" i="8"/>
  <c r="J4" i="8"/>
  <c r="B241" i="8"/>
  <c r="J9" i="10" s="1"/>
  <c r="B332" i="8"/>
  <c r="AB11" i="10" s="1"/>
  <c r="J293" i="8"/>
  <c r="J295" i="8"/>
  <c r="J296" i="8"/>
  <c r="J20" i="8"/>
  <c r="J22" i="8"/>
  <c r="J19" i="8"/>
  <c r="B154" i="8"/>
  <c r="P7" i="10" s="1"/>
  <c r="J225" i="8"/>
  <c r="J103" i="8"/>
  <c r="J288" i="8"/>
  <c r="J39" i="8"/>
  <c r="J40" i="8"/>
  <c r="J95" i="8"/>
  <c r="J121" i="8"/>
  <c r="J292" i="8"/>
  <c r="J197" i="8"/>
  <c r="C249" i="8" s="1"/>
  <c r="J26" i="8"/>
  <c r="J28" i="8"/>
  <c r="J217" i="8"/>
  <c r="C237" i="8"/>
  <c r="L9" i="10" s="1"/>
  <c r="C250" i="8"/>
  <c r="B250" i="8"/>
  <c r="D237" i="8"/>
  <c r="B237" i="8"/>
  <c r="D9" i="10" s="1"/>
  <c r="E237" i="8"/>
  <c r="E242" i="8"/>
  <c r="D242" i="8"/>
  <c r="B242" i="8"/>
  <c r="AB9" i="10" s="1"/>
  <c r="C255" i="8"/>
  <c r="B255" i="8"/>
  <c r="J294" i="8"/>
  <c r="J223" i="8"/>
  <c r="J41" i="8"/>
  <c r="J276" i="8"/>
  <c r="J23" i="8"/>
  <c r="J49" i="8"/>
  <c r="J289" i="8"/>
  <c r="J290" i="8"/>
  <c r="J305" i="8"/>
  <c r="J124" i="8"/>
  <c r="J301" i="8"/>
  <c r="J303" i="8"/>
  <c r="E234" i="8"/>
  <c r="D234" i="8"/>
  <c r="B247" i="8"/>
  <c r="C247" i="8"/>
  <c r="J185" i="8"/>
  <c r="J216" i="8"/>
  <c r="J112" i="8"/>
  <c r="I34" i="8"/>
  <c r="J34" i="8" s="1"/>
  <c r="J13" i="8"/>
  <c r="J140" i="8"/>
  <c r="J273" i="8"/>
  <c r="J274" i="8"/>
  <c r="J314" i="8"/>
  <c r="J302" i="8"/>
  <c r="J224" i="8"/>
  <c r="J313" i="8"/>
  <c r="J123" i="8"/>
  <c r="J108" i="8"/>
  <c r="J186" i="8"/>
  <c r="B236" i="8"/>
  <c r="R9" i="10" s="1"/>
  <c r="E236" i="8"/>
  <c r="C347" i="8"/>
  <c r="D334" i="8"/>
  <c r="B334" i="8"/>
  <c r="P11" i="10" s="1"/>
  <c r="J311" i="8"/>
  <c r="J6" i="8"/>
  <c r="J306" i="8"/>
  <c r="J94" i="8"/>
  <c r="J104" i="8"/>
  <c r="J42" i="8"/>
  <c r="J93" i="8"/>
  <c r="J12" i="8"/>
  <c r="J183" i="8"/>
  <c r="J11" i="8"/>
  <c r="J190" i="8"/>
  <c r="J30" i="8"/>
  <c r="J308" i="8"/>
  <c r="B257" i="8"/>
  <c r="J189" i="8"/>
  <c r="C234" i="8" s="1"/>
  <c r="C9" i="10" s="1"/>
  <c r="J43" i="8"/>
  <c r="J37" i="8"/>
  <c r="J44" i="8"/>
  <c r="J46" i="8"/>
  <c r="J278" i="8"/>
  <c r="J280" i="8"/>
  <c r="J139" i="8"/>
  <c r="C154" i="8" s="1"/>
  <c r="W7" i="10" s="1"/>
  <c r="J297" i="8"/>
  <c r="J48" i="8"/>
  <c r="J310" i="8"/>
  <c r="C345" i="8" s="1"/>
  <c r="J287" i="8"/>
  <c r="J218" i="8"/>
  <c r="J285" i="8"/>
  <c r="J38" i="8"/>
  <c r="J35" i="8"/>
  <c r="J299" i="8"/>
  <c r="J25" i="8"/>
  <c r="J194" i="8"/>
  <c r="J16" i="8"/>
  <c r="J277" i="8"/>
  <c r="J209" i="8"/>
  <c r="J211" i="8"/>
  <c r="J210" i="8"/>
  <c r="C254" i="8" l="1"/>
  <c r="B347" i="8"/>
  <c r="J47" i="8"/>
  <c r="D64" i="8" s="1"/>
  <c r="C334" i="8"/>
  <c r="W11" i="10" s="1"/>
  <c r="J113" i="8"/>
  <c r="C161" i="8" s="1"/>
  <c r="J204" i="8"/>
  <c r="J206" i="8"/>
  <c r="J205" i="8"/>
  <c r="J203" i="8"/>
  <c r="B252" i="8"/>
  <c r="E239" i="8"/>
  <c r="J117" i="8"/>
  <c r="B56" i="8"/>
  <c r="R5" i="10" s="1"/>
  <c r="C257" i="8"/>
  <c r="B254" i="8"/>
  <c r="J105" i="8"/>
  <c r="C159" i="8" s="1"/>
  <c r="C59" i="8"/>
  <c r="AG5" i="10" s="1"/>
  <c r="J128" i="8"/>
  <c r="E244" i="8"/>
  <c r="B235" i="8"/>
  <c r="H9" i="10" s="1"/>
  <c r="B239" i="8"/>
  <c r="T9" i="10" s="1"/>
  <c r="E235" i="8"/>
  <c r="J110" i="8"/>
  <c r="B160" i="8" s="1"/>
  <c r="D56" i="8"/>
  <c r="B248" i="8"/>
  <c r="J284" i="8"/>
  <c r="J282" i="8"/>
  <c r="C252" i="8"/>
  <c r="C241" i="8"/>
  <c r="M9" i="10" s="1"/>
  <c r="C244" i="8"/>
  <c r="W9" i="10" s="1"/>
  <c r="D244" i="8"/>
  <c r="J281" i="8"/>
  <c r="J13" i="6"/>
  <c r="J10" i="6"/>
  <c r="J9" i="6"/>
  <c r="J7" i="6"/>
  <c r="J8" i="6"/>
  <c r="J3" i="6"/>
  <c r="J11" i="6"/>
  <c r="J46" i="6"/>
  <c r="J5" i="6"/>
  <c r="J6" i="6"/>
  <c r="J36" i="6"/>
  <c r="J4" i="6"/>
  <c r="J41" i="6"/>
  <c r="J40" i="6"/>
  <c r="J39" i="6"/>
  <c r="J23" i="6"/>
  <c r="J47" i="6"/>
  <c r="J35" i="6"/>
  <c r="B61" i="6" s="1"/>
  <c r="D8" i="9" s="1"/>
  <c r="J34" i="6"/>
  <c r="J18" i="6"/>
  <c r="J30" i="6"/>
  <c r="J50" i="6"/>
  <c r="J49" i="6"/>
  <c r="J42" i="6"/>
  <c r="J20" i="6"/>
  <c r="J12" i="6"/>
  <c r="J26" i="6"/>
  <c r="J38" i="6"/>
  <c r="J45" i="6"/>
  <c r="J37" i="6"/>
  <c r="J31" i="6"/>
  <c r="B60" i="6" s="1"/>
  <c r="D15" i="9" s="1"/>
  <c r="J25" i="6"/>
  <c r="J48" i="6"/>
  <c r="J14" i="6"/>
  <c r="J29" i="6"/>
  <c r="J32" i="6"/>
  <c r="J44" i="6"/>
  <c r="J27" i="6"/>
  <c r="J24" i="6"/>
  <c r="J19" i="6"/>
  <c r="J33" i="6"/>
  <c r="J28" i="6"/>
  <c r="J43" i="6"/>
  <c r="J15" i="6"/>
  <c r="B56" i="6" s="1"/>
  <c r="D12" i="9" s="1"/>
  <c r="J102" i="8"/>
  <c r="B158" i="8" s="1"/>
  <c r="J98" i="8"/>
  <c r="C64" i="8"/>
  <c r="W5" i="10" s="1"/>
  <c r="J10" i="8"/>
  <c r="C77" i="8"/>
  <c r="J116" i="8"/>
  <c r="J7" i="8"/>
  <c r="C54" i="8" s="1"/>
  <c r="C5" i="10" s="1"/>
  <c r="J100" i="8"/>
  <c r="B64" i="8"/>
  <c r="P5" i="10" s="1"/>
  <c r="D27" i="9"/>
  <c r="J16" i="9"/>
  <c r="E21" i="9"/>
  <c r="J6" i="9"/>
  <c r="D25" i="9"/>
  <c r="J12" i="9"/>
  <c r="J15" i="9"/>
  <c r="E24" i="9"/>
  <c r="J16" i="6"/>
  <c r="J17" i="6"/>
  <c r="AO5" i="10"/>
  <c r="E64" i="8"/>
  <c r="AS5" i="10"/>
  <c r="AR5" i="10"/>
  <c r="E56" i="8"/>
  <c r="J131" i="8"/>
  <c r="B146" i="8"/>
  <c r="R7" i="10" s="1"/>
  <c r="AR7" i="10" s="1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B167" i="8"/>
  <c r="E149" i="8"/>
  <c r="J115" i="8"/>
  <c r="J32" i="8"/>
  <c r="J31" i="8"/>
  <c r="J135" i="8"/>
  <c r="J134" i="8"/>
  <c r="B159" i="8"/>
  <c r="D146" i="8"/>
  <c r="C146" i="8"/>
  <c r="AF7" i="10" s="1"/>
  <c r="J127" i="8"/>
  <c r="J125" i="8"/>
  <c r="D151" i="8" s="1"/>
  <c r="J130" i="8"/>
  <c r="J129" i="8"/>
  <c r="J33" i="8"/>
  <c r="D60" i="8" s="1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B72" i="8"/>
  <c r="C343" i="8"/>
  <c r="C330" i="8"/>
  <c r="AC11" i="10" s="1"/>
  <c r="B343" i="8"/>
  <c r="E330" i="8"/>
  <c r="B330" i="8"/>
  <c r="X11" i="10" s="1"/>
  <c r="D330" i="8"/>
  <c r="B345" i="8"/>
  <c r="E60" i="8"/>
  <c r="B60" i="8"/>
  <c r="X5" i="10" s="1"/>
  <c r="E329" i="8"/>
  <c r="B342" i="8"/>
  <c r="D329" i="8"/>
  <c r="C329" i="8"/>
  <c r="AG11" i="10" s="1"/>
  <c r="B329" i="8"/>
  <c r="T11" i="10" s="1"/>
  <c r="C342" i="8"/>
  <c r="E147" i="8"/>
  <c r="D147" i="8"/>
  <c r="C147" i="8"/>
  <c r="L7" i="10" s="1"/>
  <c r="C160" i="8"/>
  <c r="B147" i="8"/>
  <c r="D7" i="10" s="1"/>
  <c r="C239" i="8"/>
  <c r="AG9" i="10" s="1"/>
  <c r="B145" i="8"/>
  <c r="H7" i="10" s="1"/>
  <c r="D59" i="8"/>
  <c r="D235" i="8"/>
  <c r="D233" i="8"/>
  <c r="C246" i="8"/>
  <c r="B233" i="8"/>
  <c r="N9" i="10" s="1"/>
  <c r="E233" i="8"/>
  <c r="C233" i="8"/>
  <c r="B9" i="10" s="1"/>
  <c r="B246" i="8"/>
  <c r="C336" i="8"/>
  <c r="B336" i="8"/>
  <c r="D323" i="8"/>
  <c r="C323" i="8"/>
  <c r="B11" i="10" s="1"/>
  <c r="B323" i="8"/>
  <c r="N11" i="10" s="1"/>
  <c r="E323" i="8"/>
  <c r="D241" i="8"/>
  <c r="C61" i="8"/>
  <c r="M5" i="10" s="1"/>
  <c r="B61" i="8"/>
  <c r="J5" i="10" s="1"/>
  <c r="E61" i="8"/>
  <c r="D61" i="8"/>
  <c r="B74" i="8"/>
  <c r="C74" i="8"/>
  <c r="C236" i="8"/>
  <c r="AF9" i="10" s="1"/>
  <c r="E241" i="8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E59" i="8"/>
  <c r="D55" i="8"/>
  <c r="B68" i="8"/>
  <c r="C68" i="8"/>
  <c r="B55" i="8"/>
  <c r="H5" i="10" s="1"/>
  <c r="E55" i="8"/>
  <c r="C55" i="8"/>
  <c r="G5" i="10" s="1"/>
  <c r="D332" i="8"/>
  <c r="D143" i="8"/>
  <c r="B156" i="8"/>
  <c r="B143" i="8"/>
  <c r="N7" i="10" s="1"/>
  <c r="C156" i="8"/>
  <c r="E143" i="8"/>
  <c r="C143" i="8"/>
  <c r="B7" i="10" s="1"/>
  <c r="C167" i="8"/>
  <c r="B249" i="8"/>
  <c r="B69" i="8"/>
  <c r="C58" i="8"/>
  <c r="I5" i="10" s="1"/>
  <c r="C71" i="8"/>
  <c r="B71" i="8"/>
  <c r="D58" i="8"/>
  <c r="E58" i="8"/>
  <c r="B58" i="8"/>
  <c r="F5" i="10" s="1"/>
  <c r="B346" i="8"/>
  <c r="D333" i="8"/>
  <c r="C333" i="8"/>
  <c r="V11" i="10" s="1"/>
  <c r="B333" i="8"/>
  <c r="AD11" i="10" s="1"/>
  <c r="E333" i="8"/>
  <c r="C346" i="8"/>
  <c r="D240" i="8"/>
  <c r="C240" i="8"/>
  <c r="AC9" i="10" s="1"/>
  <c r="C253" i="8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B338" i="8" l="1"/>
  <c r="E54" i="8"/>
  <c r="D54" i="8"/>
  <c r="C158" i="8"/>
  <c r="C67" i="8"/>
  <c r="B67" i="8"/>
  <c r="C238" i="8"/>
  <c r="I9" i="10" s="1"/>
  <c r="C251" i="8"/>
  <c r="D253" i="8" s="1"/>
  <c r="D238" i="8"/>
  <c r="B251" i="8"/>
  <c r="E238" i="8"/>
  <c r="B238" i="8"/>
  <c r="F9" i="10" s="1"/>
  <c r="D148" i="8"/>
  <c r="E145" i="8"/>
  <c r="B162" i="8"/>
  <c r="D149" i="8"/>
  <c r="C162" i="8"/>
  <c r="B54" i="8"/>
  <c r="Z5" i="10" s="1"/>
  <c r="AV5" i="10" s="1"/>
  <c r="C145" i="8"/>
  <c r="G7" i="10" s="1"/>
  <c r="D145" i="8"/>
  <c r="B161" i="8"/>
  <c r="C338" i="8"/>
  <c r="D338" i="8" s="1"/>
  <c r="C325" i="8"/>
  <c r="G11" i="10" s="1"/>
  <c r="D325" i="8"/>
  <c r="B325" i="8"/>
  <c r="H11" i="10" s="1"/>
  <c r="E325" i="8"/>
  <c r="E148" i="8"/>
  <c r="B77" i="8"/>
  <c r="B64" i="6"/>
  <c r="D11" i="9" s="1"/>
  <c r="B58" i="6"/>
  <c r="D6" i="9" s="1"/>
  <c r="B57" i="6"/>
  <c r="D5" i="9" s="1"/>
  <c r="B55" i="6"/>
  <c r="D7" i="9" s="1"/>
  <c r="D54" i="6"/>
  <c r="B69" i="6"/>
  <c r="B54" i="6"/>
  <c r="D16" i="9" s="1"/>
  <c r="C69" i="6"/>
  <c r="E54" i="6"/>
  <c r="C54" i="6"/>
  <c r="E4" i="9" s="1"/>
  <c r="E53" i="6"/>
  <c r="B53" i="6"/>
  <c r="D10" i="9" s="1"/>
  <c r="C68" i="6"/>
  <c r="B68" i="6"/>
  <c r="C53" i="6"/>
  <c r="D4" i="9" s="1"/>
  <c r="D53" i="6"/>
  <c r="C62" i="6"/>
  <c r="E15" i="9" s="1"/>
  <c r="C61" i="6"/>
  <c r="E9" i="9" s="1"/>
  <c r="B76" i="6"/>
  <c r="B70" i="6"/>
  <c r="E62" i="6"/>
  <c r="D62" i="6"/>
  <c r="D64" i="6"/>
  <c r="B74" i="6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AV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B73" i="8"/>
  <c r="AI5" i="10"/>
  <c r="C73" i="8"/>
  <c r="D70" i="8" s="1"/>
  <c r="C60" i="8"/>
  <c r="AC5" i="10" s="1"/>
  <c r="AK5" i="10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U7" i="10"/>
  <c r="AH7" i="10"/>
  <c r="D153" i="8"/>
  <c r="C165" i="8"/>
  <c r="D161" i="8" s="1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46" i="8"/>
  <c r="D250" i="8"/>
  <c r="D247" i="8"/>
  <c r="D251" i="8"/>
  <c r="D257" i="8"/>
  <c r="D69" i="8"/>
  <c r="D74" i="8"/>
  <c r="D252" i="8"/>
  <c r="D347" i="8"/>
  <c r="D66" i="8"/>
  <c r="D67" i="8"/>
  <c r="D345" i="8" l="1"/>
  <c r="D73" i="8"/>
  <c r="D256" i="8"/>
  <c r="D342" i="8"/>
  <c r="D337" i="8"/>
  <c r="D343" i="8"/>
  <c r="D341" i="8"/>
  <c r="D255" i="8"/>
  <c r="D249" i="8"/>
  <c r="D346" i="8"/>
  <c r="D254" i="8"/>
  <c r="D248" i="8"/>
  <c r="B268" i="8" s="1"/>
  <c r="D339" i="8"/>
  <c r="D336" i="8"/>
  <c r="D340" i="8"/>
  <c r="D344" i="8"/>
  <c r="D71" i="6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B80" i="8" s="1"/>
  <c r="AX5" i="10"/>
  <c r="D72" i="8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353" i="8"/>
  <c r="B358" i="8"/>
  <c r="B352" i="8"/>
  <c r="B349" i="8"/>
  <c r="B351" i="8"/>
  <c r="B350" i="8"/>
  <c r="B355" i="8"/>
  <c r="B356" i="8"/>
  <c r="B354" i="8"/>
  <c r="B266" i="8"/>
  <c r="B265" i="8"/>
  <c r="B83" i="8" l="1"/>
  <c r="B84" i="8"/>
  <c r="B260" i="8"/>
  <c r="B262" i="8"/>
  <c r="B261" i="8"/>
  <c r="B263" i="8"/>
  <c r="B259" i="8"/>
  <c r="B264" i="8"/>
  <c r="J5" i="1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AE4" i="11" s="1"/>
  <c r="E10" i="9"/>
  <c r="E11" i="9"/>
  <c r="AA5" i="11"/>
  <c r="E5" i="9"/>
  <c r="AB5" i="11"/>
  <c r="E12" i="9"/>
  <c r="E13" i="9"/>
  <c r="E16" i="9"/>
  <c r="E8" i="9"/>
  <c r="Q5" i="10"/>
  <c r="BL5" i="10"/>
  <c r="U5" i="10"/>
  <c r="AE5" i="10"/>
  <c r="O5" i="10"/>
  <c r="BM5" i="10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BL7" i="10"/>
  <c r="BM7" i="10"/>
  <c r="AD4" i="11" l="1"/>
  <c r="AE5" i="11"/>
  <c r="AD5" i="11"/>
  <c r="AS7" i="10"/>
  <c r="K5" i="11"/>
  <c r="AO7" i="10"/>
  <c r="I5" i="11"/>
  <c r="AG4" i="11"/>
  <c r="AG5" i="11"/>
  <c r="AH4" i="11" l="1"/>
  <c r="K4" i="13" s="1"/>
  <c r="M4" i="13" s="1"/>
  <c r="O4" i="13" s="1"/>
  <c r="BC7" i="10"/>
  <c r="U5" i="11"/>
  <c r="BA7" i="10"/>
  <c r="W5" i="11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<sst xmlns="http://schemas.openxmlformats.org/spreadsheetml/2006/main" count="6090" uniqueCount="1091">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</sst>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color rgb="FF1F3864"/>
      <name val="Arial"/>
      <family val="2"/>
    </font>
    <font>
      <sz val="10"/>
      <color rgb="FF1A1A2E"/>
      <name val="Arial"/>
      <family val="2"/>
    </font>
    <font>
      <b/>
      <sz val="10"/>
      <color rgb="FF2E75B6"/>
      <name val="Arial"/>
      <family val="2"/>
    </font>
    <font>
      <b/>
      <sz val="16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A1A2E"/>
      <name val="Arial"/>
      <family val="2"/>
    </font>
    <font>
      <b/>
      <sz val="11"/>
      <color rgb="FF1F3864"/>
      <name val="Arial"/>
      <family val="2"/>
    </font>
    <font>
      <sz val="10"/>
      <color rgb="FF2E75B6"/>
      <name val="Arial"/>
      <family val="2"/>
    </font>
    <font>
      <i/>
      <sz val="10"/>
      <color rgb="FF2E75B6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7"/>
      <color rgb="FFFFFFFF"/>
      <name val="Arial"/>
      <family val="2"/>
    </font>
    <font>
      <b/>
      <sz val="10"/>
      <color rgb="FF1F3864"/>
      <name val="Arial"/>
      <family val="2"/>
    </font>
    <font>
      <b/>
      <sz val="11"/>
      <color rgb="FF8B0000"/>
      <name val="Arial"/>
      <family val="2"/>
    </font>
    <font>
      <sz val="6"/>
      <color rgb="FFFFFFFF"/>
      <name val="Arial"/>
      <family val="2"/>
    </font>
    <font>
      <sz val="9"/>
      <color rgb="FF1A1A2E"/>
      <name val="Arial"/>
      <family val="2"/>
    </font>
    <font>
      <b/>
      <sz val="10"/>
      <color rgb="FF2980B9"/>
      <name val="Arial"/>
      <family val="2"/>
    </font>
    <font>
      <b/>
      <sz val="10"/>
      <color rgb="FF2471A3"/>
      <name val="Arial"/>
      <family val="2"/>
    </font>
    <font>
      <b/>
      <sz val="10"/>
      <color rgb="FF1E8449"/>
      <name val="Arial"/>
      <family val="2"/>
    </font>
    <font>
      <b/>
      <sz val="10"/>
      <color rgb="FF27AE60"/>
      <name val="Arial"/>
      <family val="2"/>
    </font>
    <font>
      <b/>
      <sz val="10"/>
      <color rgb="FF9B59B6"/>
      <name val="Arial"/>
      <family val="2"/>
    </font>
    <font>
      <b/>
      <sz val="10"/>
      <color rgb="FF7D3C98"/>
      <name val="Arial"/>
      <family val="2"/>
    </font>
    <font>
      <b/>
      <sz val="10"/>
      <color rgb="FFC0392B"/>
      <name val="Arial"/>
      <family val="2"/>
    </font>
    <font>
      <b/>
      <sz val="10"/>
      <color rgb="FF922B21"/>
      <name val="Arial"/>
      <family val="2"/>
    </font>
    <font>
      <b/>
      <sz val="10"/>
      <color rgb="FFD35400"/>
      <name val="Arial"/>
      <family val="2"/>
    </font>
    <font>
      <b/>
      <sz val="10"/>
      <color rgb="FFE67E22"/>
      <name val="Arial"/>
      <family val="2"/>
    </font>
    <font>
      <b/>
      <sz val="10"/>
      <color rgb="FF17A589"/>
      <name val="Arial"/>
      <family val="2"/>
    </font>
    <font>
      <b/>
      <sz val="10"/>
      <color rgb="FF148F77"/>
      <name val="Arial"/>
      <family val="2"/>
    </font>
    <font>
      <b/>
      <sz val="10"/>
      <color rgb="FF7B1FA2"/>
      <name val="Arial"/>
      <family val="2"/>
    </font>
    <font>
      <b/>
      <sz val="9"/>
      <color rgb="FF7B1FA2"/>
      <name val="Arial"/>
      <family val="2"/>
    </font>
    <font>
      <b/>
      <sz val="11"/>
      <color rgb="FF2E75B6"/>
      <name val="Arial"/>
      <family val="2"/>
    </font>
    <font>
      <i/>
      <sz val="10"/>
      <color rgb="FFFF9800"/>
      <name val="Arial"/>
      <family val="2"/>
    </font>
    <font>
      <b/>
      <sz val="10"/>
      <color rgb="FF1565C0"/>
      <name val="Arial"/>
      <family val="2"/>
    </font>
    <font>
      <sz val="10"/>
      <color rgb="FF1F3864"/>
      <name val="Arial"/>
      <family val="2"/>
    </font>
    <font>
      <b/>
      <sz val="10"/>
      <color rgb="FFFF9800"/>
      <name val="Arial"/>
      <family val="2"/>
    </font>
    <font>
      <sz val="9"/>
      <color rgb="FF00897B"/>
      <name val="Arial"/>
      <family val="2"/>
    </font>
    <font>
      <b/>
      <sz val="10"/>
      <color rgb="FF283593"/>
      <name val="Arial"/>
      <family val="2"/>
    </font>
    <font>
      <b/>
      <sz val="10"/>
      <color rgb="FF1B5E20"/>
      <name val="Arial"/>
      <family val="2"/>
    </font>
    <font>
      <b/>
      <sz val="10"/>
      <color rgb="FF880E4F"/>
      <name val="Arial"/>
      <family val="2"/>
    </font>
    <font>
      <b/>
      <sz val="10"/>
      <color rgb="FFBF360C"/>
      <name val="Arial"/>
      <family val="2"/>
    </font>
    <font>
      <b/>
      <sz val="10"/>
      <color rgb="FFB71C1C"/>
      <name val="Arial"/>
      <family val="2"/>
    </font>
    <font>
      <b/>
      <sz val="9"/>
      <color rgb="FF1F3864"/>
      <name val="Arial"/>
      <family val="2"/>
    </font>
    <font>
      <b/>
      <sz val="8"/>
      <color rgb="FF1F3864"/>
      <name val="Arial"/>
      <family val="2"/>
    </font>
    <font>
      <sz val="8"/>
      <color rgb="FF1F3864"/>
      <name val="Arial"/>
      <family val="2"/>
    </font>
    <font>
      <b/>
      <sz val="9"/>
      <color rgb="FF8B4000"/>
      <name val="Arial"/>
      <family val="2"/>
    </font>
    <font>
      <b/>
      <sz val="13"/>
      <color rgb="FF8B4000"/>
      <name val="Arial"/>
      <family val="2"/>
    </font>
    <font>
      <b/>
      <sz val="18"/>
      <color rgb="FFFFFFFF"/>
      <name val="Arial"/>
      <family val="2"/>
    </font>
    <font>
      <i/>
      <sz val="11"/>
      <color rgb="FF2E75B6"/>
      <name val="Arial"/>
      <family val="2"/>
    </font>
    <font>
      <b/>
      <sz val="14"/>
      <color rgb="FF1A5E0A"/>
      <name val="Arial"/>
      <family val="2"/>
    </font>
    <font>
      <b/>
      <sz val="12"/>
      <color rgb="FF1A5E0A"/>
      <name val="Arial"/>
      <family val="2"/>
    </font>
    <font>
      <sz val="10"/>
      <color rgb="FF1A5E0A"/>
      <name val="Arial"/>
      <family val="2"/>
    </font>
    <font>
      <b/>
      <sz val="14"/>
      <color rgb="FF2C2C2C"/>
      <name val="Arial"/>
      <family val="2"/>
    </font>
    <font>
      <b/>
      <sz val="12"/>
      <color rgb="FF2C2C2C"/>
      <name val="Arial"/>
      <family val="2"/>
    </font>
    <font>
      <sz val="10"/>
      <color rgb="FF2C2C2C"/>
      <name val="Arial"/>
      <family val="2"/>
    </font>
    <font>
      <b/>
      <sz val="14"/>
      <color rgb="FF6B3A00"/>
      <name val="Arial"/>
      <family val="2"/>
    </font>
    <font>
      <b/>
      <sz val="12"/>
      <color rgb="FF6B3A00"/>
      <name val="Arial"/>
      <family val="2"/>
    </font>
    <font>
      <sz val="10"/>
      <color rgb="FF6B3A00"/>
      <name val="Arial"/>
      <family val="2"/>
    </font>
    <font>
      <b/>
      <sz val="14"/>
      <color rgb="FF1A1A2E"/>
      <name val="Arial"/>
      <family val="2"/>
    </font>
    <font>
      <b/>
      <sz val="12"/>
      <color rgb="FF1A1A2E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ptos Narrow"/>
      <family val="2"/>
    </font>
    <font>
      <b/>
      <sz val="11"/>
      <color rgb="FF1F3864"/>
      <name val="Arial"/>
      <family val="2"/>
    </font>
    <font>
      <b/>
      <sz val="13"/>
      <color rgb="FF8B4000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34" fillId="6" borderId="0" xfId="0" applyFont="1" applyFill="1" applyAlignment="1">
      <alignment horizontal="left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47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0" fontId="14" fillId="48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49" borderId="1" xfId="0" applyFont="1" applyFill="1" applyBorder="1" applyAlignment="1">
      <alignment horizontal="center" vertical="center" wrapText="1"/>
    </xf>
    <xf numFmtId="164" fontId="46" fillId="45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1F3864"/>
  </sheetPr>
  <dimension ref="B1:C38"/>
  <sheetViews>
    <sheetView showGridLines="0" workbookViewId="0"/>
  </sheetViews>
  <sheetFormatPr defaultRowHeight="14.4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5" customHeight="1">
      <c r="B1" s="252" t="s">
        <v>0</v>
      </c>
      <c r="C1" s="253"/>
    </row>
    <row r="2" spans="2:3" ht="28.2" customHeight="1">
      <c r="B2" s="254" t="s">
        <v>1</v>
      </c>
      <c r="C2" s="253"/>
    </row>
    <row r="3" spans="2:3" ht="24" customHeight="1">
      <c r="B3" s="1" t="s">
        <v>2</v>
      </c>
      <c r="C3" s="2"/>
    </row>
    <row r="4" spans="2:3" ht="19.95" customHeight="1">
      <c r="B4" s="3" t="s">
        <v>3</v>
      </c>
    </row>
    <row r="5" spans="2:3" ht="19.95" customHeight="1">
      <c r="B5" s="3" t="s">
        <v>4</v>
      </c>
    </row>
    <row r="6" spans="2:3" ht="19.95" customHeight="1">
      <c r="B6" s="3" t="s">
        <v>5</v>
      </c>
    </row>
    <row r="7" spans="2:3" ht="6" customHeight="1"/>
    <row r="8" spans="2:3" ht="24" customHeight="1">
      <c r="B8" s="1" t="s">
        <v>6</v>
      </c>
      <c r="C8" s="2"/>
    </row>
    <row r="9" spans="2:3" ht="19.95" customHeight="1">
      <c r="B9" s="3" t="s">
        <v>7</v>
      </c>
      <c r="C9" s="4" t="s">
        <v>8</v>
      </c>
    </row>
    <row r="10" spans="2:3" ht="19.95" customHeight="1">
      <c r="B10" s="3" t="s">
        <v>9</v>
      </c>
      <c r="C10" s="4" t="s">
        <v>10</v>
      </c>
    </row>
    <row r="11" spans="2:3" ht="19.95" customHeight="1">
      <c r="B11" s="3" t="s">
        <v>11</v>
      </c>
      <c r="C11" s="4" t="s">
        <v>12</v>
      </c>
    </row>
    <row r="12" spans="2:3" ht="19.95" customHeight="1">
      <c r="B12" s="3" t="s">
        <v>13</v>
      </c>
      <c r="C12" s="4" t="s">
        <v>14</v>
      </c>
    </row>
    <row r="13" spans="2:3" ht="6" customHeight="1"/>
    <row r="14" spans="2:3" ht="24" customHeight="1">
      <c r="B14" s="1" t="s">
        <v>15</v>
      </c>
      <c r="C14" s="2"/>
    </row>
    <row r="15" spans="2:3" ht="19.95" customHeight="1">
      <c r="B15" s="3" t="s">
        <v>16</v>
      </c>
      <c r="C15" s="4" t="s">
        <v>17</v>
      </c>
    </row>
    <row r="16" spans="2:3" ht="19.95" customHeight="1">
      <c r="B16" s="3" t="s">
        <v>18</v>
      </c>
      <c r="C16" s="4" t="s">
        <v>8</v>
      </c>
    </row>
    <row r="17" spans="2:3" ht="6" customHeight="1"/>
    <row r="18" spans="2:3" ht="24" customHeight="1">
      <c r="B18" s="1" t="s">
        <v>19</v>
      </c>
      <c r="C18" s="2"/>
    </row>
    <row r="19" spans="2:3" ht="19.95" customHeight="1">
      <c r="B19" s="3" t="s">
        <v>20</v>
      </c>
      <c r="C19" s="4" t="s">
        <v>21</v>
      </c>
    </row>
    <row r="20" spans="2:3" ht="19.95" customHeight="1">
      <c r="B20" s="3" t="s">
        <v>22</v>
      </c>
    </row>
    <row r="21" spans="2:3" ht="19.95" customHeight="1">
      <c r="B21" s="3" t="s">
        <v>23</v>
      </c>
    </row>
    <row r="22" spans="2:3" ht="19.95" customHeight="1">
      <c r="B22" s="3" t="s">
        <v>24</v>
      </c>
    </row>
    <row r="23" spans="2:3" ht="6" customHeight="1"/>
    <row r="24" spans="2:3" ht="24" customHeight="1">
      <c r="B24" s="1" t="s">
        <v>25</v>
      </c>
      <c r="C24" s="2"/>
    </row>
    <row r="25" spans="2:3" ht="19.95" customHeight="1">
      <c r="B25" s="3" t="s">
        <v>26</v>
      </c>
      <c r="C25" s="4" t="s">
        <v>27</v>
      </c>
    </row>
    <row r="26" spans="2:3" ht="19.95" customHeight="1">
      <c r="B26" s="3" t="s">
        <v>28</v>
      </c>
      <c r="C26" s="4" t="s">
        <v>29</v>
      </c>
    </row>
    <row r="27" spans="2:3" ht="19.95" customHeight="1">
      <c r="B27" s="3" t="s">
        <v>30</v>
      </c>
      <c r="C27" s="4" t="s">
        <v>31</v>
      </c>
    </row>
    <row r="28" spans="2:3" ht="19.95" customHeight="1">
      <c r="B28" s="3" t="s">
        <v>32</v>
      </c>
      <c r="C28" s="4" t="s">
        <v>33</v>
      </c>
    </row>
    <row r="29" spans="2:3" ht="19.95" customHeight="1">
      <c r="B29" s="3" t="s">
        <v>34</v>
      </c>
      <c r="C29" s="4" t="s">
        <v>35</v>
      </c>
    </row>
    <row r="30" spans="2:3" ht="19.95" customHeight="1">
      <c r="B30" s="3" t="s">
        <v>36</v>
      </c>
      <c r="C30" s="4" t="s">
        <v>37</v>
      </c>
    </row>
    <row r="31" spans="2:3" ht="6" customHeight="1"/>
    <row r="32" spans="2:3" ht="24" customHeight="1">
      <c r="B32" s="1" t="s">
        <v>38</v>
      </c>
      <c r="C32" s="2"/>
    </row>
    <row r="33" spans="2:2" ht="19.95" customHeight="1">
      <c r="B33" s="3" t="s">
        <v>39</v>
      </c>
    </row>
    <row r="34" spans="2:2" ht="19.95" customHeight="1">
      <c r="B34" s="3" t="s">
        <v>40</v>
      </c>
    </row>
    <row r="35" spans="2:2" ht="19.95" customHeight="1">
      <c r="B35" s="3" t="s">
        <v>41</v>
      </c>
    </row>
    <row r="36" spans="2:2" ht="19.95" customHeight="1">
      <c r="B36" s="3" t="s">
        <v>42</v>
      </c>
    </row>
    <row r="37" spans="2:2" ht="6" customHeight="1"/>
    <row r="38" spans="2:2" ht="19.95" customHeight="1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2E75B6"/>
  </sheetPr>
  <dimension ref="A1:H74"/>
  <sheetViews>
    <sheetView showGridLines="0" tabSelected="1" workbookViewId="0">
      <pane ySplit="2" topLeftCell="A6" activePane="bottomLeft" state="frozen"/>
      <selection pane="bottomLeft" activeCell="F16" sqref="F16"/>
    </sheetView>
  </sheetViews>
  <sheetFormatPr defaultRowHeight="14.4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5" customHeight="1">
      <c r="A1" s="255" t="s">
        <v>44</v>
      </c>
      <c r="B1" s="253"/>
      <c r="C1" s="253"/>
      <c r="D1" s="253"/>
      <c r="E1" s="253"/>
      <c r="F1" s="253"/>
      <c r="G1" s="253"/>
      <c r="H1" s="253"/>
    </row>
    <row r="2" spans="1:8" ht="22.2" customHeight="1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>
        <v>2</v>
      </c>
      <c r="G3" s="10">
        <v>0</v>
      </c>
      <c r="H3" s="11" t="str">
        <f t="shared" ref="H3:H34" si="0">IF(AND(F3="",G3=""),"Aguardando",IF(AND(ISNUMBER(F3),ISNUMBER(G3)),"Finalizado","Verificar"))</f>
        <v>Finalizado</v>
      </c>
    </row>
    <row r="4" spans="1:8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>
        <v>2</v>
      </c>
      <c r="G4" s="10">
        <v>1</v>
      </c>
      <c r="H4" s="11" t="str">
        <f t="shared" si="0"/>
        <v>Finalizado</v>
      </c>
    </row>
    <row r="5" spans="1:8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>
        <v>1</v>
      </c>
      <c r="G9" s="10">
        <v>1</v>
      </c>
      <c r="H9" s="16" t="str">
        <f t="shared" si="0"/>
        <v>Finalizado</v>
      </c>
    </row>
    <row r="10" spans="1:8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>
        <v>1</v>
      </c>
      <c r="G10" s="10">
        <v>1</v>
      </c>
      <c r="H10" s="16" t="str">
        <f t="shared" si="0"/>
        <v>Finalizado</v>
      </c>
    </row>
    <row r="11" spans="1:8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>
        <v>1</v>
      </c>
      <c r="G15" s="10">
        <v>1</v>
      </c>
      <c r="H15" s="21" t="str">
        <f t="shared" si="0"/>
        <v>Finalizado</v>
      </c>
    </row>
    <row r="16" spans="1:8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/>
      <c r="G16" s="10"/>
      <c r="H16" s="21" t="str">
        <f t="shared" si="0"/>
        <v>Aguardando</v>
      </c>
    </row>
    <row r="17" spans="1:8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>
        <v>4</v>
      </c>
      <c r="G21" s="10">
        <v>1</v>
      </c>
      <c r="H21" s="26" t="str">
        <f t="shared" si="0"/>
        <v>Finalizado</v>
      </c>
    </row>
    <row r="22" spans="1:8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/>
      <c r="G22" s="10"/>
      <c r="H22" s="26" t="str">
        <f t="shared" si="0"/>
        <v>Aguardando</v>
      </c>
    </row>
    <row r="23" spans="1:8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/>
      <c r="G27" s="10"/>
      <c r="H27" s="31" t="str">
        <f t="shared" si="0"/>
        <v>Aguardando</v>
      </c>
    </row>
    <row r="28" spans="1:8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/>
      <c r="G33" s="10"/>
      <c r="H33" s="36" t="str">
        <f t="shared" si="0"/>
        <v>Aguardando</v>
      </c>
    </row>
    <row r="34" spans="1:8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C28" sqref="C28"/>
    </sheetView>
  </sheetViews>
  <sheetFormatPr defaultRowHeight="14.4"/>
  <cols>
    <col min="1" max="1" width="24" customWidth="1"/>
    <col min="2" max="145" width="4.33203125" customWidth="1"/>
  </cols>
  <sheetData>
    <row r="1" spans="1:145" ht="43.95" customHeight="1">
      <c r="A1" s="255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95" customHeight="1">
      <c r="A2" s="268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2" customHeight="1">
      <c r="A3" s="67" t="s">
        <v>187</v>
      </c>
      <c r="B3" s="256" t="s">
        <v>188</v>
      </c>
      <c r="C3" s="253"/>
      <c r="D3" s="256" t="s">
        <v>189</v>
      </c>
      <c r="E3" s="253"/>
      <c r="F3" s="256" t="s">
        <v>190</v>
      </c>
      <c r="G3" s="253"/>
      <c r="H3" s="256" t="s">
        <v>191</v>
      </c>
      <c r="I3" s="253"/>
      <c r="J3" s="256" t="s">
        <v>192</v>
      </c>
      <c r="K3" s="253"/>
      <c r="L3" s="256" t="s">
        <v>193</v>
      </c>
      <c r="M3" s="253"/>
      <c r="N3" s="260" t="s">
        <v>194</v>
      </c>
      <c r="O3" s="253"/>
      <c r="P3" s="260" t="s">
        <v>195</v>
      </c>
      <c r="Q3" s="253"/>
      <c r="R3" s="260" t="s">
        <v>196</v>
      </c>
      <c r="S3" s="253"/>
      <c r="T3" s="260" t="s">
        <v>197</v>
      </c>
      <c r="U3" s="253"/>
      <c r="V3" s="260" t="s">
        <v>198</v>
      </c>
      <c r="W3" s="253"/>
      <c r="X3" s="260" t="s">
        <v>199</v>
      </c>
      <c r="Y3" s="253"/>
      <c r="Z3" s="261" t="s">
        <v>200</v>
      </c>
      <c r="AA3" s="253"/>
      <c r="AB3" s="261" t="s">
        <v>201</v>
      </c>
      <c r="AC3" s="253"/>
      <c r="AD3" s="261" t="s">
        <v>202</v>
      </c>
      <c r="AE3" s="253"/>
      <c r="AF3" s="261" t="s">
        <v>203</v>
      </c>
      <c r="AG3" s="253"/>
      <c r="AH3" s="261" t="s">
        <v>204</v>
      </c>
      <c r="AI3" s="253"/>
      <c r="AJ3" s="261" t="s">
        <v>205</v>
      </c>
      <c r="AK3" s="253"/>
      <c r="AL3" s="257" t="s">
        <v>206</v>
      </c>
      <c r="AM3" s="253"/>
      <c r="AN3" s="257" t="s">
        <v>207</v>
      </c>
      <c r="AO3" s="253"/>
      <c r="AP3" s="257" t="s">
        <v>208</v>
      </c>
      <c r="AQ3" s="253"/>
      <c r="AR3" s="257" t="s">
        <v>209</v>
      </c>
      <c r="AS3" s="253"/>
      <c r="AT3" s="257" t="s">
        <v>210</v>
      </c>
      <c r="AU3" s="253"/>
      <c r="AV3" s="257" t="s">
        <v>211</v>
      </c>
      <c r="AW3" s="253"/>
      <c r="AX3" s="258" t="s">
        <v>212</v>
      </c>
      <c r="AY3" s="253"/>
      <c r="AZ3" s="258" t="s">
        <v>213</v>
      </c>
      <c r="BA3" s="253"/>
      <c r="BB3" s="258" t="s">
        <v>214</v>
      </c>
      <c r="BC3" s="253"/>
      <c r="BD3" s="258" t="s">
        <v>215</v>
      </c>
      <c r="BE3" s="253"/>
      <c r="BF3" s="258" t="s">
        <v>216</v>
      </c>
      <c r="BG3" s="253"/>
      <c r="BH3" s="258" t="s">
        <v>217</v>
      </c>
      <c r="BI3" s="253"/>
      <c r="BJ3" s="262" t="s">
        <v>218</v>
      </c>
      <c r="BK3" s="253"/>
      <c r="BL3" s="262" t="s">
        <v>219</v>
      </c>
      <c r="BM3" s="253"/>
      <c r="BN3" s="262" t="s">
        <v>220</v>
      </c>
      <c r="BO3" s="253"/>
      <c r="BP3" s="262" t="s">
        <v>221</v>
      </c>
      <c r="BQ3" s="253"/>
      <c r="BR3" s="262" t="s">
        <v>222</v>
      </c>
      <c r="BS3" s="253"/>
      <c r="BT3" s="262" t="s">
        <v>223</v>
      </c>
      <c r="BU3" s="253"/>
      <c r="BV3" s="263" t="s">
        <v>224</v>
      </c>
      <c r="BW3" s="253"/>
      <c r="BX3" s="263" t="s">
        <v>225</v>
      </c>
      <c r="BY3" s="253"/>
      <c r="BZ3" s="263" t="s">
        <v>226</v>
      </c>
      <c r="CA3" s="253"/>
      <c r="CB3" s="263" t="s">
        <v>227</v>
      </c>
      <c r="CC3" s="253"/>
      <c r="CD3" s="263" t="s">
        <v>228</v>
      </c>
      <c r="CE3" s="253"/>
      <c r="CF3" s="263" t="s">
        <v>229</v>
      </c>
      <c r="CG3" s="253"/>
      <c r="CH3" s="259" t="s">
        <v>230</v>
      </c>
      <c r="CI3" s="253"/>
      <c r="CJ3" s="259" t="s">
        <v>231</v>
      </c>
      <c r="CK3" s="253"/>
      <c r="CL3" s="259" t="s">
        <v>232</v>
      </c>
      <c r="CM3" s="253"/>
      <c r="CN3" s="259" t="s">
        <v>233</v>
      </c>
      <c r="CO3" s="253"/>
      <c r="CP3" s="259" t="s">
        <v>234</v>
      </c>
      <c r="CQ3" s="253"/>
      <c r="CR3" s="259" t="s">
        <v>235</v>
      </c>
      <c r="CS3" s="253"/>
      <c r="CT3" s="265" t="s">
        <v>236</v>
      </c>
      <c r="CU3" s="253"/>
      <c r="CV3" s="265" t="s">
        <v>237</v>
      </c>
      <c r="CW3" s="253"/>
      <c r="CX3" s="265" t="s">
        <v>238</v>
      </c>
      <c r="CY3" s="253"/>
      <c r="CZ3" s="265" t="s">
        <v>239</v>
      </c>
      <c r="DA3" s="253"/>
      <c r="DB3" s="265" t="s">
        <v>240</v>
      </c>
      <c r="DC3" s="253"/>
      <c r="DD3" s="265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6" t="s">
        <v>248</v>
      </c>
      <c r="DS3" s="253"/>
      <c r="DT3" s="266" t="s">
        <v>249</v>
      </c>
      <c r="DU3" s="253"/>
      <c r="DV3" s="266" t="s">
        <v>250</v>
      </c>
      <c r="DW3" s="253"/>
      <c r="DX3" s="266" t="s">
        <v>251</v>
      </c>
      <c r="DY3" s="253"/>
      <c r="DZ3" s="266" t="s">
        <v>252</v>
      </c>
      <c r="EA3" s="253"/>
      <c r="EB3" s="266" t="s">
        <v>253</v>
      </c>
      <c r="EC3" s="253"/>
      <c r="ED3" s="264" t="s">
        <v>254</v>
      </c>
      <c r="EE3" s="253"/>
      <c r="EF3" s="264" t="s">
        <v>255</v>
      </c>
      <c r="EG3" s="253"/>
      <c r="EH3" s="264" t="s">
        <v>256</v>
      </c>
      <c r="EI3" s="253"/>
      <c r="EJ3" s="264" t="s">
        <v>257</v>
      </c>
      <c r="EK3" s="253"/>
      <c r="EL3" s="264" t="s">
        <v>258</v>
      </c>
      <c r="EM3" s="253"/>
      <c r="EN3" s="264" t="s">
        <v>259</v>
      </c>
      <c r="EO3" s="253"/>
    </row>
    <row r="4" spans="1:145" ht="25.95" customHeight="1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X3:BY3"/>
    <mergeCell ref="CN3:CO3"/>
    <mergeCell ref="CZ3:DA3"/>
    <mergeCell ref="AD3:AE3"/>
    <mergeCell ref="AF3:AG3"/>
    <mergeCell ref="AH3:AI3"/>
    <mergeCell ref="AN3:AO3"/>
    <mergeCell ref="CH3:CI3"/>
    <mergeCell ref="CD3:CE3"/>
    <mergeCell ref="CT3:CU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CB3:CC3"/>
    <mergeCell ref="DJ3:DK3"/>
    <mergeCell ref="EL3:EM3"/>
    <mergeCell ref="CV3:CW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DR3:DS3"/>
    <mergeCell ref="DX3:DY3"/>
    <mergeCell ref="DD3:DE3"/>
    <mergeCell ref="DF3:DG3"/>
    <mergeCell ref="DB3:DC3"/>
    <mergeCell ref="DN3:DO3"/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>
    <tabColor rgb="FFE67E22"/>
  </sheetPr>
  <dimension ref="A1:C8"/>
  <sheetViews>
    <sheetView showGridLines="0" workbookViewId="0">
      <selection activeCell="C4" sqref="C4"/>
    </sheetView>
  </sheetViews>
  <sheetFormatPr defaultRowHeight="14.4"/>
  <cols>
    <col min="1" max="1" width="24" customWidth="1"/>
    <col min="2" max="3" width="22" customWidth="1"/>
  </cols>
  <sheetData>
    <row r="1" spans="1:3" ht="43.95" customHeight="1">
      <c r="A1" s="255" t="s">
        <v>265</v>
      </c>
      <c r="B1" s="253"/>
      <c r="C1" s="253"/>
    </row>
    <row r="2" spans="1:3" ht="19.95" customHeight="1">
      <c r="A2" s="268" t="s">
        <v>266</v>
      </c>
      <c r="B2" s="253"/>
      <c r="C2" s="253"/>
    </row>
    <row r="3" spans="1:3" ht="28.2" customHeight="1">
      <c r="A3" s="83" t="s">
        <v>187</v>
      </c>
      <c r="B3" s="84" t="s">
        <v>267</v>
      </c>
      <c r="C3" s="84" t="s">
        <v>268</v>
      </c>
    </row>
    <row r="4" spans="1:3" ht="28.2" customHeight="1">
      <c r="A4" s="85" t="s">
        <v>269</v>
      </c>
      <c r="B4" s="86"/>
      <c r="C4" s="86"/>
    </row>
    <row r="5" spans="1:3" ht="28.2" customHeight="1">
      <c r="A5" s="87" t="s">
        <v>261</v>
      </c>
      <c r="B5" s="251"/>
      <c r="C5" s="251"/>
    </row>
    <row r="6" spans="1:3" ht="28.2" customHeight="1">
      <c r="A6" s="88" t="s">
        <v>262</v>
      </c>
      <c r="B6" s="251"/>
      <c r="C6" s="251"/>
    </row>
    <row r="7" spans="1:3" ht="28.2" customHeight="1">
      <c r="A7" s="89" t="s">
        <v>263</v>
      </c>
      <c r="B7" s="10"/>
      <c r="C7" s="10"/>
    </row>
    <row r="8" spans="1:3" ht="28.2" customHeight="1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4.4"/>
  <cols>
    <col min="1" max="1" width="24" customWidth="1"/>
    <col min="2" max="73" width="4.33203125" customWidth="1"/>
    <col min="74" max="74" width="11" customWidth="1"/>
  </cols>
  <sheetData>
    <row r="1" spans="1:74" ht="43.95" customHeight="1">
      <c r="A1" s="255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95" customHeight="1">
      <c r="A2" s="268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2" customHeight="1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6">
      <c r="A5" s="81" t="s">
        <v>261</v>
      </c>
      <c r="B5" s="106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0</v>
      </c>
      <c r="C5" s="106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0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0</v>
      </c>
      <c r="I5" s="106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0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0</v>
      </c>
      <c r="O5" s="106" t="str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-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0</v>
      </c>
      <c r="U5" s="106" t="str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-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 t="str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-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 t="str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-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6">
      <c r="A6" s="82" t="s">
        <v>262</v>
      </c>
      <c r="B6" s="108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0</v>
      </c>
      <c r="C6" s="108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0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0</v>
      </c>
      <c r="I6" s="108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0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0</v>
      </c>
      <c r="O6" s="108" t="str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-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0</v>
      </c>
      <c r="U6" s="108" t="str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-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 t="str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-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 t="str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-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6">
      <c r="A7" s="81" t="s">
        <v>263</v>
      </c>
      <c r="B7" s="106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0</v>
      </c>
      <c r="C7" s="106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0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0</v>
      </c>
      <c r="I7" s="106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0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0</v>
      </c>
      <c r="O7" s="106" t="str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-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0</v>
      </c>
      <c r="U7" s="106" t="str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-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 t="str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-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 t="str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-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6">
      <c r="A8" s="82" t="s">
        <v>264</v>
      </c>
      <c r="B8" s="108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0</v>
      </c>
      <c r="C8" s="108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0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0</v>
      </c>
      <c r="I8" s="108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0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0</v>
      </c>
      <c r="O8" s="108" t="str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-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0</v>
      </c>
      <c r="U8" s="108" t="str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-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 t="str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-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 t="str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-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>
    <tabColor rgb="FF607D8B"/>
  </sheetPr>
  <dimension ref="A1:R92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5" customHeight="1">
      <c r="A1" s="255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1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2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0</v>
      </c>
      <c r="G3" s="110">
        <f t="shared" ref="G3:G50" si="0">E3-F3</f>
        <v>2</v>
      </c>
      <c r="H3" s="8">
        <f t="shared" ref="H3:H50" si="1">3*C3+D3</f>
        <v>3</v>
      </c>
      <c r="I3" s="110">
        <f t="shared" ref="I3:I50" si="2">H3*1000000000+(G3+200)*1000000+E3*1000+(500-K3)</f>
        <v>3202002484</v>
      </c>
      <c r="J3" s="8">
        <f>RANK(I3,$I$3:$I$6,0)</f>
        <v>1</v>
      </c>
      <c r="K3" s="110">
        <v>16</v>
      </c>
    </row>
    <row r="4" spans="1:18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0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2</v>
      </c>
      <c r="G4" s="110">
        <f t="shared" si="0"/>
        <v>-2</v>
      </c>
      <c r="H4" s="8">
        <f t="shared" si="1"/>
        <v>0</v>
      </c>
      <c r="I4" s="110">
        <f t="shared" si="2"/>
        <v>198000437</v>
      </c>
      <c r="J4" s="8">
        <f>RANK(I4,$I$3:$I$6,0)</f>
        <v>4</v>
      </c>
      <c r="K4" s="110">
        <v>63</v>
      </c>
    </row>
    <row r="5" spans="1:18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1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2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1</v>
      </c>
      <c r="G5" s="110">
        <f t="shared" si="0"/>
        <v>1</v>
      </c>
      <c r="H5" s="8">
        <f t="shared" si="1"/>
        <v>3</v>
      </c>
      <c r="I5" s="110">
        <f t="shared" si="2"/>
        <v>3201002477</v>
      </c>
      <c r="J5" s="8">
        <f>RANK(I5,$I$3:$I$6,0)</f>
        <v>2</v>
      </c>
      <c r="K5" s="110">
        <v>23</v>
      </c>
    </row>
    <row r="6" spans="1:18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0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1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2</v>
      </c>
      <c r="G6" s="110">
        <f t="shared" si="0"/>
        <v>-1</v>
      </c>
      <c r="H6" s="8">
        <f t="shared" si="1"/>
        <v>0</v>
      </c>
      <c r="I6" s="110">
        <f t="shared" si="2"/>
        <v>199001462</v>
      </c>
      <c r="J6" s="8">
        <f>RANK(I6,$I$3:$I$6,0)</f>
        <v>3</v>
      </c>
      <c r="K6" s="110">
        <v>38</v>
      </c>
    </row>
    <row r="7" spans="1:18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0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1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1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1</v>
      </c>
      <c r="G7" s="112">
        <f t="shared" si="0"/>
        <v>0</v>
      </c>
      <c r="H7" s="14">
        <f t="shared" si="1"/>
        <v>1</v>
      </c>
      <c r="I7" s="112">
        <f t="shared" si="2"/>
        <v>1200001456</v>
      </c>
      <c r="J7" s="14">
        <f>RANK(I7,$I$7:$I$10,0)</f>
        <v>3</v>
      </c>
      <c r="K7" s="112">
        <v>44</v>
      </c>
    </row>
    <row r="8" spans="1:18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1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1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1</v>
      </c>
      <c r="G8" s="112">
        <f t="shared" si="0"/>
        <v>0</v>
      </c>
      <c r="H8" s="14">
        <f t="shared" si="1"/>
        <v>1</v>
      </c>
      <c r="I8" s="112">
        <f t="shared" si="2"/>
        <v>1200001445</v>
      </c>
      <c r="J8" s="14">
        <f>RANK(I8,$I$7:$I$10,0)</f>
        <v>4</v>
      </c>
      <c r="K8" s="112">
        <v>55</v>
      </c>
    </row>
    <row r="9" spans="1:18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1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1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1</v>
      </c>
      <c r="G9" s="112">
        <f t="shared" si="0"/>
        <v>0</v>
      </c>
      <c r="H9" s="14">
        <f t="shared" si="1"/>
        <v>1</v>
      </c>
      <c r="I9" s="112">
        <f t="shared" si="2"/>
        <v>1200001462</v>
      </c>
      <c r="J9" s="14">
        <f>RANK(I9,$I$7:$I$10,0)</f>
        <v>2</v>
      </c>
      <c r="K9" s="112">
        <v>38</v>
      </c>
    </row>
    <row r="10" spans="1:18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1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1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1</v>
      </c>
      <c r="G10" s="112">
        <f t="shared" si="0"/>
        <v>0</v>
      </c>
      <c r="H10" s="14">
        <f t="shared" si="1"/>
        <v>1</v>
      </c>
      <c r="I10" s="112">
        <f t="shared" si="2"/>
        <v>1200001480</v>
      </c>
      <c r="J10" s="14">
        <f>RANK(I10,$I$7:$I$10,0)</f>
        <v>1</v>
      </c>
      <c r="K10" s="112">
        <v>20</v>
      </c>
    </row>
    <row r="11" spans="1:18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0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1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1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1</v>
      </c>
      <c r="G11" s="114">
        <f t="shared" si="0"/>
        <v>0</v>
      </c>
      <c r="H11" s="19">
        <f t="shared" si="1"/>
        <v>1</v>
      </c>
      <c r="I11" s="114">
        <f t="shared" si="2"/>
        <v>1200001495</v>
      </c>
      <c r="J11" s="19">
        <f>RANK(I11,$I$11:$I$14,0)</f>
        <v>1</v>
      </c>
      <c r="K11" s="114">
        <v>5</v>
      </c>
    </row>
    <row r="12" spans="1:18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1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1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1</v>
      </c>
      <c r="G12" s="114">
        <f t="shared" si="0"/>
        <v>0</v>
      </c>
      <c r="H12" s="19">
        <f t="shared" si="1"/>
        <v>1</v>
      </c>
      <c r="I12" s="114">
        <f t="shared" si="2"/>
        <v>1200001486</v>
      </c>
      <c r="J12" s="19">
        <f>RANK(I12,$I$11:$I$14,0)</f>
        <v>2</v>
      </c>
      <c r="K12" s="114">
        <v>14</v>
      </c>
    </row>
    <row r="13" spans="1:18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0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v>86</v>
      </c>
    </row>
    <row r="14" spans="1:18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0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0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v>27</v>
      </c>
    </row>
    <row r="15" spans="1:18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1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4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1</v>
      </c>
      <c r="G15" s="116">
        <f t="shared" si="0"/>
        <v>3</v>
      </c>
      <c r="H15" s="24">
        <f t="shared" si="1"/>
        <v>3</v>
      </c>
      <c r="I15" s="116">
        <f t="shared" si="2"/>
        <v>3203004489</v>
      </c>
      <c r="J15" s="24">
        <f>RANK(I15,$I$15:$I$18,0)</f>
        <v>1</v>
      </c>
      <c r="K15" s="116">
        <v>11</v>
      </c>
    </row>
    <row r="16" spans="1:18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1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4</v>
      </c>
      <c r="G16" s="116">
        <f t="shared" si="0"/>
        <v>-3</v>
      </c>
      <c r="H16" s="24">
        <f t="shared" si="1"/>
        <v>0</v>
      </c>
      <c r="I16" s="116">
        <f t="shared" si="2"/>
        <v>197001449</v>
      </c>
      <c r="J16" s="24">
        <f>RANK(I16,$I$15:$I$18,0)</f>
        <v>4</v>
      </c>
      <c r="K16" s="116">
        <v>51</v>
      </c>
    </row>
    <row r="17" spans="1:11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0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0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v>23</v>
      </c>
    </row>
    <row r="18" spans="1:11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v>36</v>
      </c>
    </row>
    <row r="19" spans="1:11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0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0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v>12</v>
      </c>
    </row>
    <row r="20" spans="1:11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0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v>83</v>
      </c>
    </row>
    <row r="21" spans="1:11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0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0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v>8</v>
      </c>
    </row>
    <row r="24" spans="1:11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0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0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v>15</v>
      </c>
    </row>
    <row r="25" spans="1:11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1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1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1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>
      <c r="A68" s="148" t="s">
        <v>54</v>
      </c>
      <c r="B68" s="149" t="str">
        <f>IFERROR(INDEX($B$3:$B$6,MATCH(3,$J$3:$J$6,0)),"?")</f>
        <v>Tchequia</v>
      </c>
      <c r="C68" s="149">
        <f>IFERROR(INDEX($I$3:$I$6,MATCH(3,$J$3:$J$6,0)),0)</f>
        <v>199001462</v>
      </c>
      <c r="D68" s="150">
        <f t="shared" ref="D68:D79" si="3">RANK(C68,$C$68:$C$79,0)</f>
        <v>12</v>
      </c>
    </row>
    <row r="69" spans="1:4">
      <c r="A69" s="151" t="s">
        <v>65</v>
      </c>
      <c r="B69" s="149" t="str">
        <f>IFERROR(INDEX($B$7:$B$10,MATCH(3,$J$7:$J$10,0)),"?")</f>
        <v>Canada</v>
      </c>
      <c r="C69" s="149">
        <f>IFERROR(INDEX($I$7:$I$10,MATCH(3,$J$7:$J$10,0)),0)</f>
        <v>1200001456</v>
      </c>
      <c r="D69" s="150">
        <f t="shared" si="3"/>
        <v>1</v>
      </c>
    </row>
    <row r="70" spans="1:4">
      <c r="A70" s="152" t="s">
        <v>76</v>
      </c>
      <c r="B70" s="149" t="str">
        <f>IFERROR(INDEX($B$11:$B$14,MATCH(3,$J$11:$J$14,0)),"?")</f>
        <v>Escocia</v>
      </c>
      <c r="C70" s="149">
        <f>IFERROR(INDEX($I$11:$I$14,MATCH(3,$J$11:$J$14,0)),0)</f>
        <v>200000473</v>
      </c>
      <c r="D70" s="150">
        <f t="shared" si="3"/>
        <v>3</v>
      </c>
    </row>
    <row r="71" spans="1:4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200000464</v>
      </c>
      <c r="D71" s="150">
        <f t="shared" si="3"/>
        <v>6</v>
      </c>
    </row>
    <row r="72" spans="1:4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8</v>
      </c>
    </row>
    <row r="73" spans="1:4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2</v>
      </c>
    </row>
    <row r="74" spans="1:4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6</v>
      </c>
    </row>
    <row r="75" spans="1:4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10</v>
      </c>
    </row>
    <row r="76" spans="1:4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4</v>
      </c>
    </row>
    <row r="77" spans="1:4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5</v>
      </c>
    </row>
    <row r="78" spans="1:4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10</v>
      </c>
    </row>
    <row r="79" spans="1:4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9</v>
      </c>
    </row>
    <row r="81" spans="1:2">
      <c r="A81" s="162" t="s">
        <v>432</v>
      </c>
      <c r="B81" s="162" t="s">
        <v>433</v>
      </c>
    </row>
    <row r="82" spans="1:2">
      <c r="A82" s="163">
        <v>1</v>
      </c>
      <c r="B82" s="164" t="str">
        <f>IFERROR(INDEX($B$68:$B$79,MATCH(1,$D$68:$D$79,0)),"?")</f>
        <v>Canada</v>
      </c>
    </row>
    <row r="83" spans="1:2">
      <c r="A83" s="163">
        <v>2</v>
      </c>
      <c r="B83" s="164" t="str">
        <f>IFERROR(INDEX($B$68:$B$79,MATCH(2,$D$68:$D$79,0)),"?")</f>
        <v>Suecia</v>
      </c>
    </row>
    <row r="84" spans="1:2">
      <c r="A84" s="163">
        <v>3</v>
      </c>
      <c r="B84" s="164" t="str">
        <f>IFERROR(INDEX($B$68:$B$79,MATCH(3,$D$68:$D$79,0)),"?")</f>
        <v>Escocia</v>
      </c>
    </row>
    <row r="85" spans="1:2">
      <c r="A85" s="163">
        <v>4</v>
      </c>
      <c r="B85" s="164" t="str">
        <f>IFERROR(INDEX($B$68:$B$79,MATCH(4,$D$68:$D$79,0)),"?")</f>
        <v>Noruega</v>
      </c>
    </row>
    <row r="86" spans="1:2">
      <c r="A86" s="163">
        <v>5</v>
      </c>
      <c r="B86" s="164" t="str">
        <f>IFERROR(INDEX($B$68:$B$79,MATCH(5,$D$68:$D$79,0)),"?")</f>
        <v>Argelia</v>
      </c>
    </row>
    <row r="87" spans="1:2">
      <c r="A87" s="163">
        <v>6</v>
      </c>
      <c r="B87" s="164" t="str">
        <f>IFERROR(INDEX($B$68:$B$79,MATCH(6,$D$68:$D$79,0)),"?")</f>
        <v>Turquia</v>
      </c>
    </row>
    <row r="88" spans="1:2">
      <c r="A88" s="163">
        <v>7</v>
      </c>
      <c r="B88" s="164" t="str">
        <f>IFERROR(INDEX($B$68:$B$79,MATCH(7,$D$68:$D$79,0)),"?")</f>
        <v>?</v>
      </c>
    </row>
    <row r="89" spans="1:2">
      <c r="A89" s="163">
        <v>8</v>
      </c>
      <c r="B89" s="164" t="str">
        <f>IFERROR(INDEX($B$68:$B$79,MATCH(8,$D$68:$D$79,0)),"?")</f>
        <v>Costa do Marfim</v>
      </c>
    </row>
    <row r="92" spans="1:2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BCDEFGIJ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>
    <tabColor rgb="FF607D8B"/>
  </sheetPr>
  <dimension ref="A1:J497"/>
  <sheetViews>
    <sheetView showGridLines="0" workbookViewId="0"/>
  </sheetViews>
  <sheetFormatPr defaultRowHeight="14.4"/>
  <cols>
    <col min="1" max="1" width="12" customWidth="1"/>
    <col min="2" max="9" width="6" customWidth="1"/>
  </cols>
  <sheetData>
    <row r="1" spans="1:10" ht="43.95" customHeight="1">
      <c r="A1" s="255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2" customHeight="1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>
    <tabColor rgb="FF607D8B"/>
  </sheetPr>
  <dimension ref="A1:M358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5" customHeight="1">
      <c r="A1" s="255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>
      <c r="A79" s="163">
        <v>1</v>
      </c>
      <c r="B79" s="164" t="str">
        <f>IFERROR(INDEX($B$66:$B$77,MATCH(1,$D$66:$D$77,0)),"?")</f>
        <v>Suecia</v>
      </c>
    </row>
    <row r="80" spans="1:4">
      <c r="A80" s="163">
        <v>2</v>
      </c>
      <c r="B80" s="164" t="str">
        <f>IFERROR(INDEX($B$66:$B$77,MATCH(2,$D$66:$D$77,0)),"?")</f>
        <v>Escocia</v>
      </c>
    </row>
    <row r="81" spans="1:13">
      <c r="A81" s="163">
        <v>3</v>
      </c>
      <c r="B81" s="164" t="str">
        <f>IFERROR(INDEX($B$66:$B$77,MATCH(3,$D$66:$D$77,0)),"?")</f>
        <v>Noruega</v>
      </c>
    </row>
    <row r="82" spans="1:13">
      <c r="A82" s="163">
        <v>4</v>
      </c>
      <c r="B82" s="164" t="str">
        <f>IFERROR(INDEX($B$66:$B$77,MATCH(4,$D$66:$D$77,0)),"?")</f>
        <v>Argelia</v>
      </c>
    </row>
    <row r="83" spans="1:13">
      <c r="A83" s="163">
        <v>5</v>
      </c>
      <c r="B83" s="164" t="str">
        <f>IFERROR(INDEX($B$66:$B$77,MATCH(5,$D$66:$D$77,0)),"?")</f>
        <v>Turquia</v>
      </c>
    </row>
    <row r="84" spans="1:13">
      <c r="A84" s="163">
        <v>6</v>
      </c>
      <c r="B84" s="164" t="str">
        <f>IFERROR(INDEX($B$66:$B$77,MATCH(6,$D$66:$D$77,0)),"?")</f>
        <v>?</v>
      </c>
    </row>
    <row r="85" spans="1:13">
      <c r="A85" s="163">
        <v>7</v>
      </c>
      <c r="B85" s="164" t="str">
        <f>IFERROR(INDEX($B$66:$B$77,MATCH(7,$D$66:$D$77,0)),"?")</f>
        <v>Tchequia</v>
      </c>
    </row>
    <row r="86" spans="1:13">
      <c r="A86" s="163">
        <v>8</v>
      </c>
      <c r="B86" s="164" t="str">
        <f>IFERROR(INDEX($B$66:$B$77,MATCH(8,$D$66:$D$77,0)),"?")</f>
        <v>Costa do Marfim</v>
      </c>
    </row>
    <row r="88" spans="1:13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>
      <c r="A92" s="171" t="s">
        <v>953</v>
      </c>
    </row>
    <row r="93" spans="1:13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>
      <c r="A169" s="163">
        <v>1</v>
      </c>
      <c r="B169" s="164" t="str">
        <f>IFERROR(INDEX($B$156:$B$167,MATCH(1,$D$156:$D$167,0)),"?")</f>
        <v>Suecia</v>
      </c>
    </row>
    <row r="170" spans="1:4">
      <c r="A170" s="163">
        <v>2</v>
      </c>
      <c r="B170" s="164" t="str">
        <f>IFERROR(INDEX($B$156:$B$167,MATCH(2,$D$156:$D$167,0)),"?")</f>
        <v>Escocia</v>
      </c>
    </row>
    <row r="171" spans="1:4">
      <c r="A171" s="163">
        <v>3</v>
      </c>
      <c r="B171" s="164" t="str">
        <f>IFERROR(INDEX($B$156:$B$167,MATCH(3,$D$156:$D$167,0)),"?")</f>
        <v>Noruega</v>
      </c>
    </row>
    <row r="172" spans="1:4">
      <c r="A172" s="163">
        <v>4</v>
      </c>
      <c r="B172" s="164" t="str">
        <f>IFERROR(INDEX($B$156:$B$167,MATCH(4,$D$156:$D$167,0)),"?")</f>
        <v>Argelia</v>
      </c>
    </row>
    <row r="173" spans="1:4">
      <c r="A173" s="163">
        <v>5</v>
      </c>
      <c r="B173" s="164" t="str">
        <f>IFERROR(INDEX($B$156:$B$167,MATCH(5,$D$156:$D$167,0)),"?")</f>
        <v>Turquia</v>
      </c>
    </row>
    <row r="174" spans="1:4">
      <c r="A174" s="163">
        <v>6</v>
      </c>
      <c r="B174" s="164" t="str">
        <f>IFERROR(INDEX($B$156:$B$167,MATCH(6,$D$156:$D$167,0)),"?")</f>
        <v>?</v>
      </c>
    </row>
    <row r="175" spans="1:4">
      <c r="A175" s="163">
        <v>7</v>
      </c>
      <c r="B175" s="164" t="str">
        <f>IFERROR(INDEX($B$156:$B$167,MATCH(7,$D$156:$D$167,0)),"?")</f>
        <v>Tchequia</v>
      </c>
    </row>
    <row r="176" spans="1:4">
      <c r="A176" s="163">
        <v>8</v>
      </c>
      <c r="B176" s="164" t="str">
        <f>IFERROR(INDEX($B$156:$B$167,MATCH(8,$D$156:$D$167,0)),"?")</f>
        <v>Costa do Marfim</v>
      </c>
    </row>
    <row r="178" spans="1:13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>
      <c r="A182" s="171" t="s">
        <v>954</v>
      </c>
    </row>
    <row r="183" spans="1:13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>
      <c r="A259" s="163">
        <v>1</v>
      </c>
      <c r="B259" s="164" t="str">
        <f>IFERROR(INDEX($B$246:$B$257,MATCH(1,$D$246:$D$257,0)),"?")</f>
        <v>Suecia</v>
      </c>
    </row>
    <row r="260" spans="1:4">
      <c r="A260" s="163">
        <v>2</v>
      </c>
      <c r="B260" s="164" t="str">
        <f>IFERROR(INDEX($B$246:$B$257,MATCH(2,$D$246:$D$257,0)),"?")</f>
        <v>Escocia</v>
      </c>
    </row>
    <row r="261" spans="1:4">
      <c r="A261" s="163">
        <v>3</v>
      </c>
      <c r="B261" s="164" t="str">
        <f>IFERROR(INDEX($B$246:$B$257,MATCH(3,$D$246:$D$257,0)),"?")</f>
        <v>Noruega</v>
      </c>
    </row>
    <row r="262" spans="1:4">
      <c r="A262" s="163">
        <v>4</v>
      </c>
      <c r="B262" s="164" t="str">
        <f>IFERROR(INDEX($B$246:$B$257,MATCH(4,$D$246:$D$257,0)),"?")</f>
        <v>Argelia</v>
      </c>
    </row>
    <row r="263" spans="1:4">
      <c r="A263" s="163">
        <v>5</v>
      </c>
      <c r="B263" s="164" t="str">
        <f>IFERROR(INDEX($B$246:$B$257,MATCH(5,$D$246:$D$257,0)),"?")</f>
        <v>Turquia</v>
      </c>
    </row>
    <row r="264" spans="1:4">
      <c r="A264" s="163">
        <v>6</v>
      </c>
      <c r="B264" s="164" t="str">
        <f>IFERROR(INDEX($B$246:$B$257,MATCH(6,$D$246:$D$257,0)),"?")</f>
        <v>?</v>
      </c>
    </row>
    <row r="265" spans="1:4">
      <c r="A265" s="163">
        <v>7</v>
      </c>
      <c r="B265" s="164" t="str">
        <f>IFERROR(INDEX($B$246:$B$257,MATCH(7,$D$246:$D$257,0)),"?")</f>
        <v>Tchequia</v>
      </c>
    </row>
    <row r="266" spans="1:4">
      <c r="A266" s="163">
        <v>8</v>
      </c>
      <c r="B266" s="164" t="str">
        <f>IFERROR(INDEX($B$246:$B$257,MATCH(8,$D$246:$D$257,0)),"?")</f>
        <v>Costa do Marfim</v>
      </c>
    </row>
    <row r="268" spans="1:4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>
      <c r="A272" s="171" t="s">
        <v>955</v>
      </c>
    </row>
    <row r="273" spans="1:13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>
      <c r="A349" s="163">
        <v>1</v>
      </c>
      <c r="B349" s="164" t="str">
        <f>IFERROR(INDEX($B$336:$B$347,MATCH(1,$D$336:$D$347,0)),"?")</f>
        <v>Suecia</v>
      </c>
    </row>
    <row r="350" spans="1:4">
      <c r="A350" s="163">
        <v>2</v>
      </c>
      <c r="B350" s="164" t="str">
        <f>IFERROR(INDEX($B$336:$B$347,MATCH(2,$D$336:$D$347,0)),"?")</f>
        <v>Escocia</v>
      </c>
    </row>
    <row r="351" spans="1:4">
      <c r="A351" s="163">
        <v>3</v>
      </c>
      <c r="B351" s="164" t="str">
        <f>IFERROR(INDEX($B$336:$B$347,MATCH(3,$D$336:$D$347,0)),"?")</f>
        <v>Noruega</v>
      </c>
    </row>
    <row r="352" spans="1:4">
      <c r="A352" s="163">
        <v>4</v>
      </c>
      <c r="B352" s="164" t="str">
        <f>IFERROR(INDEX($B$336:$B$347,MATCH(4,$D$336:$D$347,0)),"?")</f>
        <v>Argelia</v>
      </c>
    </row>
    <row r="353" spans="1:2">
      <c r="A353" s="163">
        <v>5</v>
      </c>
      <c r="B353" s="164" t="str">
        <f>IFERROR(INDEX($B$336:$B$347,MATCH(5,$D$336:$D$347,0)),"?")</f>
        <v>Turquia</v>
      </c>
    </row>
    <row r="354" spans="1:2">
      <c r="A354" s="163">
        <v>6</v>
      </c>
      <c r="B354" s="164" t="str">
        <f>IFERROR(INDEX($B$336:$B$347,MATCH(6,$D$336:$D$347,0)),"?")</f>
        <v>?</v>
      </c>
    </row>
    <row r="355" spans="1:2">
      <c r="A355" s="163">
        <v>7</v>
      </c>
      <c r="B355" s="164" t="str">
        <f>IFERROR(INDEX($B$336:$B$347,MATCH(7,$D$336:$D$347,0)),"?")</f>
        <v>Tchequia</v>
      </c>
    </row>
    <row r="356" spans="1:2">
      <c r="A356" s="163">
        <v>8</v>
      </c>
      <c r="B356" s="164" t="str">
        <f>IFERROR(INDEX($B$336:$B$347,MATCH(8,$D$336:$D$347,0)),"?")</f>
        <v>Costa do Marfim</v>
      </c>
    </row>
    <row r="358" spans="1:2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"/>
    </sheetView>
  </sheetViews>
  <sheetFormatPr defaultRowHeight="14.4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5" customHeight="1">
      <c r="A1" s="255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2" customHeight="1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Coreia do Sul</v>
      </c>
      <c r="E4" s="175" t="str">
        <f>IFERROR('Classif - Grupos'!C54,"Aguardando")</f>
        <v>Qatar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Turquia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Marrocos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Brasil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Escocia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Noruega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Canada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Argelia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Suica</v>
      </c>
      <c r="E16" s="175" t="str">
        <f>IFERROR(IFERROR(INDEX('Classif - Grupos'!$B$68:$B$79,MATCH(MID(IFERROR(VLOOKUP('Classif - Grupos'!B92,'T495'!$A$2:$I$496,3,FALSE),""),2,1),'Classif - Grupos'!$A$68:$A$79,0)),"Aguardando"),"Aguardando")</f>
        <v>Egito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Costa do Marfim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4.4"/>
  <cols>
    <col min="1" max="1" width="22" customWidth="1"/>
    <col min="2" max="65" width="5.44140625" customWidth="1"/>
  </cols>
  <sheetData>
    <row r="1" spans="1:65" ht="43.95" customHeight="1">
      <c r="A1" s="255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95" customHeight="1">
      <c r="A2" s="268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2" customHeight="1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3" t="s">
        <v>996</v>
      </c>
      <c r="AI3" s="253"/>
      <c r="AJ3" s="273" t="s">
        <v>998</v>
      </c>
      <c r="AK3" s="253"/>
      <c r="AL3" s="273" t="s">
        <v>1000</v>
      </c>
      <c r="AM3" s="253"/>
      <c r="AN3" s="273" t="s">
        <v>1002</v>
      </c>
      <c r="AO3" s="253"/>
      <c r="AP3" s="273" t="s">
        <v>1004</v>
      </c>
      <c r="AQ3" s="253"/>
      <c r="AR3" s="273" t="s">
        <v>1006</v>
      </c>
      <c r="AS3" s="253"/>
      <c r="AT3" s="273" t="s">
        <v>1008</v>
      </c>
      <c r="AU3" s="253"/>
      <c r="AV3" s="273" t="s">
        <v>1010</v>
      </c>
      <c r="AW3" s="253"/>
      <c r="AX3" s="275" t="s">
        <v>1012</v>
      </c>
      <c r="AY3" s="253"/>
      <c r="AZ3" s="275" t="s">
        <v>1014</v>
      </c>
      <c r="BA3" s="253"/>
      <c r="BB3" s="275" t="s">
        <v>1016</v>
      </c>
      <c r="BC3" s="253"/>
      <c r="BD3" s="275" t="s">
        <v>1018</v>
      </c>
      <c r="BE3" s="253"/>
      <c r="BF3" s="281" t="s">
        <v>1020</v>
      </c>
      <c r="BG3" s="253"/>
      <c r="BH3" s="281" t="s">
        <v>1022</v>
      </c>
      <c r="BI3" s="253"/>
      <c r="BJ3" s="279" t="s">
        <v>1024</v>
      </c>
      <c r="BK3" s="253"/>
      <c r="BL3" s="280" t="s">
        <v>1026</v>
      </c>
      <c r="BM3" s="253"/>
    </row>
    <row r="4" spans="1:65" ht="16.2" customHeight="1">
      <c r="A4" s="210" t="s">
        <v>46</v>
      </c>
      <c r="B4" s="270">
        <v>46201</v>
      </c>
      <c r="C4" s="253"/>
      <c r="D4" s="270">
        <v>46202</v>
      </c>
      <c r="E4" s="253"/>
      <c r="F4" s="270">
        <v>46202</v>
      </c>
      <c r="G4" s="253"/>
      <c r="H4" s="270">
        <v>46202</v>
      </c>
      <c r="I4" s="253"/>
      <c r="J4" s="270">
        <v>46203</v>
      </c>
      <c r="K4" s="253"/>
      <c r="L4" s="270">
        <v>46203</v>
      </c>
      <c r="M4" s="253"/>
      <c r="N4" s="270">
        <v>46203</v>
      </c>
      <c r="O4" s="253"/>
      <c r="P4" s="270">
        <v>46204</v>
      </c>
      <c r="Q4" s="253"/>
      <c r="R4" s="270">
        <v>46204</v>
      </c>
      <c r="S4" s="253"/>
      <c r="T4" s="270">
        <v>46204</v>
      </c>
      <c r="U4" s="253"/>
      <c r="V4" s="270">
        <v>46205</v>
      </c>
      <c r="W4" s="253"/>
      <c r="X4" s="270">
        <v>46205</v>
      </c>
      <c r="Y4" s="253"/>
      <c r="Z4" s="270">
        <v>46205</v>
      </c>
      <c r="AA4" s="253"/>
      <c r="AB4" s="270">
        <v>46206</v>
      </c>
      <c r="AC4" s="253"/>
      <c r="AD4" s="270">
        <v>46206</v>
      </c>
      <c r="AE4" s="253"/>
      <c r="AF4" s="270">
        <v>46206</v>
      </c>
      <c r="AG4" s="253"/>
      <c r="AH4" s="274">
        <v>46207</v>
      </c>
      <c r="AI4" s="253"/>
      <c r="AJ4" s="274">
        <v>46207</v>
      </c>
      <c r="AK4" s="253"/>
      <c r="AL4" s="274">
        <v>46208</v>
      </c>
      <c r="AM4" s="253"/>
      <c r="AN4" s="274">
        <v>46208</v>
      </c>
      <c r="AO4" s="253"/>
      <c r="AP4" s="274">
        <v>46209</v>
      </c>
      <c r="AQ4" s="253"/>
      <c r="AR4" s="274">
        <v>46209</v>
      </c>
      <c r="AS4" s="253"/>
      <c r="AT4" s="274">
        <v>46210</v>
      </c>
      <c r="AU4" s="253"/>
      <c r="AV4" s="274">
        <v>46210</v>
      </c>
      <c r="AW4" s="253"/>
      <c r="AX4" s="272">
        <v>46212</v>
      </c>
      <c r="AY4" s="253"/>
      <c r="AZ4" s="272">
        <v>46213</v>
      </c>
      <c r="BA4" s="253"/>
      <c r="BB4" s="272">
        <v>46214</v>
      </c>
      <c r="BC4" s="253"/>
      <c r="BD4" s="272">
        <v>46214</v>
      </c>
      <c r="BE4" s="253"/>
      <c r="BF4" s="277">
        <v>46217</v>
      </c>
      <c r="BG4" s="253"/>
      <c r="BH4" s="277">
        <v>46218</v>
      </c>
      <c r="BI4" s="253"/>
      <c r="BJ4" s="276">
        <v>46221</v>
      </c>
      <c r="BK4" s="253"/>
      <c r="BL4" s="278">
        <v>46222</v>
      </c>
      <c r="BM4" s="253"/>
    </row>
    <row r="5" spans="1:65" ht="22.2" customHeight="1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2" customHeight="1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2" customHeight="1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2" customHeight="1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BH4:BI4"/>
    <mergeCell ref="AF4:AG4"/>
    <mergeCell ref="AH4:AI4"/>
    <mergeCell ref="AN4:AO4"/>
    <mergeCell ref="AP4:AQ4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4.4"/>
  <cols>
    <col min="1" max="1" width="22" customWidth="1"/>
    <col min="2" max="33" width="4.33203125" customWidth="1"/>
    <col min="34" max="34" width="11" customWidth="1"/>
  </cols>
  <sheetData>
    <row r="1" spans="1:34" ht="43.95" customHeight="1">
      <c r="A1" s="255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95" customHeight="1">
      <c r="A2" s="268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2" customHeight="1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6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6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6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6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4.4"/>
  <cols>
    <col min="1" max="1" width="22" customWidth="1"/>
    <col min="2" max="4" width="16" customWidth="1"/>
  </cols>
  <sheetData>
    <row r="1" spans="1:4" ht="43.95" customHeight="1">
      <c r="A1" s="255" t="s">
        <v>1065</v>
      </c>
      <c r="B1" s="253"/>
      <c r="C1" s="253"/>
      <c r="D1" s="253"/>
    </row>
    <row r="2" spans="1:4" ht="28.2" customHeight="1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2" customHeight="1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2" customHeight="1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2" customHeight="1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2" customHeight="1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4.4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5" customHeight="1">
      <c r="A1" s="283" t="s">
        <v>1069</v>
      </c>
      <c r="B1" s="253"/>
      <c r="C1" s="253"/>
      <c r="D1" s="253"/>
      <c r="E1" s="253"/>
      <c r="F1" s="253"/>
      <c r="G1" s="253"/>
    </row>
    <row r="2" spans="1:16" ht="22.2" customHeight="1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200000000000003" customHeight="1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200000000000003" customHeight="1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200000000000003" customHeight="1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200000000000003" customHeight="1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>
    <tabColor rgb="FF9B59B6"/>
  </sheetPr>
  <dimension ref="A1:J12"/>
  <sheetViews>
    <sheetView showGridLines="0" workbookViewId="0">
      <selection sqref="A1:J1"/>
    </sheetView>
  </sheetViews>
  <sheetFormatPr defaultRowHeight="14.4"/>
  <cols>
    <col min="1" max="10" width="18" customWidth="1"/>
  </cols>
  <sheetData>
    <row r="1" spans="1:10" ht="43.95" customHeight="1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95" customHeight="1">
      <c r="A2" s="268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>
      <c r="A4" s="284" t="s">
        <v>1080</v>
      </c>
      <c r="B4" s="253"/>
      <c r="C4" s="284" t="s">
        <v>1081</v>
      </c>
      <c r="D4" s="253"/>
      <c r="E4" s="284" t="s">
        <v>1082</v>
      </c>
      <c r="F4" s="253"/>
      <c r="G4" s="284" t="s">
        <v>1083</v>
      </c>
      <c r="H4" s="253"/>
      <c r="I4" s="284" t="s">
        <v>1084</v>
      </c>
      <c r="J4" s="253"/>
    </row>
    <row r="5" spans="1:10" ht="42" customHeight="1">
      <c r="A5" s="286" t="str">
        <f>IFERROR(INDEX(Ranking!$I$4:$I$7,MATCH(1,Ranking!$P$4:$P$7,0)),"?")</f>
        <v>Pedro Brandao</v>
      </c>
      <c r="B5" s="253"/>
      <c r="C5" s="285">
        <f>IFERROR(MAX(Ranking!$M$4:$M$7),0)</f>
        <v>0</v>
      </c>
      <c r="D5" s="253"/>
      <c r="E5" s="288">
        <f>COUNTIF('Jogos - Grupos'!H3:H74,"Finalizado")</f>
        <v>6</v>
      </c>
      <c r="F5" s="253"/>
      <c r="G5" s="287">
        <f>COUNTIF('Mata-Mata - Jogos'!I4:I35,"Finalizado")</f>
        <v>0</v>
      </c>
      <c r="H5" s="253"/>
      <c r="I5" s="289" t="s">
        <v>1077</v>
      </c>
      <c r="J5" s="253"/>
    </row>
    <row r="7" spans="1:10" ht="10.199999999999999" customHeight="1"/>
    <row r="8" spans="1:10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2" customHeight="1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2" customHeight="1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2" customHeight="1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2" customHeight="1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C5:D5"/>
    <mergeCell ref="A5:B5"/>
    <mergeCell ref="G5:H5"/>
    <mergeCell ref="E5:F5"/>
    <mergeCell ref="I5:J5"/>
    <mergeCell ref="A4:B4"/>
    <mergeCell ref="G4:H4"/>
    <mergeCell ref="A1:J1"/>
    <mergeCell ref="E4:F4"/>
    <mergeCell ref="I4:J4"/>
    <mergeCell ref="A2:J2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2026-06-14T00:05:05Z</dcterms:modified>
</cp:coreProperties>
</file>