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\gabarito\"/>
    </mc:Choice>
  </mc:AlternateContent>
  <xr:revisionPtr revIDLastSave="0" documentId="13_ncr:1_{944748F3-3C7A-4DBE-9804-0E4421A3B61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H8" i="6" s="1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5" i="6" l="1"/>
  <c r="H11" i="6"/>
  <c r="G5" i="6"/>
  <c r="G12" i="6"/>
  <c r="H7" i="6"/>
  <c r="G39" i="6"/>
  <c r="G3" i="6"/>
  <c r="H39" i="6"/>
  <c r="I39" i="6" s="1"/>
  <c r="H3" i="6"/>
  <c r="I3" i="6" s="1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I12" i="6" s="1"/>
  <c r="G10" i="6"/>
  <c r="I10" i="6" s="1"/>
  <c r="G7" i="6"/>
  <c r="G14" i="6"/>
  <c r="I14" i="6" s="1"/>
  <c r="G21" i="6"/>
  <c r="I21" i="6" s="1"/>
  <c r="I7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I48" i="8" s="1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I25" i="6" s="1"/>
  <c r="H44" i="6"/>
  <c r="N6" i="13"/>
  <c r="G38" i="6"/>
  <c r="G8" i="6"/>
  <c r="I8" i="6" s="1"/>
  <c r="G32" i="6"/>
  <c r="H20" i="6"/>
  <c r="G45" i="6"/>
  <c r="I45" i="6" s="1"/>
  <c r="G20" i="6"/>
  <c r="G46" i="6"/>
  <c r="G15" i="6"/>
  <c r="I15" i="6" s="1"/>
  <c r="H34" i="6"/>
  <c r="G4" i="6"/>
  <c r="G34" i="6"/>
  <c r="H41" i="6"/>
  <c r="H5" i="6"/>
  <c r="I5" i="6" s="1"/>
  <c r="J219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J229" i="8"/>
  <c r="I279" i="8"/>
  <c r="J279" i="8" s="1"/>
  <c r="I14" i="8"/>
  <c r="I186" i="8"/>
  <c r="J220" i="8"/>
  <c r="J298" i="8"/>
  <c r="I210" i="8"/>
  <c r="L118" i="8"/>
  <c r="H118" i="8"/>
  <c r="I118" i="8" s="1"/>
  <c r="G285" i="8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J281" i="8"/>
  <c r="L200" i="8"/>
  <c r="N5" i="13"/>
  <c r="I47" i="8"/>
  <c r="L188" i="8"/>
  <c r="J205" i="8"/>
  <c r="G304" i="8"/>
  <c r="I304" i="8" s="1"/>
  <c r="J304" i="8" s="1"/>
  <c r="L105" i="8"/>
  <c r="H105" i="8"/>
  <c r="I105" i="8" s="1"/>
  <c r="I221" i="8"/>
  <c r="J221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11" i="6" l="1"/>
  <c r="I9" i="6"/>
  <c r="I17" i="6"/>
  <c r="I24" i="6"/>
  <c r="I31" i="6"/>
  <c r="I36" i="6"/>
  <c r="I43" i="6"/>
  <c r="I4" i="6"/>
  <c r="J3" i="6" s="1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J13" i="6" s="1"/>
  <c r="I50" i="6"/>
  <c r="I22" i="6"/>
  <c r="I42" i="6"/>
  <c r="J7" i="6"/>
  <c r="C69" i="6" s="1"/>
  <c r="I38" i="6"/>
  <c r="I48" i="6"/>
  <c r="I44" i="6"/>
  <c r="I23" i="6"/>
  <c r="I46" i="6"/>
  <c r="I30" i="6"/>
  <c r="J15" i="8"/>
  <c r="J18" i="8"/>
  <c r="J17" i="8"/>
  <c r="J14" i="8"/>
  <c r="J27" i="8"/>
  <c r="I26" i="8"/>
  <c r="I96" i="8"/>
  <c r="I102" i="8"/>
  <c r="J101" i="8" s="1"/>
  <c r="I9" i="8"/>
  <c r="I108" i="8"/>
  <c r="J106" i="8" s="1"/>
  <c r="I18" i="6"/>
  <c r="I7" i="8"/>
  <c r="J8" i="8" s="1"/>
  <c r="J117" i="8"/>
  <c r="B162" i="8" s="1"/>
  <c r="J137" i="8"/>
  <c r="J138" i="8"/>
  <c r="BI9" i="10"/>
  <c r="BK9" i="10" s="1"/>
  <c r="AC6" i="11"/>
  <c r="BG9" i="10"/>
  <c r="AA6" i="11"/>
  <c r="J107" i="8"/>
  <c r="I100" i="8"/>
  <c r="J99" i="8" s="1"/>
  <c r="I114" i="8"/>
  <c r="J113" i="8" s="1"/>
  <c r="I130" i="8"/>
  <c r="J132" i="8" s="1"/>
  <c r="J47" i="8"/>
  <c r="D64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J105" i="8"/>
  <c r="I116" i="8"/>
  <c r="J9" i="6"/>
  <c r="I34" i="6"/>
  <c r="I20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J110" i="8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84" i="8"/>
  <c r="B338" i="8" s="1"/>
  <c r="J9" i="8"/>
  <c r="J290" i="8"/>
  <c r="J109" i="8"/>
  <c r="J305" i="8"/>
  <c r="J124" i="8"/>
  <c r="J301" i="8"/>
  <c r="J303" i="8"/>
  <c r="J8" i="6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B236" i="8"/>
  <c r="R9" i="10" s="1"/>
  <c r="E236" i="8"/>
  <c r="J50" i="8"/>
  <c r="E334" i="8"/>
  <c r="C334" i="8"/>
  <c r="W11" i="10" s="1"/>
  <c r="B347" i="8"/>
  <c r="C347" i="8"/>
  <c r="D334" i="8"/>
  <c r="B334" i="8"/>
  <c r="P11" i="10" s="1"/>
  <c r="D149" i="8"/>
  <c r="C162" i="8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B59" i="8"/>
  <c r="T5" i="10" s="1"/>
  <c r="J297" i="8"/>
  <c r="J48" i="8"/>
  <c r="B77" i="8" s="1"/>
  <c r="J310" i="8"/>
  <c r="C345" i="8" s="1"/>
  <c r="J10" i="6"/>
  <c r="J287" i="8"/>
  <c r="J218" i="8"/>
  <c r="D244" i="8"/>
  <c r="J285" i="8"/>
  <c r="J38" i="8"/>
  <c r="J35" i="8"/>
  <c r="J299" i="8"/>
  <c r="J25" i="8"/>
  <c r="J120" i="8"/>
  <c r="J194" i="8"/>
  <c r="B248" i="8" s="1"/>
  <c r="J16" i="8"/>
  <c r="D56" i="8" s="1"/>
  <c r="J277" i="8"/>
  <c r="J209" i="8"/>
  <c r="E239" i="8" s="1"/>
  <c r="J211" i="8"/>
  <c r="J210" i="8"/>
  <c r="J11" i="6" l="1"/>
  <c r="D54" i="6"/>
  <c r="J46" i="6"/>
  <c r="B69" i="6"/>
  <c r="C54" i="6"/>
  <c r="E4" i="9" s="1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J98" i="8"/>
  <c r="C64" i="8"/>
  <c r="W5" i="10" s="1"/>
  <c r="J10" i="8"/>
  <c r="C77" i="8"/>
  <c r="J116" i="8"/>
  <c r="J7" i="8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C161" i="8"/>
  <c r="B161" i="8"/>
  <c r="D148" i="8"/>
  <c r="B72" i="8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53" i="6"/>
  <c r="B68" i="6"/>
  <c r="D53" i="6"/>
  <c r="C53" i="6"/>
  <c r="D4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C62" i="6" l="1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AV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AV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256" i="8"/>
  <c r="D251" i="8"/>
  <c r="D73" i="8"/>
  <c r="D345" i="8"/>
  <c r="D257" i="8"/>
  <c r="D69" i="8"/>
  <c r="D74" i="8"/>
  <c r="D252" i="8"/>
  <c r="D347" i="8"/>
  <c r="D66" i="8"/>
  <c r="D67" i="8"/>
  <c r="D344" i="8"/>
  <c r="D248" i="8"/>
  <c r="D249" i="8"/>
  <c r="D254" i="8"/>
  <c r="D71" i="6" l="1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AX5" i="10"/>
  <c r="D72" i="8"/>
  <c r="B84" i="8" s="1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J5" i="11" l="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AE4" i="11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AD5" i="11"/>
  <c r="BL7" i="10"/>
  <c r="AE5" i="11"/>
  <c r="BM7" i="10"/>
  <c r="AS7" i="10" l="1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<sst xmlns="http://schemas.openxmlformats.org/spreadsheetml/2006/main" count="6090" uniqueCount="1091">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</sst>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workbookViewId="0"/>
  </sheetViews>
  <sheetFormatPr defaultRowHeight="15" x14ac:dyDescent="0.25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" customHeight="1" x14ac:dyDescent="0.25">
      <c r="B1" s="252" t="s">
        <v>0</v>
      </c>
      <c r="C1" s="253"/>
    </row>
    <row r="2" spans="2:3" ht="28.15" customHeight="1" x14ac:dyDescent="0.25">
      <c r="B2" s="254" t="s">
        <v>1</v>
      </c>
      <c r="C2" s="253"/>
    </row>
    <row r="3" spans="2:3" ht="24" customHeight="1" x14ac:dyDescent="0.25">
      <c r="B3" s="1" t="s">
        <v>2</v>
      </c>
      <c r="C3" s="2"/>
    </row>
    <row r="4" spans="2:3" ht="19.899999999999999" customHeight="1" x14ac:dyDescent="0.25">
      <c r="B4" s="3" t="s">
        <v>3</v>
      </c>
    </row>
    <row r="5" spans="2:3" ht="19.899999999999999" customHeight="1" x14ac:dyDescent="0.25">
      <c r="B5" s="3" t="s">
        <v>4</v>
      </c>
    </row>
    <row r="6" spans="2:3" ht="19.899999999999999" customHeight="1" x14ac:dyDescent="0.25">
      <c r="B6" s="3" t="s">
        <v>5</v>
      </c>
    </row>
    <row r="7" spans="2:3" ht="6" customHeight="1" x14ac:dyDescent="0.25"/>
    <row r="8" spans="2:3" ht="24" customHeight="1" x14ac:dyDescent="0.25">
      <c r="B8" s="1" t="s">
        <v>6</v>
      </c>
      <c r="C8" s="2"/>
    </row>
    <row r="9" spans="2:3" ht="19.899999999999999" customHeight="1" x14ac:dyDescent="0.25">
      <c r="B9" s="3" t="s">
        <v>7</v>
      </c>
      <c r="C9" s="4" t="s">
        <v>8</v>
      </c>
    </row>
    <row r="10" spans="2:3" ht="19.899999999999999" customHeight="1" x14ac:dyDescent="0.25">
      <c r="B10" s="3" t="s">
        <v>9</v>
      </c>
      <c r="C10" s="4" t="s">
        <v>10</v>
      </c>
    </row>
    <row r="11" spans="2:3" ht="19.899999999999999" customHeight="1" x14ac:dyDescent="0.25">
      <c r="B11" s="3" t="s">
        <v>11</v>
      </c>
      <c r="C11" s="4" t="s">
        <v>12</v>
      </c>
    </row>
    <row r="12" spans="2:3" ht="19.899999999999999" customHeight="1" x14ac:dyDescent="0.25">
      <c r="B12" s="3" t="s">
        <v>13</v>
      </c>
      <c r="C12" s="4" t="s">
        <v>14</v>
      </c>
    </row>
    <row r="13" spans="2:3" ht="6" customHeight="1" x14ac:dyDescent="0.25"/>
    <row r="14" spans="2:3" ht="24" customHeight="1" x14ac:dyDescent="0.25">
      <c r="B14" s="1" t="s">
        <v>15</v>
      </c>
      <c r="C14" s="2"/>
    </row>
    <row r="15" spans="2:3" ht="19.899999999999999" customHeight="1" x14ac:dyDescent="0.25">
      <c r="B15" s="3" t="s">
        <v>16</v>
      </c>
      <c r="C15" s="4" t="s">
        <v>17</v>
      </c>
    </row>
    <row r="16" spans="2:3" ht="19.899999999999999" customHeight="1" x14ac:dyDescent="0.25">
      <c r="B16" s="3" t="s">
        <v>18</v>
      </c>
      <c r="C16" s="4" t="s">
        <v>8</v>
      </c>
    </row>
    <row r="17" spans="2:3" ht="6" customHeight="1" x14ac:dyDescent="0.25"/>
    <row r="18" spans="2:3" ht="24" customHeight="1" x14ac:dyDescent="0.25">
      <c r="B18" s="1" t="s">
        <v>19</v>
      </c>
      <c r="C18" s="2"/>
    </row>
    <row r="19" spans="2:3" ht="19.899999999999999" customHeight="1" x14ac:dyDescent="0.25">
      <c r="B19" s="3" t="s">
        <v>20</v>
      </c>
      <c r="C19" s="4" t="s">
        <v>21</v>
      </c>
    </row>
    <row r="20" spans="2:3" ht="19.899999999999999" customHeight="1" x14ac:dyDescent="0.25">
      <c r="B20" s="3" t="s">
        <v>22</v>
      </c>
    </row>
    <row r="21" spans="2:3" ht="19.899999999999999" customHeight="1" x14ac:dyDescent="0.25">
      <c r="B21" s="3" t="s">
        <v>23</v>
      </c>
    </row>
    <row r="22" spans="2:3" ht="19.899999999999999" customHeight="1" x14ac:dyDescent="0.25">
      <c r="B22" s="3" t="s">
        <v>24</v>
      </c>
    </row>
    <row r="23" spans="2:3" ht="6" customHeight="1" x14ac:dyDescent="0.25"/>
    <row r="24" spans="2:3" ht="24" customHeight="1" x14ac:dyDescent="0.25">
      <c r="B24" s="1" t="s">
        <v>25</v>
      </c>
      <c r="C24" s="2"/>
    </row>
    <row r="25" spans="2:3" ht="19.899999999999999" customHeight="1" x14ac:dyDescent="0.25">
      <c r="B25" s="3" t="s">
        <v>26</v>
      </c>
      <c r="C25" s="4" t="s">
        <v>27</v>
      </c>
    </row>
    <row r="26" spans="2:3" ht="19.899999999999999" customHeight="1" x14ac:dyDescent="0.25">
      <c r="B26" s="3" t="s">
        <v>28</v>
      </c>
      <c r="C26" s="4" t="s">
        <v>29</v>
      </c>
    </row>
    <row r="27" spans="2:3" ht="19.899999999999999" customHeight="1" x14ac:dyDescent="0.25">
      <c r="B27" s="3" t="s">
        <v>30</v>
      </c>
      <c r="C27" s="4" t="s">
        <v>31</v>
      </c>
    </row>
    <row r="28" spans="2:3" ht="19.899999999999999" customHeight="1" x14ac:dyDescent="0.25">
      <c r="B28" s="3" t="s">
        <v>32</v>
      </c>
      <c r="C28" s="4" t="s">
        <v>33</v>
      </c>
    </row>
    <row r="29" spans="2:3" ht="19.899999999999999" customHeight="1" x14ac:dyDescent="0.25">
      <c r="B29" s="3" t="s">
        <v>34</v>
      </c>
      <c r="C29" s="4" t="s">
        <v>35</v>
      </c>
    </row>
    <row r="30" spans="2:3" ht="19.899999999999999" customHeight="1" x14ac:dyDescent="0.25">
      <c r="B30" s="3" t="s">
        <v>36</v>
      </c>
      <c r="C30" s="4" t="s">
        <v>37</v>
      </c>
    </row>
    <row r="31" spans="2:3" ht="6" customHeight="1" x14ac:dyDescent="0.25"/>
    <row r="32" spans="2:3" ht="24" customHeight="1" x14ac:dyDescent="0.25">
      <c r="B32" s="1" t="s">
        <v>38</v>
      </c>
      <c r="C32" s="2"/>
    </row>
    <row r="33" spans="2:2" ht="19.899999999999999" customHeight="1" x14ac:dyDescent="0.25">
      <c r="B33" s="3" t="s">
        <v>39</v>
      </c>
    </row>
    <row r="34" spans="2:2" ht="19.899999999999999" customHeight="1" x14ac:dyDescent="0.25">
      <c r="B34" s="3" t="s">
        <v>40</v>
      </c>
    </row>
    <row r="35" spans="2:2" ht="19.899999999999999" customHeight="1" x14ac:dyDescent="0.25">
      <c r="B35" s="3" t="s">
        <v>41</v>
      </c>
    </row>
    <row r="36" spans="2:2" ht="19.899999999999999" customHeight="1" x14ac:dyDescent="0.25">
      <c r="B36" s="3" t="s">
        <v>42</v>
      </c>
    </row>
    <row r="37" spans="2:2" ht="6" customHeight="1" x14ac:dyDescent="0.25"/>
    <row r="38" spans="2:2" ht="19.899999999999999" customHeight="1" x14ac:dyDescent="0.25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L5" sqref="L5"/>
    </sheetView>
  </sheetViews>
  <sheetFormatPr defaultRowHeight="15" x14ac:dyDescent="0.25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" customHeight="1" x14ac:dyDescent="0.25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15" customHeight="1" x14ac:dyDescent="0.25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25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 x14ac:dyDescent="0.25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/>
      <c r="G4" s="10"/>
      <c r="H4" s="11" t="str">
        <f t="shared" si="0"/>
        <v>Aguardando</v>
      </c>
    </row>
    <row r="5" spans="1:8" x14ac:dyDescent="0.25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25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25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25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25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/>
      <c r="G9" s="10"/>
      <c r="H9" s="16" t="str">
        <f t="shared" si="0"/>
        <v>Aguardando</v>
      </c>
    </row>
    <row r="10" spans="1:8" x14ac:dyDescent="0.25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 x14ac:dyDescent="0.25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25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25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25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25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 x14ac:dyDescent="0.25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 x14ac:dyDescent="0.25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25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25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25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25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25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25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25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25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25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25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25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25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25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25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25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25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25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25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25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25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25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25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25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25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25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25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25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25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25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25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25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25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25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25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25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25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25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25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25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25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25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25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25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25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25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25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25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25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25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25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25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25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25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25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25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25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25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5" x14ac:dyDescent="0.25"/>
  <cols>
    <col min="1" max="1" width="24" customWidth="1"/>
    <col min="2" max="145" width="4.28515625" customWidth="1"/>
  </cols>
  <sheetData>
    <row r="1" spans="1:145" ht="43.9" customHeight="1" x14ac:dyDescent="0.25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899999999999999" customHeight="1" x14ac:dyDescent="0.25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15" customHeight="1" x14ac:dyDescent="0.25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" customHeight="1" x14ac:dyDescent="0.25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2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2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2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2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workbookViewId="0">
      <selection activeCell="C4" sqref="C4"/>
    </sheetView>
  </sheetViews>
  <sheetFormatPr defaultRowHeight="15" x14ac:dyDescent="0.25"/>
  <cols>
    <col min="1" max="1" width="24" customWidth="1"/>
    <col min="2" max="3" width="22" customWidth="1"/>
  </cols>
  <sheetData>
    <row r="1" spans="1:3" ht="43.9" customHeight="1" x14ac:dyDescent="0.25">
      <c r="A1" s="255" t="s">
        <v>265</v>
      </c>
      <c r="B1" s="253"/>
      <c r="C1" s="253"/>
    </row>
    <row r="2" spans="1:3" ht="19.899999999999999" customHeight="1" x14ac:dyDescent="0.25">
      <c r="A2" s="261" t="s">
        <v>266</v>
      </c>
      <c r="B2" s="253"/>
      <c r="C2" s="253"/>
    </row>
    <row r="3" spans="1:3" ht="28.15" customHeight="1" x14ac:dyDescent="0.25">
      <c r="A3" s="83" t="s">
        <v>187</v>
      </c>
      <c r="B3" s="84" t="s">
        <v>267</v>
      </c>
      <c r="C3" s="84" t="s">
        <v>268</v>
      </c>
    </row>
    <row r="4" spans="1:3" ht="28.15" customHeight="1" x14ac:dyDescent="0.25">
      <c r="A4" s="85" t="s">
        <v>269</v>
      </c>
      <c r="B4" s="86"/>
      <c r="C4" s="86"/>
    </row>
    <row r="5" spans="1:3" ht="28.15" customHeight="1" x14ac:dyDescent="0.25">
      <c r="A5" s="87" t="s">
        <v>261</v>
      </c>
      <c r="B5" s="251"/>
      <c r="C5" s="251"/>
    </row>
    <row r="6" spans="1:3" ht="28.15" customHeight="1" x14ac:dyDescent="0.25">
      <c r="A6" s="88" t="s">
        <v>262</v>
      </c>
      <c r="B6" s="251"/>
      <c r="C6" s="251"/>
    </row>
    <row r="7" spans="1:3" ht="28.15" customHeight="1" x14ac:dyDescent="0.25">
      <c r="A7" s="89" t="s">
        <v>263</v>
      </c>
      <c r="B7" s="10"/>
      <c r="C7" s="10"/>
    </row>
    <row r="8" spans="1:3" ht="28.15" customHeight="1" x14ac:dyDescent="0.25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5" x14ac:dyDescent="0.25"/>
  <cols>
    <col min="1" max="1" width="24" customWidth="1"/>
    <col min="2" max="73" width="4.28515625" customWidth="1"/>
    <col min="74" max="74" width="11" customWidth="1"/>
  </cols>
  <sheetData>
    <row r="1" spans="1:74" ht="43.9" customHeight="1" x14ac:dyDescent="0.25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899999999999999" customHeight="1" x14ac:dyDescent="0.25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15" customHeight="1" x14ac:dyDescent="0.25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25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75" x14ac:dyDescent="0.25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 t="str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-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 t="str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-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75" x14ac:dyDescent="0.25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 t="str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-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 t="str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-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75" x14ac:dyDescent="0.25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 t="str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-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 t="str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-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75" x14ac:dyDescent="0.25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 t="str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-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 t="str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-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" customHeight="1" x14ac:dyDescent="0.25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25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25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 x14ac:dyDescent="0.25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 x14ac:dyDescent="0.25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0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0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v>23</v>
      </c>
    </row>
    <row r="6" spans="1:18" x14ac:dyDescent="0.25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0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v>38</v>
      </c>
    </row>
    <row r="7" spans="1:18" x14ac:dyDescent="0.25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0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v>44</v>
      </c>
    </row>
    <row r="8" spans="1:18" x14ac:dyDescent="0.25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0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v>55</v>
      </c>
    </row>
    <row r="9" spans="1:18" x14ac:dyDescent="0.25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v>38</v>
      </c>
    </row>
    <row r="10" spans="1:18" x14ac:dyDescent="0.25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v>20</v>
      </c>
    </row>
    <row r="11" spans="1:18" x14ac:dyDescent="0.25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 x14ac:dyDescent="0.25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 x14ac:dyDescent="0.25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 x14ac:dyDescent="0.25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 x14ac:dyDescent="0.25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25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25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25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25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25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25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25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25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25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25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25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25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25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25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25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25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25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25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25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25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25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25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25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25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25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25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25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25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25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25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25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25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25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25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25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25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25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 x14ac:dyDescent="0.25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 x14ac:dyDescent="0.25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 x14ac:dyDescent="0.25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25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25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25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25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25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25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25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25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25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25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200000462</v>
      </c>
      <c r="D68" s="150">
        <f t="shared" ref="D68:D79" si="3">RANK(C68,$C$68:$C$79,0)</f>
        <v>7</v>
      </c>
    </row>
    <row r="69" spans="1:4" x14ac:dyDescent="0.25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200000456</v>
      </c>
      <c r="D69" s="150">
        <f t="shared" si="3"/>
        <v>9</v>
      </c>
    </row>
    <row r="70" spans="1:4" x14ac:dyDescent="0.25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2</v>
      </c>
    </row>
    <row r="71" spans="1:4" x14ac:dyDescent="0.25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5</v>
      </c>
    </row>
    <row r="72" spans="1:4" x14ac:dyDescent="0.25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 x14ac:dyDescent="0.25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1</v>
      </c>
    </row>
    <row r="74" spans="1:4" x14ac:dyDescent="0.25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5</v>
      </c>
    </row>
    <row r="75" spans="1:4" x14ac:dyDescent="0.25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11</v>
      </c>
    </row>
    <row r="76" spans="1:4" x14ac:dyDescent="0.25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3</v>
      </c>
    </row>
    <row r="77" spans="1:4" x14ac:dyDescent="0.25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4</v>
      </c>
    </row>
    <row r="78" spans="1:4" x14ac:dyDescent="0.25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11</v>
      </c>
    </row>
    <row r="79" spans="1:4" x14ac:dyDescent="0.25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10</v>
      </c>
    </row>
    <row r="81" spans="1:2" x14ac:dyDescent="0.25">
      <c r="A81" s="162" t="s">
        <v>432</v>
      </c>
      <c r="B81" s="162" t="s">
        <v>433</v>
      </c>
    </row>
    <row r="82" spans="1:2" x14ac:dyDescent="0.25">
      <c r="A82" s="163">
        <v>1</v>
      </c>
      <c r="B82" s="164" t="str">
        <f>IFERROR(INDEX($B$68:$B$79,MATCH(1,$D$68:$D$79,0)),"?")</f>
        <v>Suecia</v>
      </c>
    </row>
    <row r="83" spans="1:2" x14ac:dyDescent="0.25">
      <c r="A83" s="163">
        <v>2</v>
      </c>
      <c r="B83" s="164" t="str">
        <f>IFERROR(INDEX($B$68:$B$79,MATCH(2,$D$68:$D$79,0)),"?")</f>
        <v>Escocia</v>
      </c>
    </row>
    <row r="84" spans="1:2" x14ac:dyDescent="0.25">
      <c r="A84" s="163">
        <v>3</v>
      </c>
      <c r="B84" s="164" t="str">
        <f>IFERROR(INDEX($B$68:$B$79,MATCH(3,$D$68:$D$79,0)),"?")</f>
        <v>Noruega</v>
      </c>
    </row>
    <row r="85" spans="1:2" x14ac:dyDescent="0.25">
      <c r="A85" s="163">
        <v>4</v>
      </c>
      <c r="B85" s="164" t="str">
        <f>IFERROR(INDEX($B$68:$B$79,MATCH(4,$D$68:$D$79,0)),"?")</f>
        <v>Argelia</v>
      </c>
    </row>
    <row r="86" spans="1:2" x14ac:dyDescent="0.25">
      <c r="A86" s="163">
        <v>5</v>
      </c>
      <c r="B86" s="164" t="str">
        <f>IFERROR(INDEX($B$68:$B$79,MATCH(5,$D$68:$D$79,0)),"?")</f>
        <v>Turquia</v>
      </c>
    </row>
    <row r="87" spans="1:2" x14ac:dyDescent="0.25">
      <c r="A87" s="163">
        <v>6</v>
      </c>
      <c r="B87" s="164" t="str">
        <f>IFERROR(INDEX($B$68:$B$79,MATCH(6,$D$68:$D$79,0)),"?")</f>
        <v>?</v>
      </c>
    </row>
    <row r="88" spans="1:2" x14ac:dyDescent="0.25">
      <c r="A88" s="163">
        <v>7</v>
      </c>
      <c r="B88" s="164" t="str">
        <f>IFERROR(INDEX($B$68:$B$79,MATCH(7,$D$68:$D$79,0)),"?")</f>
        <v>Tchequia</v>
      </c>
    </row>
    <row r="89" spans="1:2" x14ac:dyDescent="0.25">
      <c r="A89" s="163">
        <v>8</v>
      </c>
      <c r="B89" s="164" t="str">
        <f>IFERROR(INDEX($B$68:$B$79,MATCH(8,$D$68:$D$79,0)),"?")</f>
        <v>Costa do Marfim</v>
      </c>
    </row>
    <row r="92" spans="1:2" x14ac:dyDescent="0.25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ACDEFGIJ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5" x14ac:dyDescent="0.25"/>
  <cols>
    <col min="1" max="1" width="12" customWidth="1"/>
    <col min="2" max="9" width="6" customWidth="1"/>
  </cols>
  <sheetData>
    <row r="1" spans="1:10" ht="43.9" customHeight="1" x14ac:dyDescent="0.25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15" customHeight="1" x14ac:dyDescent="0.25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25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25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25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25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25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25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25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25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25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25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25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25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25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25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25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25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25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25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25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25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25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25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25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25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25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25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25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25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25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25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25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25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25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25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25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25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25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25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25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25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25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25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25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25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25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25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25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25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25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25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25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25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25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25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25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25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25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25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25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25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25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25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25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25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25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25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25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25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25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25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25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25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25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25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25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25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25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25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25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25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25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25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25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25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25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25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25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25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25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25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25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25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25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25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25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25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25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25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25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25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25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25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25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25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25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25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25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25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25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25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25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25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25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25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25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25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25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25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25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25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25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25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25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25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25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25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25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25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25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25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25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25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25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25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25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25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25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25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25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25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25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25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25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25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25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25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25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25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25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25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25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25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25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25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25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25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25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25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25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25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25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25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25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25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25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25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25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25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25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25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25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25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25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25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25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25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25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25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25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25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25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25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25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25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25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25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25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25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25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25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25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25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25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25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25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25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25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25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25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25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25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25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25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25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25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25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25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25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25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25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25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25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25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25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25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25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25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25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25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25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25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25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25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25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25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25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25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25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25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25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25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25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25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25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25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25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25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25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25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25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25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25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25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25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25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25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25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25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25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25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25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25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25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25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25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25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25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25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25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25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25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25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25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25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25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25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25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25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25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25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25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25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25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25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25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25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25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25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25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25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25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25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25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25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25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25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25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25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25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25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25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25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25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25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25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25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25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25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25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25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25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25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25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25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25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25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25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25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25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25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25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25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25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25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25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25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25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25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25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25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25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25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25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25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25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25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25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25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25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25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25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25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25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25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25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25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25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25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25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25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25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25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25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25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25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25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25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25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25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25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25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25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25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25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25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25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25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25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25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25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25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25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25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25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25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25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25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25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25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25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25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25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25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25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25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25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25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25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25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25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25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25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25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25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25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25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25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25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25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25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25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25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25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25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25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25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25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25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25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25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25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25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25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25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25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25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25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25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25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25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25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25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25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25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25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25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25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25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25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25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25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25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25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25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25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25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25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25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25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25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25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25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25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25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25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25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25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25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25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25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25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25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25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25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25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25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25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25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25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25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25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25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25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25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25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25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25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25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25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25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25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25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25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25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25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25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25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25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25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25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25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25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25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25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25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25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25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25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25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25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25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25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25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25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25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25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25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25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25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25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25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25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25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25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25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" customHeight="1" x14ac:dyDescent="0.25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25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25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25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25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25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25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25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25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25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25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25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25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25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25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25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25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25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25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25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25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25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25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25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25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25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25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25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25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25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25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25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25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25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25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25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25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25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25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25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25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25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25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25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25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25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25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25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25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25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25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25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25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25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25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25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25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25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25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25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25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25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25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25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25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25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25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25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25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25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25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25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25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25">
      <c r="A79" s="163">
        <v>1</v>
      </c>
      <c r="B79" s="164" t="str">
        <f>IFERROR(INDEX($B$66:$B$77,MATCH(1,$D$66:$D$77,0)),"?")</f>
        <v>Suecia</v>
      </c>
    </row>
    <row r="80" spans="1:4" x14ac:dyDescent="0.25">
      <c r="A80" s="163">
        <v>2</v>
      </c>
      <c r="B80" s="164" t="str">
        <f>IFERROR(INDEX($B$66:$B$77,MATCH(2,$D$66:$D$77,0)),"?")</f>
        <v>Escocia</v>
      </c>
    </row>
    <row r="81" spans="1:13" x14ac:dyDescent="0.25">
      <c r="A81" s="163">
        <v>3</v>
      </c>
      <c r="B81" s="164" t="str">
        <f>IFERROR(INDEX($B$66:$B$77,MATCH(3,$D$66:$D$77,0)),"?")</f>
        <v>Noruega</v>
      </c>
    </row>
    <row r="82" spans="1:13" x14ac:dyDescent="0.25">
      <c r="A82" s="163">
        <v>4</v>
      </c>
      <c r="B82" s="164" t="str">
        <f>IFERROR(INDEX($B$66:$B$77,MATCH(4,$D$66:$D$77,0)),"?")</f>
        <v>Argelia</v>
      </c>
    </row>
    <row r="83" spans="1:13" x14ac:dyDescent="0.25">
      <c r="A83" s="163">
        <v>5</v>
      </c>
      <c r="B83" s="164" t="str">
        <f>IFERROR(INDEX($B$66:$B$77,MATCH(5,$D$66:$D$77,0)),"?")</f>
        <v>Turquia</v>
      </c>
    </row>
    <row r="84" spans="1:13" x14ac:dyDescent="0.25">
      <c r="A84" s="163">
        <v>6</v>
      </c>
      <c r="B84" s="164" t="str">
        <f>IFERROR(INDEX($B$66:$B$77,MATCH(6,$D$66:$D$77,0)),"?")</f>
        <v>?</v>
      </c>
    </row>
    <row r="85" spans="1:13" x14ac:dyDescent="0.25">
      <c r="A85" s="163">
        <v>7</v>
      </c>
      <c r="B85" s="164" t="str">
        <f>IFERROR(INDEX($B$66:$B$77,MATCH(7,$D$66:$D$77,0)),"?")</f>
        <v>Tchequia</v>
      </c>
    </row>
    <row r="86" spans="1:13" x14ac:dyDescent="0.25">
      <c r="A86" s="163">
        <v>8</v>
      </c>
      <c r="B86" s="164" t="str">
        <f>IFERROR(INDEX($B$66:$B$77,MATCH(8,$D$66:$D$77,0)),"?")</f>
        <v>Costa do Marfim</v>
      </c>
    </row>
    <row r="88" spans="1:13" x14ac:dyDescent="0.25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25">
      <c r="A92" s="171" t="s">
        <v>953</v>
      </c>
    </row>
    <row r="93" spans="1:13" x14ac:dyDescent="0.25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25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25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25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25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25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25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25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25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25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25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25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25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25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25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25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25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25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25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25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25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25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25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25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25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25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25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25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25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25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25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25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25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25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25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25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25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25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25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25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25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25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25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25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25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25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25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25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25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25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2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2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2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2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2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2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2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2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2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2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2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2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2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2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2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25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25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25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25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25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25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25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25">
      <c r="A169" s="163">
        <v>1</v>
      </c>
      <c r="B169" s="164" t="str">
        <f>IFERROR(INDEX($B$156:$B$167,MATCH(1,$D$156:$D$167,0)),"?")</f>
        <v>Suecia</v>
      </c>
    </row>
    <row r="170" spans="1:4" x14ac:dyDescent="0.25">
      <c r="A170" s="163">
        <v>2</v>
      </c>
      <c r="B170" s="164" t="str">
        <f>IFERROR(INDEX($B$156:$B$167,MATCH(2,$D$156:$D$167,0)),"?")</f>
        <v>Escocia</v>
      </c>
    </row>
    <row r="171" spans="1:4" x14ac:dyDescent="0.25">
      <c r="A171" s="163">
        <v>3</v>
      </c>
      <c r="B171" s="164" t="str">
        <f>IFERROR(INDEX($B$156:$B$167,MATCH(3,$D$156:$D$167,0)),"?")</f>
        <v>Noruega</v>
      </c>
    </row>
    <row r="172" spans="1:4" x14ac:dyDescent="0.25">
      <c r="A172" s="163">
        <v>4</v>
      </c>
      <c r="B172" s="164" t="str">
        <f>IFERROR(INDEX($B$156:$B$167,MATCH(4,$D$156:$D$167,0)),"?")</f>
        <v>Argelia</v>
      </c>
    </row>
    <row r="173" spans="1:4" x14ac:dyDescent="0.25">
      <c r="A173" s="163">
        <v>5</v>
      </c>
      <c r="B173" s="164" t="str">
        <f>IFERROR(INDEX($B$156:$B$167,MATCH(5,$D$156:$D$167,0)),"?")</f>
        <v>Turquia</v>
      </c>
    </row>
    <row r="174" spans="1:4" x14ac:dyDescent="0.25">
      <c r="A174" s="163">
        <v>6</v>
      </c>
      <c r="B174" s="164" t="str">
        <f>IFERROR(INDEX($B$156:$B$167,MATCH(6,$D$156:$D$167,0)),"?")</f>
        <v>?</v>
      </c>
    </row>
    <row r="175" spans="1:4" x14ac:dyDescent="0.25">
      <c r="A175" s="163">
        <v>7</v>
      </c>
      <c r="B175" s="164" t="str">
        <f>IFERROR(INDEX($B$156:$B$167,MATCH(7,$D$156:$D$167,0)),"?")</f>
        <v>Tchequia</v>
      </c>
    </row>
    <row r="176" spans="1:4" x14ac:dyDescent="0.25">
      <c r="A176" s="163">
        <v>8</v>
      </c>
      <c r="B176" s="164" t="str">
        <f>IFERROR(INDEX($B$156:$B$167,MATCH(8,$D$156:$D$167,0)),"?")</f>
        <v>Costa do Marfim</v>
      </c>
    </row>
    <row r="178" spans="1:13" x14ac:dyDescent="0.25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25">
      <c r="A182" s="171" t="s">
        <v>954</v>
      </c>
    </row>
    <row r="183" spans="1:13" x14ac:dyDescent="0.25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25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25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25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25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25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25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25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25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25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25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25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25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25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25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25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25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25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25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25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25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25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25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25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25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25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25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25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25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25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25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25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25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25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25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25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25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25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25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25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25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25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25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25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25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25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25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25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25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25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25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25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25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25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25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25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2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2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2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2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2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2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2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2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2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2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2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2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2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2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2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25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25">
      <c r="A259" s="163">
        <v>1</v>
      </c>
      <c r="B259" s="164" t="str">
        <f>IFERROR(INDEX($B$246:$B$257,MATCH(1,$D$246:$D$257,0)),"?")</f>
        <v>Suecia</v>
      </c>
    </row>
    <row r="260" spans="1:4" x14ac:dyDescent="0.25">
      <c r="A260" s="163">
        <v>2</v>
      </c>
      <c r="B260" s="164" t="str">
        <f>IFERROR(INDEX($B$246:$B$257,MATCH(2,$D$246:$D$257,0)),"?")</f>
        <v>Escocia</v>
      </c>
    </row>
    <row r="261" spans="1:4" x14ac:dyDescent="0.25">
      <c r="A261" s="163">
        <v>3</v>
      </c>
      <c r="B261" s="164" t="str">
        <f>IFERROR(INDEX($B$246:$B$257,MATCH(3,$D$246:$D$257,0)),"?")</f>
        <v>Noruega</v>
      </c>
    </row>
    <row r="262" spans="1:4" x14ac:dyDescent="0.25">
      <c r="A262" s="163">
        <v>4</v>
      </c>
      <c r="B262" s="164" t="str">
        <f>IFERROR(INDEX($B$246:$B$257,MATCH(4,$D$246:$D$257,0)),"?")</f>
        <v>Argelia</v>
      </c>
    </row>
    <row r="263" spans="1:4" x14ac:dyDescent="0.25">
      <c r="A263" s="163">
        <v>5</v>
      </c>
      <c r="B263" s="164" t="str">
        <f>IFERROR(INDEX($B$246:$B$257,MATCH(5,$D$246:$D$257,0)),"?")</f>
        <v>Turquia</v>
      </c>
    </row>
    <row r="264" spans="1:4" x14ac:dyDescent="0.25">
      <c r="A264" s="163">
        <v>6</v>
      </c>
      <c r="B264" s="164" t="str">
        <f>IFERROR(INDEX($B$246:$B$257,MATCH(6,$D$246:$D$257,0)),"?")</f>
        <v>?</v>
      </c>
    </row>
    <row r="265" spans="1:4" x14ac:dyDescent="0.25">
      <c r="A265" s="163">
        <v>7</v>
      </c>
      <c r="B265" s="164" t="str">
        <f>IFERROR(INDEX($B$246:$B$257,MATCH(7,$D$246:$D$257,0)),"?")</f>
        <v>Tchequia</v>
      </c>
    </row>
    <row r="266" spans="1:4" x14ac:dyDescent="0.25">
      <c r="A266" s="163">
        <v>8</v>
      </c>
      <c r="B266" s="164" t="str">
        <f>IFERROR(INDEX($B$246:$B$257,MATCH(8,$D$246:$D$257,0)),"?")</f>
        <v>Costa do Marfim</v>
      </c>
    </row>
    <row r="268" spans="1:4" x14ac:dyDescent="0.25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25">
      <c r="A272" s="171" t="s">
        <v>955</v>
      </c>
    </row>
    <row r="273" spans="1:13" x14ac:dyDescent="0.25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25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25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25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25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25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25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25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25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25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25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25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25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25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25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25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25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25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25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25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25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25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25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25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25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25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25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25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25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25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25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25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25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25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25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25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25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25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25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25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25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25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25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25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25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25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25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25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2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2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2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2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2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2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2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2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2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2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2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2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2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25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25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25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25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25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25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25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25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25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25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25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25">
      <c r="A349" s="163">
        <v>1</v>
      </c>
      <c r="B349" s="164" t="str">
        <f>IFERROR(INDEX($B$336:$B$347,MATCH(1,$D$336:$D$347,0)),"?")</f>
        <v>Suecia</v>
      </c>
    </row>
    <row r="350" spans="1:4" x14ac:dyDescent="0.25">
      <c r="A350" s="163">
        <v>2</v>
      </c>
      <c r="B350" s="164" t="str">
        <f>IFERROR(INDEX($B$336:$B$347,MATCH(2,$D$336:$D$347,0)),"?")</f>
        <v>Escocia</v>
      </c>
    </row>
    <row r="351" spans="1:4" x14ac:dyDescent="0.25">
      <c r="A351" s="163">
        <v>3</v>
      </c>
      <c r="B351" s="164" t="str">
        <f>IFERROR(INDEX($B$336:$B$347,MATCH(3,$D$336:$D$347,0)),"?")</f>
        <v>Noruega</v>
      </c>
    </row>
    <row r="352" spans="1:4" x14ac:dyDescent="0.25">
      <c r="A352" s="163">
        <v>4</v>
      </c>
      <c r="B352" s="164" t="str">
        <f>IFERROR(INDEX($B$336:$B$347,MATCH(4,$D$336:$D$347,0)),"?")</f>
        <v>Argelia</v>
      </c>
    </row>
    <row r="353" spans="1:2" x14ac:dyDescent="0.25">
      <c r="A353" s="163">
        <v>5</v>
      </c>
      <c r="B353" s="164" t="str">
        <f>IFERROR(INDEX($B$336:$B$347,MATCH(5,$D$336:$D$347,0)),"?")</f>
        <v>Turquia</v>
      </c>
    </row>
    <row r="354" spans="1:2" x14ac:dyDescent="0.25">
      <c r="A354" s="163">
        <v>6</v>
      </c>
      <c r="B354" s="164" t="str">
        <f>IFERROR(INDEX($B$336:$B$347,MATCH(6,$D$336:$D$347,0)),"?")</f>
        <v>?</v>
      </c>
    </row>
    <row r="355" spans="1:2" x14ac:dyDescent="0.25">
      <c r="A355" s="163">
        <v>7</v>
      </c>
      <c r="B355" s="164" t="str">
        <f>IFERROR(INDEX($B$336:$B$347,MATCH(7,$D$336:$D$347,0)),"?")</f>
        <v>Tchequia</v>
      </c>
    </row>
    <row r="356" spans="1:2" x14ac:dyDescent="0.25">
      <c r="A356" s="163">
        <v>8</v>
      </c>
      <c r="B356" s="164" t="str">
        <f>IFERROR(INDEX($B$336:$B$347,MATCH(8,$D$336:$D$347,0)),"?")</f>
        <v>Costa do Marfim</v>
      </c>
    </row>
    <row r="358" spans="1:2" x14ac:dyDescent="0.25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5" x14ac:dyDescent="0.25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" customHeight="1" x14ac:dyDescent="0.25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25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15" customHeight="1" x14ac:dyDescent="0.25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25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25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25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25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25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25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25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25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25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Argelia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25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Tchequia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25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25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25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25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25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25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25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25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25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25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25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25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25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25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25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25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25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25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25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25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25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25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5" x14ac:dyDescent="0.25"/>
  <cols>
    <col min="1" max="1" width="22" customWidth="1"/>
    <col min="2" max="65" width="5.42578125" customWidth="1"/>
  </cols>
  <sheetData>
    <row r="1" spans="1:65" ht="43.9" customHeight="1" x14ac:dyDescent="0.25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899999999999999" customHeight="1" x14ac:dyDescent="0.25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15" customHeight="1" x14ac:dyDescent="0.25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149999999999999" customHeight="1" x14ac:dyDescent="0.25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15" customHeight="1" x14ac:dyDescent="0.25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25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15" customHeight="1" x14ac:dyDescent="0.25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25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15" customHeight="1" x14ac:dyDescent="0.25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25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15" customHeight="1" x14ac:dyDescent="0.25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25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5" x14ac:dyDescent="0.25"/>
  <cols>
    <col min="1" max="1" width="22" customWidth="1"/>
    <col min="2" max="33" width="4.28515625" customWidth="1"/>
    <col min="34" max="34" width="11" customWidth="1"/>
  </cols>
  <sheetData>
    <row r="1" spans="1:34" ht="43.9" customHeight="1" x14ac:dyDescent="0.25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899999999999999" customHeight="1" x14ac:dyDescent="0.25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15" customHeight="1" x14ac:dyDescent="0.25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75" x14ac:dyDescent="0.25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75" x14ac:dyDescent="0.25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75" x14ac:dyDescent="0.25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75" x14ac:dyDescent="0.25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5" x14ac:dyDescent="0.25"/>
  <cols>
    <col min="1" max="1" width="22" customWidth="1"/>
    <col min="2" max="4" width="16" customWidth="1"/>
  </cols>
  <sheetData>
    <row r="1" spans="1:4" ht="43.9" customHeight="1" x14ac:dyDescent="0.25">
      <c r="A1" s="255" t="s">
        <v>1065</v>
      </c>
      <c r="B1" s="253"/>
      <c r="C1" s="253"/>
      <c r="D1" s="253"/>
    </row>
    <row r="2" spans="1:4" ht="28.15" customHeight="1" x14ac:dyDescent="0.25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15" customHeight="1" x14ac:dyDescent="0.25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15" customHeight="1" x14ac:dyDescent="0.25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15" customHeight="1" x14ac:dyDescent="0.25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15" customHeight="1" x14ac:dyDescent="0.25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" customHeight="1" x14ac:dyDescent="0.25">
      <c r="A1" s="283" t="s">
        <v>1069</v>
      </c>
      <c r="B1" s="253"/>
      <c r="C1" s="253"/>
      <c r="D1" s="253"/>
      <c r="E1" s="253"/>
      <c r="F1" s="253"/>
      <c r="G1" s="253"/>
    </row>
    <row r="2" spans="1:16" ht="22.15" customHeight="1" x14ac:dyDescent="0.25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25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15" customHeight="1" x14ac:dyDescent="0.25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15" customHeight="1" x14ac:dyDescent="0.25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15" customHeight="1" x14ac:dyDescent="0.25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15" customHeight="1" x14ac:dyDescent="0.25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>
      <selection sqref="A1:J1"/>
    </sheetView>
  </sheetViews>
  <sheetFormatPr defaultRowHeight="15" x14ac:dyDescent="0.25"/>
  <cols>
    <col min="1" max="10" width="18" customWidth="1"/>
  </cols>
  <sheetData>
    <row r="1" spans="1:10" ht="43.9" customHeight="1" x14ac:dyDescent="0.25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899999999999999" customHeight="1" x14ac:dyDescent="0.25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25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 x14ac:dyDescent="0.25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1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5" customHeight="1" x14ac:dyDescent="0.25"/>
    <row r="8" spans="1:10" x14ac:dyDescent="0.25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15" customHeight="1" x14ac:dyDescent="0.25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15" customHeight="1" x14ac:dyDescent="0.25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15" customHeight="1" x14ac:dyDescent="0.25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15" customHeight="1" x14ac:dyDescent="0.25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2026-06-11T21:04:24Z</dcterms:modified>
</cp:coreProperties>
</file>